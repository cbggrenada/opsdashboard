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F577B440-B6A2-4C82-8228-4A3DCBC5A792}" xr6:coauthVersionLast="47" xr6:coauthVersionMax="47" xr10:uidLastSave="{00000000-0000-0000-0000-000000000000}"/>
  <bookViews>
    <workbookView xWindow="-120" yWindow="-120" windowWidth="29040" windowHeight="15720" tabRatio="599" firstSheet="1" activeTab="1" xr2:uid="{1120807F-7390-4E10-A66F-84111922E872}"/>
  </bookViews>
  <sheets>
    <sheet name="Dec 18th" sheetId="658" state="hidden" r:id="rId1"/>
    <sheet name="Oct 1st" sheetId="1082" r:id="rId2"/>
    <sheet name="MTD_Links" sheetId="18" r:id="rId3"/>
    <sheet name="YTD_Links" sheetId="19" r:id="rId4"/>
    <sheet name="KPIs" sheetId="20" state="hidden" r:id="rId5"/>
    <sheet name="Brewer Performance" sheetId="21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_xlnm.Print_Area" localSheetId="5">'Brewer Performance'!$B$2:$K$35</definedName>
    <definedName name="_xlnm.Print_Area" localSheetId="2">MTD_Links!$B$2:$K$65</definedName>
    <definedName name="_xlnm.Print_Area" localSheetId="3">YTD_Links!$B$2:$K$65</definedName>
    <definedName name="ProductList" localSheetId="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082" l="1"/>
  <c r="S10" i="1082"/>
  <c r="T10" i="1082"/>
  <c r="U10" i="1082"/>
  <c r="V10" i="1082"/>
  <c r="W10" i="1082"/>
  <c r="X10" i="1082"/>
  <c r="Y10" i="1082"/>
  <c r="Z10" i="1082"/>
  <c r="R11" i="1082"/>
  <c r="S11" i="1082"/>
  <c r="T11" i="1082"/>
  <c r="U11" i="1082"/>
  <c r="V11" i="1082"/>
  <c r="W11" i="1082"/>
  <c r="X11" i="1082"/>
  <c r="Y11" i="1082"/>
  <c r="Z11" i="1082"/>
  <c r="R12" i="1082"/>
  <c r="S12" i="1082"/>
  <c r="T12" i="1082"/>
  <c r="U12" i="1082"/>
  <c r="V12" i="1082"/>
  <c r="W12" i="1082"/>
  <c r="X12" i="1082"/>
  <c r="Y12" i="1082"/>
  <c r="Z12" i="1082"/>
  <c r="R13" i="1082"/>
  <c r="S13" i="1082"/>
  <c r="T13" i="1082"/>
  <c r="U13" i="1082"/>
  <c r="V13" i="1082"/>
  <c r="W13" i="1082"/>
  <c r="X13" i="1082"/>
  <c r="Y13" i="1082"/>
  <c r="Z13" i="1082"/>
  <c r="R14" i="1082"/>
  <c r="S14" i="1082"/>
  <c r="T14" i="1082"/>
  <c r="U14" i="1082"/>
  <c r="V14" i="1082"/>
  <c r="W14" i="1082"/>
  <c r="X14" i="1082"/>
  <c r="Y14" i="1082"/>
  <c r="Z14" i="1082"/>
  <c r="R15" i="1082"/>
  <c r="S15" i="1082"/>
  <c r="T15" i="1082"/>
  <c r="U15" i="1082"/>
  <c r="V15" i="1082"/>
  <c r="W15" i="1082"/>
  <c r="X15" i="1082"/>
  <c r="Y15" i="1082"/>
  <c r="Z15" i="1082"/>
  <c r="R16" i="1082"/>
  <c r="S16" i="1082"/>
  <c r="T16" i="1082"/>
  <c r="U16" i="1082"/>
  <c r="V16" i="1082"/>
  <c r="W16" i="1082"/>
  <c r="X16" i="1082"/>
  <c r="Y16" i="1082"/>
  <c r="Z16" i="1082"/>
  <c r="R17" i="1082"/>
  <c r="S17" i="1082"/>
  <c r="T17" i="1082"/>
  <c r="U17" i="1082"/>
  <c r="V17" i="1082"/>
  <c r="W17" i="1082"/>
  <c r="X17" i="1082"/>
  <c r="Y17" i="1082"/>
  <c r="Z17" i="1082"/>
  <c r="R18" i="1082"/>
  <c r="S18" i="1082"/>
  <c r="T18" i="1082"/>
  <c r="U18" i="1082"/>
  <c r="V18" i="1082"/>
  <c r="W18" i="1082"/>
  <c r="X18" i="1082"/>
  <c r="Y18" i="1082"/>
  <c r="Z18" i="1082"/>
  <c r="R19" i="1082"/>
  <c r="S19" i="1082"/>
  <c r="T19" i="1082"/>
  <c r="U19" i="1082"/>
  <c r="V19" i="1082"/>
  <c r="W19" i="1082"/>
  <c r="X19" i="1082"/>
  <c r="Y19" i="1082"/>
  <c r="Z19" i="1082"/>
  <c r="R20" i="1082"/>
  <c r="S20" i="1082"/>
  <c r="T20" i="1082"/>
  <c r="U20" i="1082"/>
  <c r="V20" i="1082"/>
  <c r="W20" i="1082"/>
  <c r="X20" i="1082"/>
  <c r="Y20" i="1082"/>
  <c r="Z20" i="1082"/>
  <c r="R21" i="1082"/>
  <c r="S21" i="1082"/>
  <c r="T21" i="1082"/>
  <c r="U21" i="1082"/>
  <c r="V21" i="1082"/>
  <c r="W21" i="1082"/>
  <c r="X21" i="1082"/>
  <c r="Y21" i="1082"/>
  <c r="Z21" i="1082"/>
  <c r="R22" i="1082"/>
  <c r="S22" i="1082"/>
  <c r="T22" i="1082"/>
  <c r="U22" i="1082"/>
  <c r="V22" i="1082"/>
  <c r="W22" i="1082"/>
  <c r="X22" i="1082"/>
  <c r="Y22" i="1082"/>
  <c r="Z22" i="1082"/>
  <c r="R23" i="1082"/>
  <c r="S23" i="1082"/>
  <c r="T23" i="1082"/>
  <c r="U23" i="1082"/>
  <c r="V23" i="1082"/>
  <c r="W23" i="1082"/>
  <c r="X23" i="1082"/>
  <c r="Y23" i="1082"/>
  <c r="Z23" i="1082"/>
  <c r="R24" i="1082"/>
  <c r="S24" i="1082"/>
  <c r="T24" i="1082"/>
  <c r="U24" i="1082"/>
  <c r="V24" i="1082"/>
  <c r="W24" i="1082"/>
  <c r="X24" i="1082"/>
  <c r="Y24" i="1082"/>
  <c r="Z24" i="1082"/>
  <c r="I10" i="1082"/>
  <c r="J10" i="1082"/>
  <c r="K10" i="1082"/>
  <c r="L10" i="1082"/>
  <c r="M10" i="1082"/>
  <c r="N10" i="1082"/>
  <c r="O10" i="1082"/>
  <c r="I11" i="1082"/>
  <c r="J11" i="1082"/>
  <c r="K11" i="1082"/>
  <c r="L11" i="1082"/>
  <c r="M11" i="1082"/>
  <c r="N11" i="1082"/>
  <c r="O11" i="1082"/>
  <c r="I12" i="1082"/>
  <c r="J12" i="1082"/>
  <c r="K12" i="1082"/>
  <c r="L12" i="1082"/>
  <c r="M12" i="1082"/>
  <c r="N12" i="1082"/>
  <c r="O12" i="1082"/>
  <c r="I13" i="1082"/>
  <c r="J13" i="1082"/>
  <c r="K13" i="1082"/>
  <c r="L13" i="1082"/>
  <c r="M13" i="1082"/>
  <c r="N13" i="1082"/>
  <c r="O13" i="1082"/>
  <c r="I14" i="1082"/>
  <c r="J14" i="1082"/>
  <c r="K14" i="1082"/>
  <c r="L14" i="1082"/>
  <c r="M14" i="1082"/>
  <c r="N14" i="1082"/>
  <c r="O14" i="1082"/>
  <c r="I15" i="1082"/>
  <c r="J15" i="1082"/>
  <c r="K15" i="1082"/>
  <c r="L15" i="1082"/>
  <c r="M15" i="1082"/>
  <c r="N15" i="1082"/>
  <c r="O15" i="1082"/>
  <c r="C10" i="1082"/>
  <c r="D10" i="1082"/>
  <c r="E10" i="1082"/>
  <c r="F10" i="1082"/>
  <c r="G10" i="1082"/>
  <c r="C11" i="1082"/>
  <c r="D11" i="1082"/>
  <c r="E11" i="1082"/>
  <c r="F11" i="1082"/>
  <c r="G11" i="1082"/>
  <c r="C12" i="1082"/>
  <c r="D12" i="1082"/>
  <c r="E12" i="1082"/>
  <c r="F12" i="1082"/>
  <c r="G12" i="1082"/>
  <c r="C13" i="1082"/>
  <c r="D13" i="1082"/>
  <c r="E13" i="1082"/>
  <c r="F13" i="1082"/>
  <c r="G13" i="1082"/>
  <c r="C14" i="1082"/>
  <c r="D14" i="1082"/>
  <c r="E14" i="1082"/>
  <c r="F14" i="1082"/>
  <c r="G14" i="1082"/>
  <c r="C15" i="1082"/>
  <c r="D15" i="1082"/>
  <c r="E15" i="1082"/>
  <c r="F15" i="1082"/>
  <c r="G15" i="1082"/>
  <c r="J57" i="18"/>
  <c r="J58" i="18"/>
  <c r="J59" i="18"/>
  <c r="J60" i="18"/>
  <c r="J61" i="18"/>
  <c r="J62" i="18"/>
  <c r="J63" i="18"/>
  <c r="J64" i="18"/>
  <c r="J65" i="18"/>
  <c r="J56" i="18"/>
  <c r="G57" i="18"/>
  <c r="G58" i="18"/>
  <c r="G59" i="18"/>
  <c r="G60" i="18"/>
  <c r="G61" i="18"/>
  <c r="G62" i="18"/>
  <c r="G63" i="18"/>
  <c r="G64" i="18"/>
  <c r="G65" i="18"/>
  <c r="G56" i="18"/>
  <c r="G57" i="19"/>
  <c r="G58" i="19"/>
  <c r="G59" i="19"/>
  <c r="G60" i="19"/>
  <c r="G61" i="19"/>
  <c r="G62" i="19"/>
  <c r="G63" i="19"/>
  <c r="G64" i="19"/>
  <c r="G65" i="19"/>
  <c r="G56" i="19"/>
  <c r="J57" i="19"/>
  <c r="J58" i="19"/>
  <c r="J59" i="19"/>
  <c r="J60" i="19"/>
  <c r="J61" i="19"/>
  <c r="J62" i="19"/>
  <c r="J63" i="19"/>
  <c r="J64" i="19"/>
  <c r="J65" i="19"/>
  <c r="D56" i="19"/>
  <c r="D57" i="18" l="1"/>
  <c r="D58" i="18"/>
  <c r="D59" i="18"/>
  <c r="D60" i="18"/>
  <c r="D61" i="18"/>
  <c r="D62" i="18"/>
  <c r="D63" i="18"/>
  <c r="D64" i="18"/>
  <c r="D65" i="18"/>
  <c r="D56" i="18"/>
  <c r="M28" i="1082" l="1"/>
  <c r="R25" i="1082"/>
  <c r="S25" i="1082"/>
  <c r="T25" i="1082"/>
  <c r="U25" i="1082"/>
  <c r="V25" i="1082"/>
  <c r="W25" i="1082"/>
  <c r="X25" i="1082"/>
  <c r="Y25" i="1082"/>
  <c r="Z25" i="1082"/>
  <c r="R26" i="1082"/>
  <c r="S26" i="1082"/>
  <c r="T26" i="1082"/>
  <c r="U26" i="1082"/>
  <c r="V26" i="1082"/>
  <c r="W26" i="1082"/>
  <c r="X26" i="1082"/>
  <c r="Y26" i="1082"/>
  <c r="Z26" i="1082"/>
  <c r="R27" i="1082"/>
  <c r="S27" i="1082"/>
  <c r="T27" i="1082"/>
  <c r="U27" i="1082"/>
  <c r="V27" i="1082"/>
  <c r="W27" i="1082"/>
  <c r="X27" i="1082"/>
  <c r="Y27" i="1082"/>
  <c r="Z27" i="1082"/>
  <c r="AX58" i="1082"/>
  <c r="AW58" i="1082"/>
  <c r="AV58" i="1082"/>
  <c r="AU58" i="1082"/>
  <c r="AT58" i="1082"/>
  <c r="AS58" i="1082"/>
  <c r="AR58" i="1082"/>
  <c r="AQ58" i="1082"/>
  <c r="AP58" i="1082"/>
  <c r="AO58" i="1082"/>
  <c r="AN58" i="1082"/>
  <c r="AM58" i="1082"/>
  <c r="AL58" i="1082"/>
  <c r="AK58" i="1082"/>
  <c r="AJ58" i="1082"/>
  <c r="AI58" i="1082"/>
  <c r="AH58" i="1082"/>
  <c r="AG58" i="1082"/>
  <c r="AF58" i="1082"/>
  <c r="AE58" i="1082"/>
  <c r="AD58" i="1082"/>
  <c r="AC58" i="1082"/>
  <c r="AB58" i="1082"/>
  <c r="G58" i="1082"/>
  <c r="D58" i="1082"/>
  <c r="B58" i="1082"/>
  <c r="AX57" i="1082"/>
  <c r="AW57" i="1082"/>
  <c r="AV57" i="1082"/>
  <c r="AU57" i="1082"/>
  <c r="AT57" i="1082"/>
  <c r="AS57" i="1082"/>
  <c r="AR57" i="1082"/>
  <c r="AQ57" i="1082"/>
  <c r="AP57" i="1082"/>
  <c r="AO57" i="1082"/>
  <c r="AN57" i="1082"/>
  <c r="AM57" i="1082"/>
  <c r="AL57" i="1082"/>
  <c r="AK57" i="1082"/>
  <c r="AJ57" i="1082"/>
  <c r="AI57" i="1082"/>
  <c r="AH57" i="1082"/>
  <c r="AG57" i="1082"/>
  <c r="AF57" i="1082"/>
  <c r="AE57" i="1082"/>
  <c r="AD57" i="1082"/>
  <c r="AC57" i="1082"/>
  <c r="AB57" i="1082"/>
  <c r="AX56" i="1082"/>
  <c r="AW56" i="1082"/>
  <c r="AV56" i="1082"/>
  <c r="AU56" i="1082"/>
  <c r="AT56" i="1082"/>
  <c r="AS56" i="1082"/>
  <c r="AR56" i="1082"/>
  <c r="AQ56" i="1082"/>
  <c r="AP56" i="1082"/>
  <c r="AO56" i="1082"/>
  <c r="AN56" i="1082"/>
  <c r="AM56" i="1082"/>
  <c r="AL56" i="1082"/>
  <c r="AK56" i="1082"/>
  <c r="AJ56" i="1082"/>
  <c r="AI56" i="1082"/>
  <c r="AH56" i="1082"/>
  <c r="AG56" i="1082"/>
  <c r="AF56" i="1082"/>
  <c r="AE56" i="1082"/>
  <c r="AD56" i="1082"/>
  <c r="AC56" i="1082"/>
  <c r="AB56" i="1082"/>
  <c r="K51" i="1082"/>
  <c r="L42" i="1082" s="1"/>
  <c r="M42" i="1082" s="1"/>
  <c r="Z38" i="1082"/>
  <c r="Y38" i="1082"/>
  <c r="X38" i="1082"/>
  <c r="W38" i="1082"/>
  <c r="V38" i="1082"/>
  <c r="U38" i="1082"/>
  <c r="T38" i="1082"/>
  <c r="S38" i="1082"/>
  <c r="R38" i="1082"/>
  <c r="Z37" i="1082"/>
  <c r="Y37" i="1082"/>
  <c r="X37" i="1082"/>
  <c r="W37" i="1082"/>
  <c r="V37" i="1082"/>
  <c r="U37" i="1082"/>
  <c r="T37" i="1082"/>
  <c r="S37" i="1082"/>
  <c r="R37" i="1082"/>
  <c r="Z36" i="1082"/>
  <c r="Y36" i="1082"/>
  <c r="X36" i="1082"/>
  <c r="W36" i="1082"/>
  <c r="V36" i="1082"/>
  <c r="U36" i="1082"/>
  <c r="T36" i="1082"/>
  <c r="S36" i="1082"/>
  <c r="R36" i="1082"/>
  <c r="Z35" i="1082"/>
  <c r="Y35" i="1082"/>
  <c r="X35" i="1082"/>
  <c r="W35" i="1082"/>
  <c r="V35" i="1082"/>
  <c r="U35" i="1082"/>
  <c r="T35" i="1082"/>
  <c r="S35" i="1082"/>
  <c r="R35" i="1082"/>
  <c r="Z34" i="1082"/>
  <c r="Y34" i="1082"/>
  <c r="X34" i="1082"/>
  <c r="W34" i="1082"/>
  <c r="V34" i="1082"/>
  <c r="U34" i="1082"/>
  <c r="T34" i="1082"/>
  <c r="S34" i="1082"/>
  <c r="R34" i="1082"/>
  <c r="Z33" i="1082"/>
  <c r="Y33" i="1082"/>
  <c r="X33" i="1082"/>
  <c r="W33" i="1082"/>
  <c r="V33" i="1082"/>
  <c r="U33" i="1082"/>
  <c r="T33" i="1082"/>
  <c r="S33" i="1082"/>
  <c r="R33" i="1082"/>
  <c r="M33" i="1082"/>
  <c r="Z32" i="1082"/>
  <c r="Y32" i="1082"/>
  <c r="X32" i="1082"/>
  <c r="W32" i="1082"/>
  <c r="V32" i="1082"/>
  <c r="U32" i="1082"/>
  <c r="T32" i="1082"/>
  <c r="S32" i="1082"/>
  <c r="R32" i="1082"/>
  <c r="M32" i="1082"/>
  <c r="Z31" i="1082"/>
  <c r="Y31" i="1082"/>
  <c r="X31" i="1082"/>
  <c r="W31" i="1082"/>
  <c r="V31" i="1082"/>
  <c r="U31" i="1082"/>
  <c r="T31" i="1082"/>
  <c r="S31" i="1082"/>
  <c r="R31" i="1082"/>
  <c r="Z30" i="1082"/>
  <c r="Y30" i="1082"/>
  <c r="X30" i="1082"/>
  <c r="W30" i="1082"/>
  <c r="V30" i="1082"/>
  <c r="U30" i="1082"/>
  <c r="T30" i="1082"/>
  <c r="S30" i="1082"/>
  <c r="R30" i="1082"/>
  <c r="M30" i="1082"/>
  <c r="Z29" i="1082"/>
  <c r="Y29" i="1082"/>
  <c r="X29" i="1082"/>
  <c r="W29" i="1082"/>
  <c r="V29" i="1082"/>
  <c r="U29" i="1082"/>
  <c r="T29" i="1082"/>
  <c r="S29" i="1082"/>
  <c r="R29" i="1082"/>
  <c r="M29" i="1082"/>
  <c r="Z28" i="1082"/>
  <c r="Y28" i="1082"/>
  <c r="X28" i="1082"/>
  <c r="W28" i="1082"/>
  <c r="V28" i="1082"/>
  <c r="U28" i="1082"/>
  <c r="T28" i="1082"/>
  <c r="S28" i="1082"/>
  <c r="R28" i="1082"/>
  <c r="L58" i="1082" l="1"/>
  <c r="K58" i="1082"/>
  <c r="K37" i="1082"/>
  <c r="L56" i="1082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J56" i="19" l="1"/>
  <c r="L37" i="1082" l="1"/>
  <c r="M37" i="1082" s="1"/>
  <c r="M27" i="1082"/>
  <c r="D60" i="19" l="1"/>
  <c r="D64" i="19"/>
  <c r="D59" i="19"/>
  <c r="D62" i="19"/>
  <c r="D63" i="19" l="1"/>
  <c r="D57" i="19" l="1"/>
  <c r="D58" i="19"/>
  <c r="D61" i="19"/>
  <c r="D65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095BA852-2DF0-4A72-AB68-0B81771E30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A98AB7C-D699-491A-B88A-F5E3A4C1D9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7040E7D-37E9-4235-AABE-5FDC5CBD12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CADD12F-BE97-41F1-B9AD-7A6145D0F7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93B51F8-6708-44F7-98BF-C52EA78B99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C69F43F-8A3A-4B57-B67F-6BC56497DF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58DEF7-2D98-43E1-B947-1B7C278BC0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0C7B442-A13E-42B9-A5A5-3E0AA4E8AE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63EE1186-DA46-4D67-95FB-24977DD4DC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4D2C6A2-5FE3-4FA8-9A6F-4E5F0A9BC40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A64D889-75EF-43A9-8F39-9B6F34BB34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sharedStrings.xml><?xml version="1.0" encoding="utf-8"?>
<sst xmlns="http://schemas.openxmlformats.org/spreadsheetml/2006/main" count="511" uniqueCount="172">
  <si>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</si>
  <si>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</si>
  <si>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</si>
  <si>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</si>
  <si>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</si>
  <si>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</si>
  <si>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</si>
  <si>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</si>
  <si>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</si>
  <si>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</si>
  <si>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</si>
  <si>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</si>
  <si>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</si>
  <si>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</si>
  <si>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</si>
  <si>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</si>
  <si>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</si>
  <si>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</si>
  <si>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</si>
  <si>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</si>
  <si>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</si>
  <si>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</si>
  <si>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</si>
  <si>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</si>
  <si>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</si>
  <si>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</si>
  <si>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</si>
  <si>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</si>
  <si>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</si>
  <si>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</si>
  <si>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</si>
  <si>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</si>
  <si>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</si>
  <si>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</si>
  <si>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</si>
  <si>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</si>
  <si>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</si>
  <si>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</si>
  <si>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</si>
  <si>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</si>
  <si>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</si>
  <si>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</si>
  <si>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</si>
  <si>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</si>
  <si>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</si>
  <si>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</si>
  <si>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</si>
  <si>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</si>
  <si>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</si>
  <si>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</si>
  <si>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</si>
  <si>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</si>
  <si>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</si>
  <si>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</si>
  <si>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</si>
  <si>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</si>
  <si>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</si>
  <si>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</si>
  <si>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</si>
  <si>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</si>
  <si>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</si>
  <si>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</si>
  <si>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</si>
  <si>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</si>
  <si>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</si>
  <si>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</si>
  <si>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</si>
  <si>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</si>
  <si>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</si>
  <si>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</si>
  <si>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</si>
  <si>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</si>
  <si>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</si>
  <si>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</si>
  <si>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</si>
  <si>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</si>
  <si>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</si>
  <si>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</si>
  <si>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</si>
  <si>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</si>
  <si>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</si>
  <si>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</si>
  <si>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</si>
  <si>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</si>
  <si>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</si>
  <si>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</si>
  <si>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</si>
  <si>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</si>
  <si>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</si>
  <si>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</si>
  <si>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</si>
  <si>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</si>
  <si>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</si>
  <si>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</si>
  <si>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</si>
  <si>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</si>
  <si>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</si>
  <si>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</si>
  <si>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</si>
  <si>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</si>
  <si>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</si>
  <si>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</si>
  <si>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</si>
  <si>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</si>
  <si>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</si>
  <si>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</si>
  <si>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</si>
  <si>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</si>
  <si>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</si>
  <si>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</si>
  <si>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</si>
  <si>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</si>
  <si>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</si>
  <si>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</si>
  <si>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</si>
  <si>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</si>
  <si>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</si>
  <si>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</si>
  <si>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</si>
  <si>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</si>
  <si>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</si>
  <si>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</si>
  <si>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</si>
  <si>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</si>
  <si>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</si>
  <si>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</si>
  <si>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</si>
  <si>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</si>
  <si>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</si>
  <si>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</si>
  <si>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</si>
  <si>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</si>
  <si>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</si>
  <si>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</si>
  <si>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</si>
  <si>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</si>
  <si>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</si>
  <si>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</si>
  <si>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</si>
  <si>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</si>
  <si>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</si>
  <si>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</si>
  <si>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</si>
  <si>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</si>
  <si>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</si>
  <si>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</si>
  <si>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</si>
  <si>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</si>
  <si>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</si>
  <si>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</si>
  <si>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</si>
  <si>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</si>
  <si>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</si>
  <si>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</si>
  <si>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</si>
  <si>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</si>
  <si>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</si>
  <si>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</si>
  <si>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</si>
  <si>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</si>
  <si>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</si>
  <si>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</si>
  <si>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</si>
  <si>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</si>
  <si>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</si>
  <si>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 xml:space="preserve">  </t>
  </si>
  <si>
    <t>Brewing Time</t>
  </si>
  <si>
    <t>Extr. Rec (78%)</t>
  </si>
  <si>
    <t xml:space="preserve"> MALT LOT: Lot #15</t>
  </si>
  <si>
    <t>NO SBF</t>
  </si>
  <si>
    <t>K. Hosten</t>
  </si>
  <si>
    <t>0 SBF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</si>
</sst>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7">
    <xf numFmtId="165" fontId="0" fillId="0" borderId="0"/>
    <xf numFmtId="164" fontId="8" fillId="0" borderId="0" applyFont="0" applyFill="0" applyBorder="0" applyAlignment="0" applyProtection="0"/>
    <xf numFmtId="0" fontId="6" fillId="2" borderId="0" applyNumberFormat="0" applyBorder="0" applyAlignment="0" applyProtection="0"/>
    <xf numFmtId="165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26">
    <xf numFmtId="165" fontId="0" fillId="0" borderId="0" xfId="0"/>
    <xf numFmtId="165" fontId="10" fillId="0" borderId="0" xfId="3" applyFont="1"/>
    <xf numFmtId="165" fontId="10" fillId="0" borderId="0" xfId="3" applyFont="1" applyAlignment="1">
      <alignment wrapText="1"/>
    </xf>
    <xf numFmtId="165" fontId="11" fillId="3" borderId="1" xfId="0" applyFont="1" applyFill="1" applyBorder="1"/>
    <xf numFmtId="165" fontId="12" fillId="0" borderId="0" xfId="3" applyFont="1" applyAlignment="1">
      <alignment horizontal="center" wrapText="1"/>
    </xf>
    <xf numFmtId="165" fontId="13" fillId="0" borderId="0" xfId="3" applyFont="1"/>
    <xf numFmtId="165" fontId="9" fillId="0" borderId="0" xfId="3" applyFont="1" applyAlignment="1">
      <alignment wrapText="1"/>
    </xf>
    <xf numFmtId="166" fontId="11" fillId="3" borderId="1" xfId="0" applyNumberFormat="1" applyFont="1" applyFill="1" applyBorder="1"/>
    <xf numFmtId="166" fontId="11" fillId="3" borderId="2" xfId="0" applyNumberFormat="1" applyFont="1" applyFill="1" applyBorder="1"/>
    <xf numFmtId="167" fontId="10" fillId="3" borderId="1" xfId="3" applyNumberFormat="1" applyFont="1" applyFill="1" applyBorder="1" applyAlignment="1">
      <alignment horizontal="right"/>
    </xf>
    <xf numFmtId="167" fontId="10" fillId="3" borderId="1" xfId="3" applyNumberFormat="1" applyFont="1" applyFill="1" applyBorder="1" applyAlignment="1">
      <alignment horizontal="right" vertical="center"/>
    </xf>
    <xf numFmtId="166" fontId="9" fillId="0" borderId="0" xfId="3" applyNumberFormat="1" applyFont="1"/>
    <xf numFmtId="165" fontId="10" fillId="0" borderId="0" xfId="3" applyFont="1" applyAlignment="1">
      <alignment horizontal="center" wrapText="1"/>
    </xf>
    <xf numFmtId="165" fontId="10" fillId="0" borderId="0" xfId="3" applyFont="1" applyAlignment="1">
      <alignment vertical="center"/>
    </xf>
    <xf numFmtId="165" fontId="18" fillId="0" borderId="1" xfId="3" applyFont="1" applyBorder="1"/>
    <xf numFmtId="165" fontId="19" fillId="0" borderId="0" xfId="3" applyFont="1"/>
    <xf numFmtId="1" fontId="9" fillId="0" borderId="0" xfId="3" applyNumberFormat="1" applyFont="1" applyAlignment="1">
      <alignment horizontal="center" wrapText="1"/>
    </xf>
    <xf numFmtId="165" fontId="10" fillId="5" borderId="7" xfId="3" applyFont="1" applyFill="1" applyBorder="1" applyAlignment="1">
      <alignment horizontal="center" vertical="center" wrapText="1"/>
    </xf>
    <xf numFmtId="165" fontId="9" fillId="0" borderId="9" xfId="3" applyFont="1" applyBorder="1" applyAlignment="1">
      <alignment horizontal="center"/>
    </xf>
    <xf numFmtId="20" fontId="10" fillId="0" borderId="0" xfId="3" applyNumberFormat="1" applyFont="1"/>
    <xf numFmtId="165" fontId="10" fillId="0" borderId="11" xfId="3" applyFont="1" applyBorder="1" applyAlignment="1">
      <alignment horizontal="center" vertical="top" wrapText="1"/>
    </xf>
    <xf numFmtId="165" fontId="10" fillId="5" borderId="11" xfId="3" applyFont="1" applyFill="1" applyBorder="1" applyAlignment="1">
      <alignment horizontal="center" vertical="top" wrapText="1"/>
    </xf>
    <xf numFmtId="165" fontId="24" fillId="0" borderId="13" xfId="3" applyFont="1" applyBorder="1" applyAlignment="1">
      <alignment horizontal="left"/>
    </xf>
    <xf numFmtId="2" fontId="10" fillId="0" borderId="0" xfId="3" applyNumberFormat="1" applyFont="1"/>
    <xf numFmtId="165" fontId="10" fillId="0" borderId="20" xfId="3" applyFont="1" applyBorder="1" applyAlignment="1">
      <alignment horizontal="left"/>
    </xf>
    <xf numFmtId="165" fontId="10" fillId="0" borderId="21" xfId="3" applyFont="1" applyBorder="1" applyAlignment="1">
      <alignment horizontal="center"/>
    </xf>
    <xf numFmtId="165" fontId="10" fillId="0" borderId="21" xfId="3" applyFont="1" applyBorder="1" applyAlignment="1">
      <alignment horizontal="center" wrapText="1"/>
    </xf>
    <xf numFmtId="165" fontId="10" fillId="0" borderId="22" xfId="3" applyFont="1" applyBorder="1" applyAlignment="1">
      <alignment horizontal="center"/>
    </xf>
    <xf numFmtId="165" fontId="25" fillId="0" borderId="0" xfId="3" applyFont="1"/>
    <xf numFmtId="165" fontId="27" fillId="0" borderId="13" xfId="3" applyFont="1" applyBorder="1" applyAlignment="1">
      <alignment horizontal="left"/>
    </xf>
    <xf numFmtId="166" fontId="9" fillId="0" borderId="15" xfId="3" applyNumberFormat="1" applyFont="1" applyBorder="1"/>
    <xf numFmtId="166" fontId="9" fillId="0" borderId="0" xfId="3" applyNumberFormat="1" applyFont="1" applyAlignment="1">
      <alignment wrapText="1"/>
    </xf>
    <xf numFmtId="2" fontId="9" fillId="0" borderId="0" xfId="3" quotePrefix="1" applyNumberFormat="1" applyFont="1" applyAlignment="1">
      <alignment horizontal="center"/>
    </xf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/>
    <xf numFmtId="165" fontId="31" fillId="0" borderId="13" xfId="3" applyFont="1" applyBorder="1" applyAlignment="1">
      <alignment horizontal="left"/>
    </xf>
    <xf numFmtId="165" fontId="14" fillId="0" borderId="13" xfId="3" applyFont="1" applyBorder="1"/>
    <xf numFmtId="165" fontId="33" fillId="0" borderId="31" xfId="3" applyFont="1" applyBorder="1"/>
    <xf numFmtId="166" fontId="9" fillId="0" borderId="0" xfId="3" applyNumberFormat="1" applyFont="1" applyAlignment="1">
      <alignment horizontal="right"/>
    </xf>
    <xf numFmtId="166" fontId="9" fillId="4" borderId="0" xfId="3" applyNumberFormat="1" applyFont="1" applyFill="1"/>
    <xf numFmtId="2" fontId="9" fillId="0" borderId="0" xfId="3" applyNumberFormat="1" applyFont="1" applyAlignment="1">
      <alignment horizontal="center"/>
    </xf>
    <xf numFmtId="2" fontId="10" fillId="0" borderId="0" xfId="3" applyNumberFormat="1" applyFont="1" applyAlignment="1">
      <alignment horizontal="center"/>
    </xf>
    <xf numFmtId="166" fontId="10" fillId="0" borderId="0" xfId="3" applyNumberFormat="1" applyFont="1" applyAlignment="1">
      <alignment horizontal="center"/>
    </xf>
    <xf numFmtId="2" fontId="25" fillId="0" borderId="0" xfId="3" applyNumberFormat="1" applyFont="1"/>
    <xf numFmtId="165" fontId="14" fillId="0" borderId="0" xfId="3" applyFont="1"/>
    <xf numFmtId="2" fontId="34" fillId="0" borderId="0" xfId="3" applyNumberFormat="1" applyFont="1" applyAlignment="1">
      <alignment horizontal="center"/>
    </xf>
    <xf numFmtId="165" fontId="9" fillId="0" borderId="4" xfId="3" applyFont="1" applyBorder="1" applyAlignment="1">
      <alignment horizontal="center"/>
    </xf>
    <xf numFmtId="165" fontId="9" fillId="0" borderId="0" xfId="3" applyFont="1" applyAlignment="1">
      <alignment horizontal="center"/>
    </xf>
    <xf numFmtId="165" fontId="9" fillId="0" borderId="0" xfId="3" applyFont="1" applyAlignment="1">
      <alignment horizontal="center" wrapText="1"/>
    </xf>
    <xf numFmtId="165" fontId="10" fillId="0" borderId="0" xfId="3" applyFont="1" applyAlignment="1">
      <alignment horizontal="center" vertical="center" wrapText="1"/>
    </xf>
    <xf numFmtId="169" fontId="35" fillId="0" borderId="41" xfId="0" applyNumberFormat="1" applyFont="1" applyBorder="1" applyAlignment="1">
      <alignment horizontal="center" vertical="center"/>
    </xf>
    <xf numFmtId="170" fontId="9" fillId="0" borderId="42" xfId="4" applyNumberFormat="1" applyFont="1" applyBorder="1" applyAlignment="1">
      <alignment horizontal="center" vertical="center"/>
    </xf>
    <xf numFmtId="2" fontId="32" fillId="0" borderId="2" xfId="3" applyNumberFormat="1" applyFont="1" applyBorder="1" applyAlignment="1">
      <alignment horizontal="center" vertical="center"/>
    </xf>
    <xf numFmtId="165" fontId="9" fillId="0" borderId="0" xfId="3" applyFont="1" applyAlignment="1">
      <alignment horizontal="center" vertical="center"/>
    </xf>
    <xf numFmtId="165" fontId="10" fillId="0" borderId="43" xfId="3" applyFont="1" applyBorder="1" applyAlignment="1">
      <alignment vertical="center" wrapText="1"/>
    </xf>
    <xf numFmtId="165" fontId="10" fillId="0" borderId="0" xfId="3" applyFont="1" applyAlignment="1">
      <alignment vertical="center" wrapText="1"/>
    </xf>
    <xf numFmtId="170" fontId="9" fillId="0" borderId="0" xfId="3" applyNumberFormat="1" applyFont="1" applyAlignment="1">
      <alignment horizontal="center" vertical="center"/>
    </xf>
    <xf numFmtId="165" fontId="10" fillId="0" borderId="44" xfId="3" applyFont="1" applyBorder="1" applyAlignment="1">
      <alignment horizontal="center" shrinkToFit="1"/>
    </xf>
    <xf numFmtId="165" fontId="10" fillId="0" borderId="45" xfId="3" applyFont="1" applyBorder="1" applyAlignment="1">
      <alignment horizontal="center" shrinkToFit="1"/>
    </xf>
    <xf numFmtId="165" fontId="10" fillId="0" borderId="0" xfId="3" applyFont="1" applyAlignment="1">
      <alignment horizontal="center" wrapText="1" shrinkToFit="1"/>
    </xf>
    <xf numFmtId="165" fontId="10" fillId="0" borderId="50" xfId="3" applyFont="1" applyBorder="1" applyAlignment="1">
      <alignment horizontal="left"/>
    </xf>
    <xf numFmtId="165" fontId="10" fillId="0" borderId="10" xfId="3" applyFont="1" applyBorder="1" applyAlignment="1">
      <alignment horizontal="left"/>
    </xf>
    <xf numFmtId="165" fontId="10" fillId="0" borderId="12" xfId="3" applyFont="1" applyBorder="1" applyAlignment="1">
      <alignment horizontal="left"/>
    </xf>
    <xf numFmtId="165" fontId="10" fillId="0" borderId="0" xfId="3" applyFont="1" applyAlignment="1">
      <alignment horizontal="left" wrapText="1"/>
    </xf>
    <xf numFmtId="2" fontId="36" fillId="0" borderId="1" xfId="3" applyNumberFormat="1" applyFont="1" applyBorder="1" applyAlignment="1">
      <alignment horizontal="right"/>
    </xf>
    <xf numFmtId="166" fontId="9" fillId="0" borderId="15" xfId="3" applyNumberFormat="1" applyFont="1" applyBorder="1" applyAlignment="1">
      <alignment horizontal="right"/>
    </xf>
    <xf numFmtId="170" fontId="32" fillId="0" borderId="1" xfId="3" applyNumberFormat="1" applyFont="1" applyBorder="1" applyAlignment="1">
      <alignment horizontal="right"/>
    </xf>
    <xf numFmtId="9" fontId="9" fillId="0" borderId="15" xfId="3" applyNumberFormat="1" applyFont="1" applyBorder="1" applyAlignment="1">
      <alignment horizontal="right"/>
    </xf>
    <xf numFmtId="9" fontId="9" fillId="0" borderId="0" xfId="3" applyNumberFormat="1" applyFont="1" applyAlignment="1">
      <alignment horizontal="right" wrapText="1"/>
    </xf>
    <xf numFmtId="166" fontId="9" fillId="0" borderId="51" xfId="3" applyNumberFormat="1" applyFont="1" applyBorder="1" applyAlignment="1">
      <alignment horizontal="right"/>
    </xf>
    <xf numFmtId="9" fontId="9" fillId="0" borderId="51" xfId="3" applyNumberFormat="1" applyFont="1" applyBorder="1" applyAlignment="1">
      <alignment horizontal="right"/>
    </xf>
    <xf numFmtId="166" fontId="9" fillId="0" borderId="36" xfId="3" applyNumberFormat="1" applyFont="1" applyBorder="1" applyAlignment="1">
      <alignment horizontal="right"/>
    </xf>
    <xf numFmtId="2" fontId="10" fillId="0" borderId="31" xfId="3" applyNumberFormat="1" applyFont="1" applyBorder="1" applyAlignment="1">
      <alignment horizontal="right"/>
    </xf>
    <xf numFmtId="165" fontId="9" fillId="0" borderId="0" xfId="3" applyFont="1" applyAlignment="1">
      <alignment horizontal="right"/>
    </xf>
    <xf numFmtId="165" fontId="9" fillId="0" borderId="0" xfId="3" applyFont="1" applyAlignment="1">
      <alignment horizontal="right" wrapText="1"/>
    </xf>
    <xf numFmtId="2" fontId="39" fillId="0" borderId="1" xfId="3" applyNumberFormat="1" applyFont="1" applyBorder="1" applyAlignment="1">
      <alignment horizontal="right"/>
    </xf>
    <xf numFmtId="165" fontId="10" fillId="0" borderId="37" xfId="3" applyFont="1" applyBorder="1" applyAlignment="1">
      <alignment vertical="center"/>
    </xf>
    <xf numFmtId="165" fontId="8" fillId="0" borderId="0" xfId="3"/>
    <xf numFmtId="165" fontId="40" fillId="0" borderId="0" xfId="3" applyFont="1"/>
    <xf numFmtId="165" fontId="41" fillId="0" borderId="6" xfId="3" applyFont="1" applyBorder="1" applyAlignment="1">
      <alignment horizontal="center" vertical="center" wrapText="1"/>
    </xf>
    <xf numFmtId="165" fontId="15" fillId="0" borderId="6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3" fillId="0" borderId="10" xfId="3" applyFont="1" applyBorder="1" applyAlignment="1">
      <alignment horizontal="center" vertical="center" wrapText="1"/>
    </xf>
    <xf numFmtId="165" fontId="41" fillId="0" borderId="11" xfId="3" applyFont="1" applyBorder="1" applyAlignment="1">
      <alignment horizontal="center" vertical="center" wrapText="1"/>
    </xf>
    <xf numFmtId="165" fontId="41" fillId="0" borderId="0" xfId="3" applyFont="1" applyAlignment="1">
      <alignment horizontal="left"/>
    </xf>
    <xf numFmtId="165" fontId="44" fillId="0" borderId="13" xfId="3" applyFont="1" applyBorder="1" applyAlignment="1">
      <alignment horizontal="left"/>
    </xf>
    <xf numFmtId="16" fontId="8" fillId="0" borderId="10" xfId="3" applyNumberFormat="1" applyBorder="1" applyAlignment="1">
      <alignment horizontal="center"/>
    </xf>
    <xf numFmtId="166" fontId="45" fillId="0" borderId="1" xfId="3" applyNumberFormat="1" applyFont="1" applyBorder="1" applyAlignment="1">
      <alignment horizontal="center"/>
    </xf>
    <xf numFmtId="1" fontId="45" fillId="0" borderId="10" xfId="3" applyNumberFormat="1" applyFont="1" applyBorder="1" applyAlignment="1">
      <alignment horizontal="center"/>
    </xf>
    <xf numFmtId="166" fontId="46" fillId="0" borderId="10" xfId="3" applyNumberFormat="1" applyFont="1" applyBorder="1" applyAlignment="1">
      <alignment horizontal="center"/>
    </xf>
    <xf numFmtId="166" fontId="8" fillId="0" borderId="1" xfId="3" applyNumberFormat="1" applyBorder="1" applyAlignment="1">
      <alignment horizontal="center"/>
    </xf>
    <xf numFmtId="167" fontId="8" fillId="0" borderId="11" xfId="3" applyNumberFormat="1" applyBorder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1" fillId="0" borderId="0" xfId="3" applyFont="1"/>
    <xf numFmtId="165" fontId="8" fillId="0" borderId="13" xfId="3" applyBorder="1"/>
    <xf numFmtId="166" fontId="8" fillId="0" borderId="0" xfId="3" applyNumberFormat="1" applyAlignment="1">
      <alignment horizontal="center"/>
    </xf>
    <xf numFmtId="165" fontId="48" fillId="8" borderId="43" xfId="3" applyFont="1" applyFill="1" applyBorder="1" applyAlignment="1">
      <alignment horizontal="center" wrapText="1"/>
    </xf>
    <xf numFmtId="165" fontId="49" fillId="0" borderId="13" xfId="3" applyFont="1" applyBorder="1"/>
    <xf numFmtId="166" fontId="8" fillId="0" borderId="0" xfId="3" applyNumberFormat="1"/>
    <xf numFmtId="165" fontId="50" fillId="0" borderId="13" xfId="3" applyFont="1" applyBorder="1"/>
    <xf numFmtId="165" fontId="51" fillId="0" borderId="52" xfId="3" applyFont="1" applyBorder="1" applyAlignment="1">
      <alignment horizontal="left"/>
    </xf>
    <xf numFmtId="15" fontId="8" fillId="0" borderId="10" xfId="3" applyNumberFormat="1" applyBorder="1" applyAlignment="1">
      <alignment horizontal="center"/>
    </xf>
    <xf numFmtId="166" fontId="8" fillId="8" borderId="1" xfId="3" applyNumberFormat="1" applyFill="1" applyBorder="1" applyAlignment="1">
      <alignment horizontal="center"/>
    </xf>
    <xf numFmtId="166" fontId="8" fillId="8" borderId="11" xfId="3" applyNumberFormat="1" applyFill="1" applyBorder="1" applyAlignment="1">
      <alignment horizontal="center"/>
    </xf>
    <xf numFmtId="165" fontId="15" fillId="8" borderId="43" xfId="3" applyFont="1" applyFill="1" applyBorder="1" applyAlignment="1">
      <alignment horizontal="center"/>
    </xf>
    <xf numFmtId="165" fontId="49" fillId="0" borderId="31" xfId="3" applyFont="1" applyBorder="1"/>
    <xf numFmtId="16" fontId="8" fillId="0" borderId="32" xfId="3" applyNumberFormat="1" applyBorder="1" applyAlignment="1">
      <alignment horizontal="center"/>
    </xf>
    <xf numFmtId="15" fontId="8" fillId="0" borderId="32" xfId="3" applyNumberFormat="1" applyBorder="1" applyAlignment="1">
      <alignment horizontal="center"/>
    </xf>
    <xf numFmtId="166" fontId="8" fillId="0" borderId="32" xfId="3" applyNumberFormat="1" applyBorder="1" applyAlignment="1">
      <alignment horizontal="center"/>
    </xf>
    <xf numFmtId="1" fontId="45" fillId="0" borderId="32" xfId="3" applyNumberFormat="1" applyFont="1" applyBorder="1" applyAlignment="1">
      <alignment horizontal="center"/>
    </xf>
    <xf numFmtId="166" fontId="46" fillId="0" borderId="32" xfId="3" applyNumberFormat="1" applyFont="1" applyBorder="1" applyAlignment="1">
      <alignment horizontal="center"/>
    </xf>
    <xf numFmtId="166" fontId="8" fillId="8" borderId="32" xfId="3" applyNumberFormat="1" applyFill="1" applyBorder="1" applyAlignment="1">
      <alignment horizontal="center"/>
    </xf>
    <xf numFmtId="166" fontId="8" fillId="8" borderId="53" xfId="3" applyNumberFormat="1" applyFill="1" applyBorder="1" applyAlignment="1">
      <alignment horizontal="center"/>
    </xf>
    <xf numFmtId="167" fontId="8" fillId="0" borderId="53" xfId="3" applyNumberFormat="1" applyBorder="1" applyAlignment="1">
      <alignment horizontal="center"/>
    </xf>
    <xf numFmtId="165" fontId="52" fillId="0" borderId="54" xfId="3" applyFont="1" applyBorder="1" applyAlignment="1">
      <alignment horizontal="center"/>
    </xf>
    <xf numFmtId="165" fontId="8" fillId="0" borderId="0" xfId="3" applyAlignment="1">
      <alignment horizontal="center"/>
    </xf>
    <xf numFmtId="15" fontId="8" fillId="0" borderId="0" xfId="3" applyNumberFormat="1" applyAlignment="1">
      <alignment horizontal="center"/>
    </xf>
    <xf numFmtId="166" fontId="53" fillId="0" borderId="0" xfId="3" applyNumberFormat="1" applyFont="1" applyAlignment="1">
      <alignment horizontal="center"/>
    </xf>
    <xf numFmtId="2" fontId="8" fillId="0" borderId="0" xfId="3" applyNumberFormat="1" applyAlignment="1">
      <alignment horizontal="center"/>
    </xf>
    <xf numFmtId="166" fontId="41" fillId="0" borderId="33" xfId="3" applyNumberFormat="1" applyFont="1" applyBorder="1"/>
    <xf numFmtId="165" fontId="52" fillId="0" borderId="0" xfId="3" applyFont="1" applyAlignment="1">
      <alignment horizontal="center"/>
    </xf>
    <xf numFmtId="166" fontId="45" fillId="0" borderId="20" xfId="3" applyNumberFormat="1" applyFont="1" applyBorder="1" applyAlignment="1">
      <alignment horizontal="center"/>
    </xf>
    <xf numFmtId="166" fontId="45" fillId="0" borderId="21" xfId="3" applyNumberFormat="1" applyFont="1" applyBorder="1" applyAlignment="1">
      <alignment horizontal="center"/>
    </xf>
    <xf numFmtId="2" fontId="41" fillId="0" borderId="0" xfId="3" applyNumberFormat="1" applyFont="1" applyAlignment="1">
      <alignment horizontal="center"/>
    </xf>
    <xf numFmtId="2" fontId="41" fillId="0" borderId="57" xfId="3" applyNumberFormat="1" applyFont="1" applyBorder="1" applyAlignment="1">
      <alignment horizontal="center"/>
    </xf>
    <xf numFmtId="166" fontId="8" fillId="0" borderId="13" xfId="3" applyNumberFormat="1" applyBorder="1" applyAlignment="1">
      <alignment horizontal="center"/>
    </xf>
    <xf numFmtId="2" fontId="8" fillId="0" borderId="1" xfId="3" applyNumberFormat="1" applyBorder="1" applyAlignment="1">
      <alignment horizontal="center"/>
    </xf>
    <xf numFmtId="165" fontId="8" fillId="0" borderId="2" xfId="3" applyBorder="1" applyAlignment="1">
      <alignment horizontal="center"/>
    </xf>
    <xf numFmtId="165" fontId="50" fillId="0" borderId="58" xfId="3" applyFont="1" applyBorder="1" applyAlignment="1">
      <alignment horizontal="center"/>
    </xf>
    <xf numFmtId="165" fontId="54" fillId="0" borderId="13" xfId="3" applyFont="1" applyBorder="1" applyAlignment="1">
      <alignment horizontal="center"/>
    </xf>
    <xf numFmtId="2" fontId="46" fillId="0" borderId="15" xfId="3" applyNumberFormat="1" applyFont="1" applyBorder="1" applyAlignment="1">
      <alignment horizontal="center"/>
    </xf>
    <xf numFmtId="2" fontId="46" fillId="0" borderId="2" xfId="3" applyNumberFormat="1" applyFont="1" applyBorder="1" applyAlignment="1">
      <alignment horizontal="center"/>
    </xf>
    <xf numFmtId="166" fontId="41" fillId="0" borderId="0" xfId="3" applyNumberFormat="1" applyFont="1" applyAlignment="1">
      <alignment horizontal="center"/>
    </xf>
    <xf numFmtId="1" fontId="8" fillId="0" borderId="58" xfId="3" applyNumberFormat="1" applyBorder="1" applyAlignment="1">
      <alignment horizontal="center"/>
    </xf>
    <xf numFmtId="166" fontId="55" fillId="0" borderId="59" xfId="3" applyNumberFormat="1" applyFont="1" applyBorder="1" applyAlignment="1">
      <alignment horizontal="center"/>
    </xf>
    <xf numFmtId="15" fontId="8" fillId="0" borderId="31" xfId="3" applyNumberFormat="1" applyBorder="1" applyAlignment="1">
      <alignment horizontal="center"/>
    </xf>
    <xf numFmtId="2" fontId="8" fillId="0" borderId="36" xfId="3" applyNumberFormat="1" applyBorder="1" applyAlignment="1">
      <alignment horizontal="center"/>
    </xf>
    <xf numFmtId="2" fontId="8" fillId="0" borderId="53" xfId="3" applyNumberFormat="1" applyBorder="1" applyAlignment="1">
      <alignment horizontal="center"/>
    </xf>
    <xf numFmtId="166" fontId="8" fillId="0" borderId="61" xfId="3" applyNumberFormat="1" applyBorder="1" applyAlignment="1">
      <alignment horizontal="center"/>
    </xf>
    <xf numFmtId="165" fontId="41" fillId="0" borderId="20" xfId="3" applyFont="1" applyBorder="1" applyAlignment="1">
      <alignment horizontal="left"/>
    </xf>
    <xf numFmtId="165" fontId="41" fillId="0" borderId="21" xfId="3" applyFont="1" applyBorder="1" applyAlignment="1">
      <alignment horizontal="center"/>
    </xf>
    <xf numFmtId="165" fontId="41" fillId="0" borderId="56" xfId="3" applyFont="1" applyBorder="1" applyAlignment="1">
      <alignment horizontal="center"/>
    </xf>
    <xf numFmtId="165" fontId="41" fillId="0" borderId="0" xfId="3" applyFont="1" applyAlignment="1">
      <alignment horizontal="center"/>
    </xf>
    <xf numFmtId="166" fontId="8" fillId="0" borderId="1" xfId="3" applyNumberFormat="1" applyBorder="1" applyAlignment="1">
      <alignment horizontal="right"/>
    </xf>
    <xf numFmtId="166" fontId="41" fillId="0" borderId="1" xfId="3" applyNumberFormat="1" applyFont="1" applyBorder="1" applyAlignment="1">
      <alignment horizontal="right"/>
    </xf>
    <xf numFmtId="166" fontId="8" fillId="0" borderId="59" xfId="3" applyNumberFormat="1" applyBorder="1"/>
    <xf numFmtId="165" fontId="56" fillId="0" borderId="13" xfId="3" applyFont="1" applyBorder="1" applyAlignment="1">
      <alignment horizontal="left"/>
    </xf>
    <xf numFmtId="166" fontId="55" fillId="0" borderId="1" xfId="3" applyNumberFormat="1" applyFont="1" applyBorder="1" applyAlignment="1">
      <alignment horizontal="right"/>
    </xf>
    <xf numFmtId="165" fontId="57" fillId="0" borderId="13" xfId="3" applyFont="1" applyBorder="1"/>
    <xf numFmtId="166" fontId="41" fillId="0" borderId="1" xfId="3" applyNumberFormat="1" applyFont="1" applyBorder="1"/>
    <xf numFmtId="166" fontId="46" fillId="0" borderId="1" xfId="3" applyNumberFormat="1" applyFont="1" applyBorder="1" applyAlignment="1">
      <alignment horizontal="right"/>
    </xf>
    <xf numFmtId="166" fontId="55" fillId="0" borderId="14" xfId="3" applyNumberFormat="1" applyFont="1" applyBorder="1"/>
    <xf numFmtId="165" fontId="58" fillId="0" borderId="31" xfId="3" applyFont="1" applyBorder="1"/>
    <xf numFmtId="166" fontId="8" fillId="0" borderId="32" xfId="3" applyNumberFormat="1" applyBorder="1" applyAlignment="1">
      <alignment horizontal="right"/>
    </xf>
    <xf numFmtId="166" fontId="41" fillId="0" borderId="14" xfId="3" applyNumberFormat="1" applyFont="1" applyBorder="1"/>
    <xf numFmtId="166" fontId="8" fillId="0" borderId="60" xfId="3" applyNumberFormat="1" applyBorder="1"/>
    <xf numFmtId="165" fontId="58" fillId="0" borderId="0" xfId="3" applyFont="1"/>
    <xf numFmtId="166" fontId="8" fillId="0" borderId="0" xfId="3" applyNumberFormat="1" applyAlignment="1">
      <alignment horizontal="right"/>
    </xf>
    <xf numFmtId="16" fontId="8" fillId="0" borderId="10" xfId="3" applyNumberFormat="1" applyBorder="1" applyAlignment="1">
      <alignment horizontal="center" vertical="center"/>
    </xf>
    <xf numFmtId="15" fontId="8" fillId="0" borderId="6" xfId="3" applyNumberFormat="1" applyBorder="1" applyAlignment="1">
      <alignment vertical="center"/>
    </xf>
    <xf numFmtId="2" fontId="8" fillId="0" borderId="1" xfId="3" applyNumberFormat="1" applyBorder="1" applyAlignment="1">
      <alignment horizontal="right" vertical="center"/>
    </xf>
    <xf numFmtId="166" fontId="8" fillId="0" borderId="1" xfId="3" applyNumberFormat="1" applyBorder="1" applyAlignment="1">
      <alignment horizontal="center" vertical="center"/>
    </xf>
    <xf numFmtId="170" fontId="8" fillId="0" borderId="6" xfId="3" applyNumberFormat="1" applyBorder="1" applyAlignment="1">
      <alignment vertical="center"/>
    </xf>
    <xf numFmtId="165" fontId="41" fillId="0" borderId="23" xfId="3" applyFont="1" applyBorder="1" applyAlignment="1">
      <alignment vertical="center" wrapText="1"/>
    </xf>
    <xf numFmtId="165" fontId="59" fillId="0" borderId="0" xfId="3" applyFont="1"/>
    <xf numFmtId="15" fontId="8" fillId="0" borderId="1" xfId="3" applyNumberFormat="1" applyBorder="1" applyAlignment="1">
      <alignment horizontal="center" vertical="center"/>
    </xf>
    <xf numFmtId="165" fontId="8" fillId="0" borderId="1" xfId="3" applyBorder="1"/>
    <xf numFmtId="165" fontId="60" fillId="0" borderId="43" xfId="3" applyFont="1" applyBorder="1" applyAlignment="1">
      <alignment vertical="center" wrapText="1"/>
    </xf>
    <xf numFmtId="2" fontId="8" fillId="0" borderId="1" xfId="3" applyNumberFormat="1" applyBorder="1" applyAlignment="1">
      <alignment horizontal="center" vertical="center"/>
    </xf>
    <xf numFmtId="2" fontId="8" fillId="0" borderId="1" xfId="3" applyNumberFormat="1" applyBorder="1" applyAlignment="1">
      <alignment horizontal="right"/>
    </xf>
    <xf numFmtId="165" fontId="41" fillId="0" borderId="43" xfId="3" applyFont="1" applyBorder="1" applyAlignment="1">
      <alignment vertical="center" wrapText="1"/>
    </xf>
    <xf numFmtId="165" fontId="53" fillId="0" borderId="13" xfId="3" applyFont="1" applyBorder="1"/>
    <xf numFmtId="165" fontId="53" fillId="0" borderId="52" xfId="3" applyFont="1" applyBorder="1"/>
    <xf numFmtId="165" fontId="8" fillId="0" borderId="14" xfId="3" applyBorder="1"/>
    <xf numFmtId="166" fontId="8" fillId="0" borderId="14" xfId="3" applyNumberFormat="1" applyBorder="1" applyAlignment="1">
      <alignment horizontal="right"/>
    </xf>
    <xf numFmtId="165" fontId="41" fillId="0" borderId="66" xfId="3" applyFont="1" applyBorder="1" applyAlignment="1">
      <alignment vertical="center" wrapText="1"/>
    </xf>
    <xf numFmtId="165" fontId="41" fillId="0" borderId="31" xfId="3" applyFont="1" applyBorder="1" applyAlignment="1">
      <alignment horizontal="center" shrinkToFit="1"/>
    </xf>
    <xf numFmtId="165" fontId="8" fillId="0" borderId="32" xfId="3" applyBorder="1" applyAlignment="1">
      <alignment horizontal="center"/>
    </xf>
    <xf numFmtId="15" fontId="8" fillId="0" borderId="39" xfId="3" applyNumberFormat="1" applyBorder="1"/>
    <xf numFmtId="165" fontId="8" fillId="0" borderId="32" xfId="3" applyBorder="1"/>
    <xf numFmtId="165" fontId="8" fillId="0" borderId="32" xfId="3" applyBorder="1" applyAlignment="1">
      <alignment horizontal="right"/>
    </xf>
    <xf numFmtId="165" fontId="41" fillId="0" borderId="54" xfId="3" applyFont="1" applyBorder="1" applyAlignment="1">
      <alignment vertical="center" wrapText="1"/>
    </xf>
    <xf numFmtId="165" fontId="41" fillId="0" borderId="0" xfId="3" applyFont="1" applyAlignment="1">
      <alignment horizontal="center" shrinkToFit="1"/>
    </xf>
    <xf numFmtId="165" fontId="41" fillId="0" borderId="0" xfId="3" applyFont="1" applyAlignment="1">
      <alignment vertical="center" wrapText="1"/>
    </xf>
    <xf numFmtId="165" fontId="39" fillId="0" borderId="50" xfId="3" applyFont="1" applyBorder="1" applyAlignment="1">
      <alignment horizontal="left"/>
    </xf>
    <xf numFmtId="165" fontId="39" fillId="0" borderId="10" xfId="3" applyFont="1" applyBorder="1" applyAlignment="1">
      <alignment horizontal="left"/>
    </xf>
    <xf numFmtId="165" fontId="39" fillId="0" borderId="12" xfId="3" applyFont="1" applyBorder="1" applyAlignment="1">
      <alignment horizontal="left"/>
    </xf>
    <xf numFmtId="165" fontId="41" fillId="0" borderId="10" xfId="3" applyFont="1" applyBorder="1" applyAlignment="1">
      <alignment horizontal="left"/>
    </xf>
    <xf numFmtId="165" fontId="41" fillId="0" borderId="12" xfId="3" applyFont="1" applyBorder="1" applyAlignment="1">
      <alignment horizontal="left"/>
    </xf>
    <xf numFmtId="2" fontId="62" fillId="0" borderId="1" xfId="4" applyNumberFormat="1" applyFont="1" applyBorder="1" applyAlignment="1">
      <alignment horizontal="right"/>
    </xf>
    <xf numFmtId="166" fontId="62" fillId="0" borderId="15" xfId="3" applyNumberFormat="1" applyFont="1" applyBorder="1" applyAlignment="1">
      <alignment horizontal="right"/>
    </xf>
    <xf numFmtId="170" fontId="8" fillId="0" borderId="52" xfId="4" applyNumberFormat="1" applyBorder="1" applyAlignment="1">
      <alignment horizontal="right" vertical="center"/>
    </xf>
    <xf numFmtId="170" fontId="55" fillId="0" borderId="1" xfId="3" applyNumberFormat="1" applyFont="1" applyBorder="1" applyAlignment="1">
      <alignment horizontal="right"/>
    </xf>
    <xf numFmtId="9" fontId="8" fillId="0" borderId="15" xfId="3" applyNumberFormat="1" applyBorder="1" applyAlignment="1">
      <alignment horizontal="right"/>
    </xf>
    <xf numFmtId="170" fontId="8" fillId="0" borderId="1" xfId="4" applyNumberFormat="1" applyBorder="1" applyAlignment="1">
      <alignment horizontal="right"/>
    </xf>
    <xf numFmtId="165" fontId="24" fillId="0" borderId="13" xfId="3" applyFont="1" applyBorder="1"/>
    <xf numFmtId="2" fontId="62" fillId="0" borderId="0" xfId="3" applyNumberFormat="1" applyFont="1" applyAlignment="1">
      <alignment horizontal="right"/>
    </xf>
    <xf numFmtId="165" fontId="31" fillId="0" borderId="52" xfId="3" applyFont="1" applyBorder="1" applyAlignment="1">
      <alignment horizontal="left"/>
    </xf>
    <xf numFmtId="166" fontId="62" fillId="0" borderId="51" xfId="3" applyNumberFormat="1" applyFont="1" applyBorder="1" applyAlignment="1">
      <alignment horizontal="right"/>
    </xf>
    <xf numFmtId="165" fontId="32" fillId="0" borderId="52" xfId="3" applyFont="1" applyBorder="1" applyAlignment="1">
      <alignment horizontal="left"/>
    </xf>
    <xf numFmtId="2" fontId="62" fillId="0" borderId="14" xfId="4" applyNumberFormat="1" applyFont="1" applyBorder="1" applyAlignment="1">
      <alignment horizontal="right"/>
    </xf>
    <xf numFmtId="170" fontId="8" fillId="0" borderId="14" xfId="4" applyNumberFormat="1" applyBorder="1" applyAlignment="1">
      <alignment horizontal="right"/>
    </xf>
    <xf numFmtId="9" fontId="8" fillId="0" borderId="51" xfId="3" applyNumberFormat="1" applyBorder="1" applyAlignment="1">
      <alignment horizontal="right"/>
    </xf>
    <xf numFmtId="2" fontId="62" fillId="0" borderId="32" xfId="3" applyNumberFormat="1" applyFont="1" applyBorder="1" applyAlignment="1">
      <alignment horizontal="right"/>
    </xf>
    <xf numFmtId="166" fontId="62" fillId="0" borderId="36" xfId="3" applyNumberFormat="1" applyFont="1" applyBorder="1" applyAlignment="1">
      <alignment horizontal="right"/>
    </xf>
    <xf numFmtId="170" fontId="8" fillId="0" borderId="32" xfId="3" applyNumberFormat="1" applyBorder="1" applyAlignment="1">
      <alignment horizontal="right"/>
    </xf>
    <xf numFmtId="9" fontId="8" fillId="0" borderId="36" xfId="3" applyNumberFormat="1" applyBorder="1" applyAlignment="1">
      <alignment horizontal="right"/>
    </xf>
    <xf numFmtId="165" fontId="62" fillId="0" borderId="0" xfId="3" applyFont="1"/>
    <xf numFmtId="165" fontId="62" fillId="0" borderId="0" xfId="3" applyFont="1" applyAlignment="1">
      <alignment horizontal="right"/>
    </xf>
    <xf numFmtId="2" fontId="39" fillId="0" borderId="0" xfId="3" applyNumberFormat="1" applyFont="1" applyAlignment="1">
      <alignment horizontal="right"/>
    </xf>
    <xf numFmtId="2" fontId="41" fillId="0" borderId="0" xfId="3" applyNumberFormat="1" applyFont="1" applyAlignment="1">
      <alignment horizontal="right"/>
    </xf>
    <xf numFmtId="165" fontId="8" fillId="0" borderId="0" xfId="3" applyAlignment="1">
      <alignment horizontal="right"/>
    </xf>
    <xf numFmtId="165" fontId="63" fillId="0" borderId="0" xfId="3" applyFont="1"/>
    <xf numFmtId="165" fontId="54" fillId="0" borderId="0" xfId="0" applyFont="1"/>
    <xf numFmtId="165" fontId="54" fillId="0" borderId="0" xfId="0" applyFont="1" applyAlignment="1">
      <alignment horizontal="center"/>
    </xf>
    <xf numFmtId="165" fontId="64" fillId="3" borderId="1" xfId="0" applyFont="1" applyFill="1" applyBorder="1"/>
    <xf numFmtId="165" fontId="64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4" fillId="3" borderId="1" xfId="0" applyNumberFormat="1" applyFont="1" applyFill="1" applyBorder="1" applyAlignment="1">
      <alignment horizontal="center"/>
    </xf>
    <xf numFmtId="40" fontId="54" fillId="10" borderId="27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center"/>
    </xf>
    <xf numFmtId="40" fontId="54" fillId="12" borderId="27" xfId="1" applyNumberFormat="1" applyFont="1" applyFill="1" applyBorder="1" applyAlignment="1">
      <alignment horizontal="center"/>
    </xf>
    <xf numFmtId="40" fontId="54" fillId="13" borderId="27" xfId="1" applyNumberFormat="1" applyFont="1" applyFill="1" applyBorder="1" applyAlignment="1">
      <alignment horizontal="center"/>
    </xf>
    <xf numFmtId="40" fontId="54" fillId="14" borderId="27" xfId="1" applyNumberFormat="1" applyFont="1" applyFill="1" applyBorder="1" applyAlignment="1">
      <alignment horizontal="center"/>
    </xf>
    <xf numFmtId="40" fontId="54" fillId="15" borderId="27" xfId="1" applyNumberFormat="1" applyFont="1" applyFill="1" applyBorder="1" applyAlignment="1">
      <alignment horizontal="center"/>
    </xf>
    <xf numFmtId="40" fontId="54" fillId="16" borderId="27" xfId="1" applyNumberFormat="1" applyFont="1" applyFill="1" applyBorder="1" applyAlignment="1">
      <alignment horizontal="center"/>
    </xf>
    <xf numFmtId="40" fontId="54" fillId="17" borderId="27" xfId="1" applyNumberFormat="1" applyFont="1" applyFill="1" applyBorder="1" applyAlignment="1">
      <alignment horizontal="center"/>
    </xf>
    <xf numFmtId="40" fontId="54" fillId="18" borderId="27" xfId="1" applyNumberFormat="1" applyFont="1" applyFill="1" applyBorder="1" applyAlignment="1">
      <alignment horizontal="center"/>
    </xf>
    <xf numFmtId="166" fontId="64" fillId="4" borderId="1" xfId="0" applyNumberFormat="1" applyFont="1" applyFill="1" applyBorder="1" applyAlignment="1">
      <alignment horizontal="center"/>
    </xf>
    <xf numFmtId="165" fontId="64" fillId="19" borderId="1" xfId="0" applyFont="1" applyFill="1" applyBorder="1" applyAlignment="1">
      <alignment horizontal="center"/>
    </xf>
    <xf numFmtId="2" fontId="64" fillId="19" borderId="1" xfId="0" applyNumberFormat="1" applyFont="1" applyFill="1" applyBorder="1" applyAlignment="1">
      <alignment horizontal="center"/>
    </xf>
    <xf numFmtId="2" fontId="64" fillId="0" borderId="1" xfId="0" applyNumberFormat="1" applyFont="1" applyBorder="1" applyAlignment="1">
      <alignment horizontal="center"/>
    </xf>
    <xf numFmtId="165" fontId="64" fillId="9" borderId="3" xfId="0" applyFont="1" applyFill="1" applyBorder="1" applyAlignment="1">
      <alignment horizontal="center"/>
    </xf>
    <xf numFmtId="40" fontId="54" fillId="10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/>
    <xf numFmtId="40" fontId="54" fillId="12" borderId="68" xfId="1" applyNumberFormat="1" applyFont="1" applyFill="1" applyBorder="1" applyAlignment="1">
      <alignment horizontal="center"/>
    </xf>
    <xf numFmtId="2" fontId="54" fillId="0" borderId="1" xfId="0" applyNumberFormat="1" applyFont="1" applyBorder="1"/>
    <xf numFmtId="40" fontId="54" fillId="13" borderId="68" xfId="1" applyNumberFormat="1" applyFont="1" applyFill="1" applyBorder="1" applyAlignment="1">
      <alignment horizontal="center"/>
    </xf>
    <xf numFmtId="40" fontId="54" fillId="14" borderId="68" xfId="1" applyNumberFormat="1" applyFont="1" applyFill="1" applyBorder="1" applyAlignment="1">
      <alignment horizontal="center"/>
    </xf>
    <xf numFmtId="40" fontId="54" fillId="15" borderId="68" xfId="1" applyNumberFormat="1" applyFont="1" applyFill="1" applyBorder="1" applyAlignment="1">
      <alignment horizontal="center"/>
    </xf>
    <xf numFmtId="2" fontId="54" fillId="11" borderId="1" xfId="0" applyNumberFormat="1" applyFont="1" applyFill="1" applyBorder="1" applyAlignment="1">
      <alignment horizontal="right"/>
    </xf>
    <xf numFmtId="40" fontId="54" fillId="16" borderId="68" xfId="1" applyNumberFormat="1" applyFont="1" applyFill="1" applyBorder="1" applyAlignment="1">
      <alignment horizontal="center"/>
    </xf>
    <xf numFmtId="2" fontId="54" fillId="0" borderId="1" xfId="0" applyNumberFormat="1" applyFont="1" applyBorder="1" applyAlignment="1">
      <alignment horizontal="right"/>
    </xf>
    <xf numFmtId="40" fontId="54" fillId="17" borderId="68" xfId="1" applyNumberFormat="1" applyFont="1" applyFill="1" applyBorder="1" applyAlignment="1">
      <alignment horizontal="center"/>
    </xf>
    <xf numFmtId="40" fontId="54" fillId="18" borderId="68" xfId="1" applyNumberFormat="1" applyFont="1" applyFill="1" applyBorder="1" applyAlignment="1">
      <alignment horizontal="center"/>
    </xf>
    <xf numFmtId="165" fontId="64" fillId="19" borderId="3" xfId="0" applyFont="1" applyFill="1" applyBorder="1"/>
    <xf numFmtId="2" fontId="64" fillId="19" borderId="1" xfId="0" applyNumberFormat="1" applyFont="1" applyFill="1" applyBorder="1"/>
    <xf numFmtId="165" fontId="7" fillId="0" borderId="0" xfId="0" applyFont="1"/>
    <xf numFmtId="165" fontId="11" fillId="0" borderId="0" xfId="0" applyFont="1"/>
    <xf numFmtId="165" fontId="66" fillId="0" borderId="0" xfId="0" applyFont="1"/>
    <xf numFmtId="165" fontId="67" fillId="19" borderId="70" xfId="0" applyFont="1" applyFill="1" applyBorder="1" applyAlignment="1">
      <alignment vertical="center"/>
    </xf>
    <xf numFmtId="165" fontId="67" fillId="19" borderId="71" xfId="0" applyFont="1" applyFill="1" applyBorder="1" applyAlignment="1">
      <alignment vertical="center"/>
    </xf>
    <xf numFmtId="165" fontId="67" fillId="19" borderId="72" xfId="0" applyFont="1" applyFill="1" applyBorder="1" applyAlignment="1">
      <alignment vertical="center"/>
    </xf>
    <xf numFmtId="165" fontId="67" fillId="21" borderId="72" xfId="0" applyFont="1" applyFill="1" applyBorder="1" applyAlignment="1">
      <alignment vertical="center"/>
    </xf>
    <xf numFmtId="165" fontId="68" fillId="0" borderId="50" xfId="0" applyFont="1" applyBorder="1"/>
    <xf numFmtId="2" fontId="69" fillId="0" borderId="12" xfId="0" applyNumberFormat="1" applyFont="1" applyBorder="1"/>
    <xf numFmtId="2" fontId="69" fillId="0" borderId="10" xfId="0" applyNumberFormat="1" applyFont="1" applyBorder="1"/>
    <xf numFmtId="2" fontId="69" fillId="6" borderId="10" xfId="0" applyNumberFormat="1" applyFont="1" applyFill="1" applyBorder="1"/>
    <xf numFmtId="166" fontId="68" fillId="21" borderId="12" xfId="0" applyNumberFormat="1" applyFont="1" applyFill="1" applyBorder="1"/>
    <xf numFmtId="2" fontId="70" fillId="0" borderId="73" xfId="0" applyNumberFormat="1" applyFont="1" applyBorder="1"/>
    <xf numFmtId="165" fontId="68" fillId="0" borderId="13" xfId="0" applyFont="1" applyBorder="1"/>
    <xf numFmtId="165" fontId="71" fillId="20" borderId="38" xfId="0" applyFont="1" applyFill="1" applyBorder="1" applyAlignment="1">
      <alignment vertical="center"/>
    </xf>
    <xf numFmtId="2" fontId="72" fillId="20" borderId="39" xfId="0" applyNumberFormat="1" applyFont="1" applyFill="1" applyBorder="1" applyAlignment="1">
      <alignment vertical="center"/>
    </xf>
    <xf numFmtId="165" fontId="67" fillId="22" borderId="72" xfId="0" applyFont="1" applyFill="1" applyBorder="1" applyAlignment="1">
      <alignment vertical="center"/>
    </xf>
    <xf numFmtId="2" fontId="69" fillId="0" borderId="12" xfId="0" applyNumberFormat="1" applyFont="1" applyBorder="1" applyAlignment="1">
      <alignment horizontal="right" vertical="center"/>
    </xf>
    <xf numFmtId="2" fontId="75" fillId="22" borderId="12" xfId="0" applyNumberFormat="1" applyFont="1" applyFill="1" applyBorder="1"/>
    <xf numFmtId="165" fontId="71" fillId="20" borderId="31" xfId="0" applyFont="1" applyFill="1" applyBorder="1" applyAlignment="1">
      <alignment vertical="center"/>
    </xf>
    <xf numFmtId="2" fontId="72" fillId="20" borderId="32" xfId="0" applyNumberFormat="1" applyFont="1" applyFill="1" applyBorder="1" applyAlignment="1">
      <alignment vertical="center"/>
    </xf>
    <xf numFmtId="2" fontId="72" fillId="22" borderId="36" xfId="0" applyNumberFormat="1" applyFont="1" applyFill="1" applyBorder="1" applyAlignment="1">
      <alignment vertical="center"/>
    </xf>
    <xf numFmtId="165" fontId="10" fillId="0" borderId="0" xfId="3" applyFont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/>
    </xf>
    <xf numFmtId="166" fontId="11" fillId="3" borderId="14" xfId="0" applyNumberFormat="1" applyFont="1" applyFill="1" applyBorder="1"/>
    <xf numFmtId="165" fontId="9" fillId="0" borderId="0" xfId="3" applyFont="1"/>
    <xf numFmtId="1" fontId="9" fillId="0" borderId="1" xfId="3" applyNumberFormat="1" applyFont="1" applyBorder="1" applyAlignment="1">
      <alignment horizontal="center" vertical="center"/>
    </xf>
    <xf numFmtId="165" fontId="9" fillId="0" borderId="0" xfId="3" applyFont="1" applyAlignment="1">
      <alignment vertical="center"/>
    </xf>
    <xf numFmtId="1" fontId="10" fillId="0" borderId="1" xfId="3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center" vertical="center"/>
    </xf>
    <xf numFmtId="2" fontId="10" fillId="0" borderId="1" xfId="3" applyNumberFormat="1" applyFont="1" applyBorder="1" applyAlignment="1">
      <alignment horizontal="right"/>
    </xf>
    <xf numFmtId="16" fontId="9" fillId="0" borderId="10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right"/>
    </xf>
    <xf numFmtId="166" fontId="11" fillId="23" borderId="0" xfId="0" applyNumberFormat="1" applyFont="1" applyFill="1"/>
    <xf numFmtId="170" fontId="9" fillId="0" borderId="42" xfId="4" applyNumberFormat="1" applyFont="1" applyFill="1" applyBorder="1" applyAlignment="1">
      <alignment horizontal="center" vertical="center"/>
    </xf>
    <xf numFmtId="165" fontId="27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24" fillId="4" borderId="1" xfId="3" applyFont="1" applyFill="1" applyBorder="1" applyAlignment="1">
      <alignment horizontal="left"/>
    </xf>
    <xf numFmtId="165" fontId="30" fillId="4" borderId="1" xfId="3" applyFont="1" applyFill="1" applyBorder="1"/>
    <xf numFmtId="165" fontId="31" fillId="4" borderId="1" xfId="3" applyFont="1" applyFill="1" applyBorder="1" applyAlignment="1">
      <alignment horizontal="left"/>
    </xf>
    <xf numFmtId="165" fontId="10" fillId="4" borderId="1" xfId="3" applyFont="1" applyFill="1" applyBorder="1" applyAlignment="1">
      <alignment horizontal="left" vertical="center" wrapText="1"/>
    </xf>
    <xf numFmtId="1" fontId="10" fillId="4" borderId="1" xfId="3" applyNumberFormat="1" applyFont="1" applyFill="1" applyBorder="1" applyAlignment="1">
      <alignment horizontal="center" vertical="center" wrapText="1"/>
    </xf>
    <xf numFmtId="165" fontId="10" fillId="0" borderId="0" xfId="3" applyFont="1" applyAlignment="1">
      <alignment horizontal="center"/>
    </xf>
    <xf numFmtId="165" fontId="78" fillId="4" borderId="1" xfId="3" applyFont="1" applyFill="1" applyBorder="1" applyAlignment="1">
      <alignment horizontal="left"/>
    </xf>
    <xf numFmtId="166" fontId="11" fillId="0" borderId="0" xfId="0" applyNumberFormat="1" applyFont="1" applyAlignment="1">
      <alignment vertical="center"/>
    </xf>
    <xf numFmtId="167" fontId="10" fillId="0" borderId="0" xfId="3" applyNumberFormat="1" applyFont="1" applyAlignment="1">
      <alignment horizontal="right" vertical="center"/>
    </xf>
    <xf numFmtId="166" fontId="72" fillId="20" borderId="39" xfId="0" applyNumberFormat="1" applyFont="1" applyFill="1" applyBorder="1" applyAlignment="1">
      <alignment vertical="center"/>
    </xf>
    <xf numFmtId="166" fontId="70" fillId="0" borderId="73" xfId="0" applyNumberFormat="1" applyFont="1" applyBorder="1"/>
    <xf numFmtId="1" fontId="70" fillId="0" borderId="73" xfId="0" applyNumberFormat="1" applyFont="1" applyBorder="1"/>
    <xf numFmtId="14" fontId="10" fillId="0" borderId="0" xfId="3" applyNumberFormat="1" applyFont="1"/>
    <xf numFmtId="166" fontId="10" fillId="0" borderId="1" xfId="3" applyNumberFormat="1" applyFont="1" applyBorder="1" applyAlignment="1">
      <alignment horizontal="right"/>
    </xf>
    <xf numFmtId="4" fontId="9" fillId="0" borderId="11" xfId="3" applyNumberFormat="1" applyFont="1" applyBorder="1" applyAlignment="1">
      <alignment horizontal="center" vertical="center"/>
    </xf>
    <xf numFmtId="4" fontId="9" fillId="0" borderId="1" xfId="3" applyNumberFormat="1" applyFont="1" applyBorder="1" applyAlignment="1">
      <alignment horizontal="center" vertical="center"/>
    </xf>
    <xf numFmtId="166" fontId="10" fillId="0" borderId="14" xfId="3" applyNumberFormat="1" applyFont="1" applyBorder="1" applyAlignment="1">
      <alignment horizontal="right"/>
    </xf>
    <xf numFmtId="165" fontId="79" fillId="0" borderId="52" xfId="3" applyFont="1" applyBorder="1"/>
    <xf numFmtId="20" fontId="10" fillId="4" borderId="18" xfId="0" applyNumberFormat="1" applyFont="1" applyFill="1" applyBorder="1" applyAlignment="1">
      <alignment horizontal="center" vertical="center" wrapText="1"/>
    </xf>
    <xf numFmtId="1" fontId="10" fillId="0" borderId="63" xfId="3" applyNumberFormat="1" applyFont="1" applyBorder="1" applyAlignment="1">
      <alignment horizontal="center"/>
    </xf>
    <xf numFmtId="16" fontId="9" fillId="0" borderId="77" xfId="3" applyNumberFormat="1" applyFont="1" applyBorder="1" applyAlignment="1">
      <alignment vertical="center"/>
    </xf>
    <xf numFmtId="16" fontId="9" fillId="0" borderId="32" xfId="3" applyNumberFormat="1" applyFont="1" applyBorder="1" applyAlignment="1">
      <alignment vertical="center"/>
    </xf>
    <xf numFmtId="165" fontId="10" fillId="0" borderId="3" xfId="3" applyFont="1" applyBorder="1" applyAlignment="1">
      <alignment horizontal="center"/>
    </xf>
    <xf numFmtId="2" fontId="10" fillId="7" borderId="34" xfId="3" applyNumberFormat="1" applyFont="1" applyFill="1" applyBorder="1" applyAlignment="1">
      <alignment horizontal="center" vertical="center"/>
    </xf>
    <xf numFmtId="2" fontId="26" fillId="7" borderId="34" xfId="3" applyNumberFormat="1" applyFont="1" applyFill="1" applyBorder="1" applyAlignment="1">
      <alignment horizontal="center" vertical="center"/>
    </xf>
    <xf numFmtId="2" fontId="80" fillId="0" borderId="1" xfId="3" applyNumberFormat="1" applyFont="1" applyBorder="1" applyAlignment="1">
      <alignment horizontal="center" vertical="center"/>
    </xf>
    <xf numFmtId="2" fontId="9" fillId="0" borderId="0" xfId="3" applyNumberFormat="1" applyFont="1"/>
    <xf numFmtId="165" fontId="68" fillId="0" borderId="52" xfId="0" applyFont="1" applyBorder="1"/>
    <xf numFmtId="2" fontId="69" fillId="0" borderId="76" xfId="0" applyNumberFormat="1" applyFont="1" applyBorder="1"/>
    <xf numFmtId="2" fontId="69" fillId="0" borderId="80" xfId="0" applyNumberFormat="1" applyFont="1" applyBorder="1"/>
    <xf numFmtId="2" fontId="75" fillId="22" borderId="81" xfId="0" applyNumberFormat="1" applyFont="1" applyFill="1" applyBorder="1"/>
    <xf numFmtId="2" fontId="32" fillId="0" borderId="10" xfId="4" applyNumberFormat="1" applyFont="1" applyFill="1" applyBorder="1" applyAlignment="1">
      <alignment horizontal="center" vertical="center"/>
    </xf>
    <xf numFmtId="2" fontId="32" fillId="0" borderId="2" xfId="4" applyNumberFormat="1" applyFont="1" applyBorder="1" applyAlignment="1">
      <alignment horizontal="center" vertical="center"/>
    </xf>
    <xf numFmtId="2" fontId="32" fillId="0" borderId="2" xfId="4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/>
    </xf>
    <xf numFmtId="1" fontId="10" fillId="0" borderId="18" xfId="3" applyNumberFormat="1" applyFont="1" applyBorder="1" applyAlignment="1">
      <alignment horizontal="center"/>
    </xf>
    <xf numFmtId="166" fontId="10" fillId="0" borderId="14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166" fontId="10" fillId="0" borderId="14" xfId="3" applyNumberFormat="1" applyFont="1" applyBorder="1"/>
    <xf numFmtId="166" fontId="10" fillId="4" borderId="33" xfId="3" applyNumberFormat="1" applyFont="1" applyFill="1" applyBorder="1"/>
    <xf numFmtId="1" fontId="10" fillId="4" borderId="33" xfId="3" applyNumberFormat="1" applyFont="1" applyFill="1" applyBorder="1"/>
    <xf numFmtId="2" fontId="69" fillId="4" borderId="12" xfId="0" applyNumberFormat="1" applyFont="1" applyFill="1" applyBorder="1"/>
    <xf numFmtId="2" fontId="69" fillId="4" borderId="12" xfId="0" quotePrefix="1" applyNumberFormat="1" applyFont="1" applyFill="1" applyBorder="1"/>
    <xf numFmtId="2" fontId="69" fillId="4" borderId="80" xfId="0" applyNumberFormat="1" applyFont="1" applyFill="1" applyBorder="1"/>
    <xf numFmtId="2" fontId="9" fillId="0" borderId="0" xfId="3" applyNumberFormat="1" applyFont="1" applyAlignment="1">
      <alignment wrapText="1"/>
    </xf>
    <xf numFmtId="165" fontId="8" fillId="0" borderId="0" xfId="3" applyAlignment="1">
      <alignment horizontal="left"/>
    </xf>
    <xf numFmtId="2" fontId="8" fillId="0" borderId="60" xfId="3" applyNumberFormat="1" applyBorder="1" applyAlignment="1">
      <alignment horizontal="center"/>
    </xf>
    <xf numFmtId="2" fontId="41" fillId="0" borderId="26" xfId="3" applyNumberFormat="1" applyFont="1" applyBorder="1" applyAlignment="1">
      <alignment horizontal="center"/>
    </xf>
    <xf numFmtId="165" fontId="8" fillId="0" borderId="56" xfId="3" applyBorder="1" applyAlignment="1">
      <alignment horizontal="center"/>
    </xf>
    <xf numFmtId="165" fontId="10" fillId="0" borderId="1" xfId="3" applyFont="1" applyBorder="1" applyAlignment="1">
      <alignment horizontal="center" vertical="center" wrapText="1"/>
    </xf>
    <xf numFmtId="1" fontId="9" fillId="0" borderId="1" xfId="3" applyNumberFormat="1" applyFont="1" applyBorder="1"/>
    <xf numFmtId="2" fontId="36" fillId="23" borderId="1" xfId="3" applyNumberFormat="1" applyFont="1" applyFill="1" applyBorder="1" applyAlignment="1">
      <alignment horizontal="right"/>
    </xf>
    <xf numFmtId="2" fontId="10" fillId="23" borderId="21" xfId="3" applyNumberFormat="1" applyFont="1" applyFill="1" applyBorder="1" applyAlignment="1">
      <alignment horizontal="right"/>
    </xf>
    <xf numFmtId="20" fontId="10" fillId="4" borderId="17" xfId="0" applyNumberFormat="1" applyFont="1" applyFill="1" applyBorder="1" applyAlignment="1">
      <alignment horizontal="center" vertical="center" wrapText="1"/>
    </xf>
    <xf numFmtId="1" fontId="10" fillId="0" borderId="19" xfId="3" applyNumberFormat="1" applyFont="1" applyBorder="1" applyAlignment="1">
      <alignment horizontal="center"/>
    </xf>
    <xf numFmtId="165" fontId="28" fillId="4" borderId="1" xfId="3" applyFont="1" applyFill="1" applyBorder="1"/>
    <xf numFmtId="2" fontId="77" fillId="6" borderId="1" xfId="3" applyNumberFormat="1" applyFont="1" applyFill="1" applyBorder="1"/>
    <xf numFmtId="0" fontId="23" fillId="0" borderId="59" xfId="3" applyNumberFormat="1" applyFont="1" applyBorder="1" applyAlignment="1">
      <alignment vertical="top" wrapText="1"/>
    </xf>
    <xf numFmtId="166" fontId="10" fillId="0" borderId="0" xfId="3" applyNumberFormat="1" applyFont="1"/>
    <xf numFmtId="2" fontId="26" fillId="0" borderId="43" xfId="3" applyNumberFormat="1" applyFont="1" applyBorder="1" applyAlignment="1">
      <alignment horizontal="center" vertical="center"/>
    </xf>
    <xf numFmtId="2" fontId="26" fillId="0" borderId="54" xfId="3" applyNumberFormat="1" applyFont="1" applyBorder="1" applyAlignment="1">
      <alignment horizontal="center" vertical="center"/>
    </xf>
    <xf numFmtId="1" fontId="10" fillId="0" borderId="0" xfId="3" applyNumberFormat="1" applyFont="1"/>
    <xf numFmtId="2" fontId="10" fillId="0" borderId="76" xfId="6" applyNumberFormat="1" applyFont="1" applyBorder="1" applyAlignment="1">
      <alignment horizontal="center" vertical="center"/>
    </xf>
    <xf numFmtId="2" fontId="10" fillId="0" borderId="80" xfId="3" applyNumberFormat="1" applyFont="1" applyBorder="1" applyAlignment="1">
      <alignment horizontal="center" vertical="center"/>
    </xf>
    <xf numFmtId="165" fontId="10" fillId="0" borderId="1" xfId="3" applyFont="1" applyBorder="1" applyAlignment="1">
      <alignment vertical="center" wrapText="1"/>
    </xf>
    <xf numFmtId="165" fontId="10" fillId="0" borderId="0" xfId="3" applyFont="1" applyAlignment="1">
      <alignment horizontal="left"/>
    </xf>
    <xf numFmtId="165" fontId="10" fillId="0" borderId="6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7" xfId="3" applyFont="1" applyBorder="1" applyAlignment="1">
      <alignment horizontal="center" vertical="center" wrapText="1"/>
    </xf>
    <xf numFmtId="2" fontId="10" fillId="4" borderId="23" xfId="3" applyNumberFormat="1" applyFont="1" applyFill="1" applyBorder="1" applyAlignment="1">
      <alignment horizontal="center" vertical="center"/>
    </xf>
    <xf numFmtId="165" fontId="27" fillId="0" borderId="13" xfId="3" applyFont="1" applyBorder="1" applyAlignment="1">
      <alignment horizontal="left" vertical="center"/>
    </xf>
    <xf numFmtId="2" fontId="26" fillId="0" borderId="35" xfId="3" applyNumberFormat="1" applyFont="1" applyBorder="1" applyAlignment="1">
      <alignment horizontal="center" vertical="center"/>
    </xf>
    <xf numFmtId="2" fontId="10" fillId="7" borderId="0" xfId="3" applyNumberFormat="1" applyFont="1" applyFill="1" applyAlignment="1">
      <alignment horizontal="center" vertical="center"/>
    </xf>
    <xf numFmtId="2" fontId="26" fillId="7" borderId="0" xfId="3" applyNumberFormat="1" applyFont="1" applyFill="1" applyAlignment="1">
      <alignment horizontal="center" vertical="center"/>
    </xf>
    <xf numFmtId="166" fontId="10" fillId="7" borderId="0" xfId="3" applyNumberFormat="1" applyFont="1" applyFill="1" applyAlignment="1">
      <alignment horizontal="center" vertical="center"/>
    </xf>
    <xf numFmtId="16" fontId="9" fillId="0" borderId="1" xfId="3" applyNumberFormat="1" applyFont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6" fontId="10" fillId="0" borderId="1" xfId="3" applyNumberFormat="1" applyFont="1" applyBorder="1" applyAlignment="1">
      <alignment horizontal="center" vertical="center"/>
    </xf>
    <xf numFmtId="1" fontId="32" fillId="0" borderId="1" xfId="3" applyNumberFormat="1" applyFont="1" applyBorder="1" applyAlignment="1">
      <alignment vertical="center" wrapText="1"/>
    </xf>
    <xf numFmtId="167" fontId="22" fillId="5" borderId="11" xfId="3" applyNumberFormat="1" applyFont="1" applyFill="1" applyBorder="1" applyAlignment="1">
      <alignment horizontal="center" vertical="center"/>
    </xf>
    <xf numFmtId="165" fontId="9" fillId="0" borderId="2" xfId="3" applyFont="1" applyBorder="1" applyAlignment="1">
      <alignment vertical="center"/>
    </xf>
    <xf numFmtId="170" fontId="9" fillId="0" borderId="1" xfId="4" applyNumberFormat="1" applyFont="1" applyBorder="1" applyAlignment="1">
      <alignment horizontal="center" vertical="center"/>
    </xf>
    <xf numFmtId="165" fontId="21" fillId="0" borderId="13" xfId="3" applyFont="1" applyBorder="1"/>
    <xf numFmtId="167" fontId="22" fillId="0" borderId="11" xfId="3" applyNumberFormat="1" applyFont="1" applyBorder="1" applyAlignment="1">
      <alignment horizontal="center" vertical="center"/>
    </xf>
    <xf numFmtId="1" fontId="32" fillId="0" borderId="51" xfId="3" applyNumberFormat="1" applyFont="1" applyBorder="1" applyAlignment="1">
      <alignment vertical="center" wrapText="1"/>
    </xf>
    <xf numFmtId="170" fontId="9" fillId="0" borderId="3" xfId="4" applyNumberFormat="1" applyFont="1" applyBorder="1" applyAlignment="1">
      <alignment horizontal="center" vertical="center"/>
    </xf>
    <xf numFmtId="4" fontId="9" fillId="0" borderId="10" xfId="3" applyNumberFormat="1" applyFont="1" applyBorder="1" applyAlignment="1">
      <alignment horizontal="center" vertical="center"/>
    </xf>
    <xf numFmtId="171" fontId="9" fillId="0" borderId="10" xfId="3" applyNumberFormat="1" applyFont="1" applyBorder="1" applyAlignment="1">
      <alignment horizontal="center" vertical="center"/>
    </xf>
    <xf numFmtId="2" fontId="9" fillId="0" borderId="10" xfId="3" applyNumberFormat="1" applyFont="1" applyBorder="1" applyAlignment="1">
      <alignment horizontal="center" vertical="center"/>
    </xf>
    <xf numFmtId="170" fontId="9" fillId="0" borderId="10" xfId="4" applyNumberFormat="1" applyFont="1" applyBorder="1" applyAlignment="1">
      <alignment horizontal="center" vertical="center"/>
    </xf>
    <xf numFmtId="2" fontId="32" fillId="0" borderId="1" xfId="4" applyNumberFormat="1" applyFont="1" applyFill="1" applyBorder="1" applyAlignment="1">
      <alignment horizontal="center" vertical="center"/>
    </xf>
    <xf numFmtId="2" fontId="32" fillId="0" borderId="1" xfId="4" applyNumberFormat="1" applyFont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2" fontId="10" fillId="0" borderId="1" xfId="3" applyNumberFormat="1" applyFont="1" applyBorder="1" applyAlignment="1">
      <alignment horizontal="left" vertical="center"/>
    </xf>
    <xf numFmtId="165" fontId="28" fillId="0" borderId="13" xfId="3" applyFont="1" applyBorder="1" applyAlignment="1">
      <alignment vertical="center"/>
    </xf>
    <xf numFmtId="170" fontId="10" fillId="23" borderId="1" xfId="3" applyNumberFormat="1" applyFont="1" applyFill="1" applyBorder="1" applyAlignment="1">
      <alignment horizontal="right"/>
    </xf>
    <xf numFmtId="165" fontId="27" fillId="0" borderId="13" xfId="3" applyFont="1" applyBorder="1" applyAlignment="1">
      <alignment horizontal="center" vertical="center"/>
    </xf>
    <xf numFmtId="165" fontId="10" fillId="0" borderId="18" xfId="3" applyFont="1" applyBorder="1"/>
    <xf numFmtId="2" fontId="10" fillId="0" borderId="10" xfId="3" applyNumberFormat="1" applyFont="1" applyBorder="1" applyAlignment="1">
      <alignment horizontal="center" vertical="center"/>
    </xf>
    <xf numFmtId="2" fontId="10" fillId="4" borderId="18" xfId="3" applyNumberFormat="1" applyFont="1" applyFill="1" applyBorder="1" applyAlignment="1">
      <alignment horizontal="center" vertical="center"/>
    </xf>
    <xf numFmtId="2" fontId="32" fillId="0" borderId="1" xfId="3" applyNumberFormat="1" applyFont="1" applyBorder="1" applyAlignment="1">
      <alignment horizontal="center" vertical="center"/>
    </xf>
    <xf numFmtId="2" fontId="10" fillId="4" borderId="1" xfId="3" applyNumberFormat="1" applyFont="1" applyFill="1" applyBorder="1" applyAlignment="1">
      <alignment horizontal="center" vertical="center"/>
    </xf>
    <xf numFmtId="165" fontId="28" fillId="0" borderId="1" xfId="3" applyFont="1" applyBorder="1" applyAlignment="1">
      <alignment vertical="center"/>
    </xf>
    <xf numFmtId="166" fontId="22" fillId="4" borderId="1" xfId="3" applyNumberFormat="1" applyFont="1" applyFill="1" applyBorder="1" applyAlignment="1">
      <alignment horizontal="center" vertical="center"/>
    </xf>
    <xf numFmtId="167" fontId="9" fillId="0" borderId="1" xfId="3" applyNumberFormat="1" applyFont="1" applyBorder="1" applyAlignment="1">
      <alignment horizontal="center" vertical="center"/>
    </xf>
    <xf numFmtId="166" fontId="9" fillId="7" borderId="1" xfId="3" applyNumberFormat="1" applyFont="1" applyFill="1" applyBorder="1" applyAlignment="1">
      <alignment horizontal="center" vertical="center"/>
    </xf>
    <xf numFmtId="165" fontId="14" fillId="4" borderId="0" xfId="3" applyFont="1" applyFill="1" applyAlignment="1">
      <alignment horizontal="center" vertic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" fontId="10" fillId="4" borderId="34" xfId="3" applyNumberFormat="1" applyFont="1" applyFill="1" applyBorder="1"/>
    <xf numFmtId="166" fontId="10" fillId="4" borderId="34" xfId="3" applyNumberFormat="1" applyFont="1" applyFill="1" applyBorder="1"/>
    <xf numFmtId="165" fontId="79" fillId="0" borderId="31" xfId="3" applyFont="1" applyBorder="1"/>
    <xf numFmtId="1" fontId="10" fillId="0" borderId="32" xfId="3" applyNumberFormat="1" applyFont="1" applyBorder="1" applyAlignment="1">
      <alignment horizontal="right"/>
    </xf>
    <xf numFmtId="166" fontId="10" fillId="0" borderId="32" xfId="3" applyNumberFormat="1" applyFont="1" applyBorder="1"/>
    <xf numFmtId="166" fontId="9" fillId="0" borderId="36" xfId="3" applyNumberFormat="1" applyFont="1" applyBorder="1"/>
    <xf numFmtId="165" fontId="82" fillId="0" borderId="52" xfId="3" applyFont="1" applyBorder="1"/>
    <xf numFmtId="165" fontId="83" fillId="0" borderId="52" xfId="3" applyFont="1" applyBorder="1"/>
    <xf numFmtId="170" fontId="8" fillId="0" borderId="0" xfId="3" applyNumberFormat="1" applyAlignment="1">
      <alignment horizontal="right"/>
    </xf>
    <xf numFmtId="165" fontId="84" fillId="0" borderId="31" xfId="3" applyFont="1" applyBorder="1"/>
    <xf numFmtId="165" fontId="85" fillId="0" borderId="31" xfId="3" applyFont="1" applyBorder="1"/>
    <xf numFmtId="166" fontId="9" fillId="0" borderId="0" xfId="3" applyNumberFormat="1" applyFont="1" applyAlignment="1">
      <alignment horizontal="center" vertical="center"/>
    </xf>
    <xf numFmtId="166" fontId="10" fillId="26" borderId="63" xfId="3" applyNumberFormat="1" applyFont="1" applyFill="1" applyBorder="1" applyAlignment="1">
      <alignment horizontal="center"/>
    </xf>
    <xf numFmtId="0" fontId="10" fillId="0" borderId="0" xfId="3" applyNumberFormat="1" applyFont="1" applyAlignment="1">
      <alignment horizontal="center"/>
    </xf>
    <xf numFmtId="0" fontId="23" fillId="0" borderId="1" xfId="3" applyNumberFormat="1" applyFont="1" applyBorder="1" applyAlignment="1">
      <alignment vertical="top" wrapText="1"/>
    </xf>
    <xf numFmtId="165" fontId="9" fillId="0" borderId="0" xfId="3" applyFont="1" applyAlignment="1">
      <alignment horizontal="left" vertical="center"/>
    </xf>
    <xf numFmtId="165" fontId="9" fillId="23" borderId="2" xfId="3" applyFont="1" applyFill="1" applyBorder="1" applyAlignment="1">
      <alignment vertical="center"/>
    </xf>
    <xf numFmtId="165" fontId="10" fillId="0" borderId="81" xfId="3" applyFont="1" applyBorder="1" applyAlignment="1">
      <alignment vertical="center" wrapText="1"/>
    </xf>
    <xf numFmtId="165" fontId="10" fillId="0" borderId="40" xfId="3" applyFont="1" applyBorder="1" applyAlignment="1">
      <alignment horizontal="center" vertical="center" wrapText="1"/>
    </xf>
    <xf numFmtId="16" fontId="9" fillId="0" borderId="39" xfId="3" applyNumberFormat="1" applyFont="1" applyBorder="1" applyAlignment="1">
      <alignment horizontal="center" vertical="center"/>
    </xf>
    <xf numFmtId="4" fontId="9" fillId="0" borderId="39" xfId="3" applyNumberFormat="1" applyFont="1" applyBorder="1" applyAlignment="1">
      <alignment horizontal="center" vertical="center"/>
    </xf>
    <xf numFmtId="171" fontId="9" fillId="0" borderId="39" xfId="3" applyNumberFormat="1" applyFont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4" fontId="9" fillId="0" borderId="62" xfId="3" applyNumberFormat="1" applyFont="1" applyBorder="1" applyAlignment="1">
      <alignment horizontal="center" vertical="center"/>
    </xf>
    <xf numFmtId="2" fontId="32" fillId="0" borderId="39" xfId="4" applyNumberFormat="1" applyFont="1" applyFill="1" applyBorder="1" applyAlignment="1">
      <alignment horizontal="center" vertical="center"/>
    </xf>
    <xf numFmtId="170" fontId="9" fillId="0" borderId="79" xfId="4" applyNumberFormat="1" applyFont="1" applyFill="1" applyBorder="1" applyAlignment="1">
      <alignment horizontal="center" vertical="center"/>
    </xf>
    <xf numFmtId="16" fontId="10" fillId="0" borderId="76" xfId="3" applyNumberFormat="1" applyFont="1" applyBorder="1" applyAlignment="1">
      <alignment horizontal="center" vertical="center"/>
    </xf>
    <xf numFmtId="4" fontId="9" fillId="0" borderId="76" xfId="3" applyNumberFormat="1" applyFont="1" applyBorder="1" applyAlignment="1">
      <alignment horizontal="center" vertical="center"/>
    </xf>
    <xf numFmtId="171" fontId="9" fillId="0" borderId="76" xfId="3" applyNumberFormat="1" applyFont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4" fontId="9" fillId="0" borderId="80" xfId="3" applyNumberFormat="1" applyFont="1" applyBorder="1" applyAlignment="1">
      <alignment horizontal="center" vertical="center"/>
    </xf>
    <xf numFmtId="2" fontId="32" fillId="0" borderId="76" xfId="4" applyNumberFormat="1" applyFont="1" applyFill="1" applyBorder="1" applyAlignment="1">
      <alignment horizontal="center" vertical="center"/>
    </xf>
    <xf numFmtId="170" fontId="9" fillId="0" borderId="9" xfId="4" applyNumberFormat="1" applyFont="1" applyFill="1" applyBorder="1" applyAlignment="1">
      <alignment horizontal="center" vertical="center"/>
    </xf>
    <xf numFmtId="165" fontId="86" fillId="0" borderId="38" xfId="3" applyFont="1" applyBorder="1" applyAlignment="1">
      <alignment horizontal="center" vertical="center"/>
    </xf>
    <xf numFmtId="2" fontId="32" fillId="0" borderId="62" xfId="4" applyNumberFormat="1" applyFont="1" applyFill="1" applyBorder="1" applyAlignment="1">
      <alignment horizontal="center" vertical="center"/>
    </xf>
    <xf numFmtId="2" fontId="10" fillId="0" borderId="39" xfId="3" applyNumberFormat="1" applyFont="1" applyBorder="1" applyAlignment="1">
      <alignment horizontal="center" vertical="center"/>
    </xf>
    <xf numFmtId="2" fontId="80" fillId="0" borderId="39" xfId="3" applyNumberFormat="1" applyFont="1" applyBorder="1" applyAlignment="1">
      <alignment horizontal="center" vertical="center"/>
    </xf>
    <xf numFmtId="16" fontId="10" fillId="0" borderId="84" xfId="3" applyNumberFormat="1" applyFont="1" applyBorder="1" applyAlignment="1">
      <alignment horizontal="center" vertical="center"/>
    </xf>
    <xf numFmtId="4" fontId="9" fillId="0" borderId="84" xfId="3" applyNumberFormat="1" applyFont="1" applyBorder="1" applyAlignment="1">
      <alignment horizontal="center" vertical="center"/>
    </xf>
    <xf numFmtId="171" fontId="9" fillId="0" borderId="84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4" fontId="9" fillId="0" borderId="85" xfId="3" applyNumberFormat="1" applyFont="1" applyBorder="1" applyAlignment="1">
      <alignment horizontal="center" vertical="center"/>
    </xf>
    <xf numFmtId="2" fontId="32" fillId="0" borderId="84" xfId="4" applyNumberFormat="1" applyFont="1" applyFill="1" applyBorder="1" applyAlignment="1">
      <alignment horizontal="center" vertical="center"/>
    </xf>
    <xf numFmtId="2" fontId="32" fillId="0" borderId="85" xfId="4" applyNumberFormat="1" applyFont="1" applyFill="1" applyBorder="1" applyAlignment="1">
      <alignment horizontal="center" vertical="center"/>
    </xf>
    <xf numFmtId="2" fontId="10" fillId="4" borderId="84" xfId="3" applyNumberFormat="1" applyFont="1" applyFill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2" fontId="32" fillId="0" borderId="80" xfId="4" applyNumberFormat="1" applyFont="1" applyFill="1" applyBorder="1" applyAlignment="1">
      <alignment horizontal="center" vertical="center"/>
    </xf>
    <xf numFmtId="2" fontId="10" fillId="0" borderId="76" xfId="3" applyNumberFormat="1" applyFont="1" applyBorder="1" applyAlignment="1">
      <alignment horizontal="center" vertical="center"/>
    </xf>
    <xf numFmtId="2" fontId="80" fillId="0" borderId="76" xfId="3" applyNumberFormat="1" applyFont="1" applyBorder="1" applyAlignment="1">
      <alignment horizontal="center" vertical="center"/>
    </xf>
    <xf numFmtId="165" fontId="87" fillId="0" borderId="88" xfId="3" applyFont="1" applyBorder="1" applyAlignment="1">
      <alignment horizontal="center" vertical="center"/>
    </xf>
    <xf numFmtId="165" fontId="10" fillId="0" borderId="87" xfId="3" applyFont="1" applyBorder="1" applyAlignment="1">
      <alignment horizontal="center" vertical="center" wrapText="1"/>
    </xf>
    <xf numFmtId="165" fontId="10" fillId="0" borderId="18" xfId="3" applyFont="1" applyBorder="1" applyAlignment="1">
      <alignment horizontal="center" vertical="center" wrapText="1"/>
    </xf>
    <xf numFmtId="165" fontId="21" fillId="0" borderId="13" xfId="3" applyFont="1" applyBorder="1" applyAlignment="1">
      <alignment horizontal="center" vertical="center"/>
    </xf>
    <xf numFmtId="2" fontId="80" fillId="0" borderId="84" xfId="3" applyNumberFormat="1" applyFont="1" applyBorder="1" applyAlignment="1">
      <alignment horizontal="center" vertical="center"/>
    </xf>
    <xf numFmtId="2" fontId="32" fillId="0" borderId="84" xfId="4" applyNumberFormat="1" applyFont="1" applyBorder="1" applyAlignment="1">
      <alignment horizontal="center" vertical="center"/>
    </xf>
    <xf numFmtId="170" fontId="10" fillId="0" borderId="86" xfId="4" applyNumberFormat="1" applyFont="1" applyFill="1" applyBorder="1" applyAlignment="1">
      <alignment horizontal="center" vertical="center"/>
    </xf>
    <xf numFmtId="4" fontId="9" fillId="0" borderId="0" xfId="3" applyNumberFormat="1" applyFont="1" applyAlignment="1">
      <alignment horizontal="center" vertical="center"/>
    </xf>
    <xf numFmtId="171" fontId="9" fillId="0" borderId="0" xfId="3" applyNumberFormat="1" applyFont="1" applyAlignment="1">
      <alignment horizontal="center" vertical="center"/>
    </xf>
    <xf numFmtId="2" fontId="9" fillId="0" borderId="0" xfId="3" applyNumberFormat="1" applyFont="1" applyAlignment="1">
      <alignment horizontal="center" vertical="center"/>
    </xf>
    <xf numFmtId="2" fontId="32" fillId="0" borderId="0" xfId="4" applyNumberFormat="1" applyFont="1" applyFill="1" applyBorder="1" applyAlignment="1">
      <alignment horizontal="center" vertical="center"/>
    </xf>
    <xf numFmtId="170" fontId="9" fillId="0" borderId="0" xfId="4" applyNumberFormat="1" applyFont="1" applyFill="1" applyBorder="1" applyAlignment="1">
      <alignment horizontal="center" vertical="center"/>
    </xf>
    <xf numFmtId="2" fontId="80" fillId="0" borderId="0" xfId="3" applyNumberFormat="1" applyFont="1" applyAlignment="1">
      <alignment horizontal="center" vertical="center"/>
    </xf>
    <xf numFmtId="165" fontId="28" fillId="0" borderId="0" xfId="3" applyFont="1" applyAlignment="1">
      <alignment horizontal="center" vertical="center"/>
    </xf>
    <xf numFmtId="165" fontId="11" fillId="3" borderId="1" xfId="3" applyFont="1" applyFill="1" applyBorder="1"/>
    <xf numFmtId="166" fontId="11" fillId="3" borderId="1" xfId="3" applyNumberFormat="1" applyFont="1" applyFill="1" applyBorder="1"/>
    <xf numFmtId="166" fontId="11" fillId="3" borderId="2" xfId="3" applyNumberFormat="1" applyFont="1" applyFill="1" applyBorder="1"/>
    <xf numFmtId="1" fontId="11" fillId="3" borderId="1" xfId="3" applyNumberFormat="1" applyFont="1" applyFill="1" applyBorder="1" applyAlignment="1">
      <alignment horizontal="center"/>
    </xf>
    <xf numFmtId="166" fontId="11" fillId="3" borderId="14" xfId="3" applyNumberFormat="1" applyFont="1" applyFill="1" applyBorder="1"/>
    <xf numFmtId="166" fontId="11" fillId="0" borderId="0" xfId="3" applyNumberFormat="1" applyFont="1" applyAlignment="1">
      <alignment vertical="center"/>
    </xf>
    <xf numFmtId="20" fontId="10" fillId="4" borderId="17" xfId="3" applyNumberFormat="1" applyFont="1" applyFill="1" applyBorder="1" applyAlignment="1">
      <alignment horizontal="center" vertical="center" wrapText="1"/>
    </xf>
    <xf numFmtId="20" fontId="10" fillId="4" borderId="18" xfId="3" applyNumberFormat="1" applyFont="1" applyFill="1" applyBorder="1" applyAlignment="1">
      <alignment horizontal="center" vertical="center" wrapText="1"/>
    </xf>
    <xf numFmtId="169" fontId="35" fillId="0" borderId="41" xfId="3" applyNumberFormat="1" applyFont="1" applyBorder="1" applyAlignment="1">
      <alignment horizontal="center" vertical="center"/>
    </xf>
    <xf numFmtId="2" fontId="10" fillId="0" borderId="84" xfId="3" applyNumberFormat="1" applyFont="1" applyBorder="1" applyAlignment="1">
      <alignment horizontal="center" vertical="center"/>
    </xf>
    <xf numFmtId="2" fontId="41" fillId="0" borderId="1" xfId="3" applyNumberFormat="1" applyFont="1" applyBorder="1" applyAlignment="1">
      <alignment horizontal="right"/>
    </xf>
    <xf numFmtId="165" fontId="10" fillId="0" borderId="27" xfId="3" applyFont="1" applyBorder="1" applyAlignment="1">
      <alignment vertical="center" wrapText="1"/>
    </xf>
    <xf numFmtId="16" fontId="10" fillId="0" borderId="86" xfId="3" applyNumberFormat="1" applyFont="1" applyBorder="1" applyAlignment="1">
      <alignment horizontal="center" vertical="center"/>
    </xf>
    <xf numFmtId="165" fontId="21" fillId="0" borderId="18" xfId="3" applyFont="1" applyBorder="1" applyAlignment="1">
      <alignment horizontal="center" vertical="center"/>
    </xf>
    <xf numFmtId="165" fontId="86" fillId="0" borderId="18" xfId="3" applyFont="1" applyBorder="1" applyAlignment="1">
      <alignment horizontal="center" vertical="center"/>
    </xf>
    <xf numFmtId="2" fontId="80" fillId="0" borderId="1" xfId="3" applyNumberFormat="1" applyFont="1" applyBorder="1" applyAlignment="1">
      <alignment horizontal="right"/>
    </xf>
    <xf numFmtId="165" fontId="10" fillId="0" borderId="23" xfId="3" applyFont="1" applyBorder="1"/>
    <xf numFmtId="2" fontId="26" fillId="0" borderId="89" xfId="3" applyNumberFormat="1" applyFont="1" applyBorder="1" applyAlignment="1">
      <alignment horizontal="center" vertical="center"/>
    </xf>
    <xf numFmtId="166" fontId="10" fillId="0" borderId="19" xfId="3" applyNumberFormat="1" applyFont="1" applyBorder="1" applyAlignment="1">
      <alignment horizontal="center"/>
    </xf>
    <xf numFmtId="166" fontId="10" fillId="0" borderId="18" xfId="3" applyNumberFormat="1" applyFont="1" applyBorder="1" applyAlignment="1">
      <alignment horizontal="center"/>
    </xf>
    <xf numFmtId="165" fontId="27" fillId="0" borderId="18" xfId="3" applyFont="1" applyBorder="1" applyAlignment="1">
      <alignment horizontal="center" vertical="center"/>
    </xf>
    <xf numFmtId="166" fontId="10" fillId="23" borderId="1" xfId="3" applyNumberFormat="1" applyFont="1" applyFill="1" applyBorder="1" applyAlignment="1">
      <alignment horizontal="center" vertical="center"/>
    </xf>
    <xf numFmtId="2" fontId="10" fillId="23" borderId="1" xfId="3" applyNumberFormat="1" applyFont="1" applyFill="1" applyBorder="1" applyAlignment="1">
      <alignment horizontal="center" vertical="center"/>
    </xf>
    <xf numFmtId="165" fontId="81" fillId="0" borderId="13" xfId="3" applyFont="1" applyBorder="1" applyAlignment="1">
      <alignment horizontal="center" vertical="center"/>
    </xf>
    <xf numFmtId="165" fontId="86" fillId="0" borderId="13" xfId="3" applyFont="1" applyBorder="1" applyAlignment="1">
      <alignment horizontal="center" vertical="center"/>
    </xf>
    <xf numFmtId="165" fontId="15" fillId="0" borderId="2" xfId="3" applyFont="1" applyBorder="1" applyAlignment="1">
      <alignment horizontal="center" wrapText="1"/>
    </xf>
    <xf numFmtId="165" fontId="15" fillId="0" borderId="3" xfId="3" applyFont="1" applyBorder="1" applyAlignment="1">
      <alignment horizontal="center" wrapText="1"/>
    </xf>
    <xf numFmtId="165" fontId="11" fillId="3" borderId="1" xfId="3" applyFont="1" applyFill="1" applyBorder="1" applyAlignment="1">
      <alignment horizontal="center"/>
    </xf>
    <xf numFmtId="165" fontId="12" fillId="0" borderId="0" xfId="3" applyFont="1" applyAlignment="1">
      <alignment horizontal="center"/>
    </xf>
    <xf numFmtId="165" fontId="10" fillId="0" borderId="14" xfId="3" applyFont="1" applyBorder="1" applyAlignment="1">
      <alignment horizontal="center" vertical="center" wrapText="1"/>
    </xf>
    <xf numFmtId="165" fontId="10" fillId="0" borderId="10" xfId="3" applyFont="1" applyBorder="1" applyAlignment="1">
      <alignment horizontal="center" vertical="center" wrapText="1"/>
    </xf>
    <xf numFmtId="165" fontId="10" fillId="0" borderId="0" xfId="3" applyFont="1" applyAlignment="1">
      <alignment horizontal="left"/>
    </xf>
    <xf numFmtId="165" fontId="10" fillId="0" borderId="5" xfId="3" applyFont="1" applyBorder="1" applyAlignment="1">
      <alignment horizontal="center" vertical="center" wrapText="1"/>
    </xf>
    <xf numFmtId="165" fontId="10" fillId="0" borderId="50" xfId="3" applyFont="1" applyBorder="1" applyAlignment="1">
      <alignment horizontal="center" vertical="center" wrapText="1"/>
    </xf>
    <xf numFmtId="165" fontId="10" fillId="0" borderId="6" xfId="3" applyFont="1" applyBorder="1" applyAlignment="1">
      <alignment horizontal="center" vertical="center" wrapText="1"/>
    </xf>
    <xf numFmtId="165" fontId="10" fillId="7" borderId="6" xfId="3" applyFont="1" applyFill="1" applyBorder="1" applyAlignment="1">
      <alignment horizontal="center" vertical="center" wrapText="1"/>
    </xf>
    <xf numFmtId="165" fontId="10" fillId="7" borderId="10" xfId="3" applyFont="1" applyFill="1" applyBorder="1" applyAlignment="1">
      <alignment horizontal="center" vertical="center" wrapText="1"/>
    </xf>
    <xf numFmtId="165" fontId="6" fillId="2" borderId="6" xfId="2" applyNumberFormat="1" applyBorder="1" applyAlignment="1">
      <alignment horizontal="center" vertical="center" wrapText="1"/>
    </xf>
    <xf numFmtId="165" fontId="6" fillId="2" borderId="10" xfId="2" applyNumberFormat="1" applyBorder="1" applyAlignment="1">
      <alignment horizontal="center" vertical="center" wrapText="1"/>
    </xf>
    <xf numFmtId="165" fontId="10" fillId="4" borderId="6" xfId="3" applyFont="1" applyFill="1" applyBorder="1" applyAlignment="1">
      <alignment horizontal="center" vertical="center" wrapText="1"/>
    </xf>
    <xf numFmtId="165" fontId="10" fillId="4" borderId="10" xfId="3" applyFont="1" applyFill="1" applyBorder="1" applyAlignment="1">
      <alignment horizontal="center" vertical="center" wrapText="1"/>
    </xf>
    <xf numFmtId="165" fontId="20" fillId="0" borderId="6" xfId="3" applyFont="1" applyBorder="1" applyAlignment="1">
      <alignment horizontal="center" vertical="center" wrapText="1"/>
    </xf>
    <xf numFmtId="165" fontId="20" fillId="0" borderId="10" xfId="3" applyFont="1" applyBorder="1" applyAlignment="1">
      <alignment horizontal="center" vertical="center" wrapText="1"/>
    </xf>
    <xf numFmtId="165" fontId="10" fillId="0" borderId="4" xfId="3" applyFont="1" applyBorder="1" applyAlignment="1">
      <alignment horizontal="center"/>
    </xf>
    <xf numFmtId="165" fontId="10" fillId="0" borderId="83" xfId="3" applyFont="1" applyBorder="1" applyAlignment="1">
      <alignment horizontal="center" wrapText="1"/>
    </xf>
    <xf numFmtId="165" fontId="10" fillId="0" borderId="19" xfId="3" applyFont="1" applyBorder="1" applyAlignment="1">
      <alignment horizontal="center" wrapText="1"/>
    </xf>
    <xf numFmtId="165" fontId="81" fillId="0" borderId="66" xfId="3" applyFont="1" applyBorder="1" applyAlignment="1">
      <alignment horizontal="center" vertical="center"/>
    </xf>
    <xf numFmtId="165" fontId="81" fillId="0" borderId="27" xfId="3" applyFont="1" applyBorder="1" applyAlignment="1">
      <alignment horizontal="center" vertical="center"/>
    </xf>
    <xf numFmtId="165" fontId="81" fillId="0" borderId="34" xfId="3" applyFont="1" applyBorder="1" applyAlignment="1">
      <alignment horizontal="center" vertical="center"/>
    </xf>
    <xf numFmtId="166" fontId="9" fillId="0" borderId="0" xfId="3" applyNumberFormat="1" applyFont="1" applyAlignment="1">
      <alignment horizontal="center" vertical="center"/>
    </xf>
    <xf numFmtId="166" fontId="9" fillId="0" borderId="68" xfId="3" applyNumberFormat="1" applyFont="1" applyBorder="1" applyAlignment="1">
      <alignment horizontal="center" vertical="center"/>
    </xf>
    <xf numFmtId="166" fontId="9" fillId="0" borderId="74" xfId="3" applyNumberFormat="1" applyFont="1" applyBorder="1" applyAlignment="1">
      <alignment horizontal="center" vertical="center"/>
    </xf>
    <xf numFmtId="166" fontId="9" fillId="0" borderId="24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 vertical="center"/>
    </xf>
    <xf numFmtId="166" fontId="9" fillId="0" borderId="30" xfId="3" applyNumberFormat="1" applyFont="1" applyBorder="1" applyAlignment="1">
      <alignment horizontal="center" vertical="center"/>
    </xf>
    <xf numFmtId="166" fontId="9" fillId="0" borderId="28" xfId="3" applyNumberFormat="1" applyFont="1" applyBorder="1" applyAlignment="1">
      <alignment horizontal="center" vertical="center"/>
    </xf>
    <xf numFmtId="165" fontId="21" fillId="0" borderId="23" xfId="3" applyFont="1" applyBorder="1" applyAlignment="1">
      <alignment horizontal="center" vertical="center"/>
    </xf>
    <xf numFmtId="165" fontId="21" fillId="0" borderId="27" xfId="3" applyFont="1" applyBorder="1" applyAlignment="1">
      <alignment horizontal="center" vertical="center"/>
    </xf>
    <xf numFmtId="165" fontId="21" fillId="0" borderId="35" xfId="3" applyFont="1" applyBorder="1" applyAlignment="1">
      <alignment horizontal="center" vertical="center"/>
    </xf>
    <xf numFmtId="2" fontId="32" fillId="24" borderId="1" xfId="3" applyNumberFormat="1" applyFont="1" applyFill="1" applyBorder="1" applyAlignment="1">
      <alignment horizontal="center"/>
    </xf>
    <xf numFmtId="165" fontId="10" fillId="25" borderId="16" xfId="3" applyFont="1" applyFill="1" applyBorder="1" applyAlignment="1">
      <alignment horizontal="center"/>
    </xf>
    <xf numFmtId="165" fontId="10" fillId="25" borderId="19" xfId="3" applyFont="1" applyFill="1" applyBorder="1" applyAlignment="1">
      <alignment horizontal="center"/>
    </xf>
    <xf numFmtId="166" fontId="9" fillId="0" borderId="75" xfId="3" applyNumberFormat="1" applyFont="1" applyBorder="1" applyAlignment="1">
      <alignment horizontal="center" vertical="center"/>
    </xf>
    <xf numFmtId="166" fontId="9" fillId="0" borderId="63" xfId="3" applyNumberFormat="1" applyFont="1" applyBorder="1" applyAlignment="1">
      <alignment horizontal="center" vertical="center"/>
    </xf>
    <xf numFmtId="166" fontId="10" fillId="27" borderId="83" xfId="3" applyNumberFormat="1" applyFont="1" applyFill="1" applyBorder="1" applyAlignment="1">
      <alignment horizontal="center" vertical="center"/>
    </xf>
    <xf numFmtId="166" fontId="10" fillId="27" borderId="19" xfId="3" applyNumberFormat="1" applyFont="1" applyFill="1" applyBorder="1" applyAlignment="1">
      <alignment horizontal="center" vertical="center"/>
    </xf>
    <xf numFmtId="165" fontId="10" fillId="0" borderId="23" xfId="3" applyFont="1" applyBorder="1" applyAlignment="1">
      <alignment horizontal="center" vertical="center" wrapText="1"/>
    </xf>
    <xf numFmtId="165" fontId="10" fillId="0" borderId="27" xfId="3" applyFont="1" applyBorder="1" applyAlignment="1">
      <alignment horizontal="center" vertical="center" wrapText="1"/>
    </xf>
    <xf numFmtId="165" fontId="10" fillId="0" borderId="34" xfId="3" applyFont="1" applyBorder="1" applyAlignment="1">
      <alignment horizontal="center" vertical="center" wrapText="1"/>
    </xf>
    <xf numFmtId="168" fontId="10" fillId="0" borderId="78" xfId="3" applyNumberFormat="1" applyFont="1" applyBorder="1" applyAlignment="1">
      <alignment horizontal="center" vertical="center" wrapText="1"/>
    </xf>
    <xf numFmtId="168" fontId="10" fillId="0" borderId="79" xfId="3" applyNumberFormat="1" applyFont="1" applyBorder="1" applyAlignment="1">
      <alignment horizontal="center" vertical="center" wrapText="1"/>
    </xf>
    <xf numFmtId="165" fontId="10" fillId="0" borderId="39" xfId="3" applyFont="1" applyBorder="1" applyAlignment="1">
      <alignment horizontal="center" vertical="center" wrapText="1"/>
    </xf>
    <xf numFmtId="165" fontId="10" fillId="0" borderId="23" xfId="3" applyFont="1" applyBorder="1" applyAlignment="1">
      <alignment horizontal="center" vertical="center"/>
    </xf>
    <xf numFmtId="165" fontId="10" fillId="0" borderId="34" xfId="3" applyFont="1" applyBorder="1" applyAlignment="1">
      <alignment horizontal="center" vertical="center"/>
    </xf>
    <xf numFmtId="165" fontId="10" fillId="0" borderId="46" xfId="3" applyFont="1" applyBorder="1" applyAlignment="1">
      <alignment horizontal="center" vertical="center"/>
    </xf>
    <xf numFmtId="165" fontId="10" fillId="0" borderId="47" xfId="3" applyFont="1" applyBorder="1" applyAlignment="1">
      <alignment horizontal="center" vertical="center"/>
    </xf>
    <xf numFmtId="165" fontId="10" fillId="0" borderId="48" xfId="3" applyFont="1" applyBorder="1" applyAlignment="1">
      <alignment horizontal="center" vertical="center"/>
    </xf>
    <xf numFmtId="165" fontId="10" fillId="0" borderId="49" xfId="3" applyFont="1" applyBorder="1" applyAlignment="1">
      <alignment horizontal="center" vertical="center"/>
    </xf>
    <xf numFmtId="165" fontId="10" fillId="0" borderId="25" xfId="3" applyFont="1" applyBorder="1" applyAlignment="1">
      <alignment horizontal="center" vertical="center" wrapText="1"/>
    </xf>
    <xf numFmtId="165" fontId="10" fillId="0" borderId="75" xfId="3" applyFont="1" applyBorder="1" applyAlignment="1">
      <alignment horizontal="center" vertical="center" wrapText="1"/>
    </xf>
    <xf numFmtId="165" fontId="10" fillId="0" borderId="38" xfId="3" applyFont="1" applyBorder="1" applyAlignment="1">
      <alignment horizontal="center" vertical="center" wrapText="1"/>
    </xf>
    <xf numFmtId="165" fontId="10" fillId="0" borderId="8" xfId="3" applyFont="1" applyBorder="1" applyAlignment="1">
      <alignment horizontal="center" vertical="center" wrapText="1"/>
    </xf>
    <xf numFmtId="165" fontId="10" fillId="0" borderId="40" xfId="3" applyFont="1" applyBorder="1" applyAlignment="1">
      <alignment horizontal="center" vertical="center" wrapText="1"/>
    </xf>
    <xf numFmtId="165" fontId="10" fillId="0" borderId="7" xfId="3" applyFont="1" applyBorder="1" applyAlignment="1">
      <alignment horizontal="center" vertical="center" wrapText="1"/>
    </xf>
    <xf numFmtId="165" fontId="10" fillId="0" borderId="62" xfId="3" applyFont="1" applyBorder="1" applyAlignment="1">
      <alignment horizontal="center" vertical="center" wrapText="1"/>
    </xf>
    <xf numFmtId="165" fontId="10" fillId="0" borderId="26" xfId="3" applyFont="1" applyBorder="1" applyAlignment="1">
      <alignment horizontal="center" vertical="center" wrapText="1"/>
    </xf>
    <xf numFmtId="165" fontId="10" fillId="0" borderId="63" xfId="3" applyFont="1" applyBorder="1" applyAlignment="1">
      <alignment horizontal="center" vertical="center" wrapText="1"/>
    </xf>
    <xf numFmtId="166" fontId="10" fillId="7" borderId="75" xfId="3" applyNumberFormat="1" applyFont="1" applyFill="1" applyBorder="1" applyAlignment="1">
      <alignment horizontal="center" vertical="center"/>
    </xf>
    <xf numFmtId="166" fontId="10" fillId="7" borderId="63" xfId="3" applyNumberFormat="1" applyFont="1" applyFill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166" fontId="9" fillId="0" borderId="25" xfId="3" applyNumberFormat="1" applyFont="1" applyBorder="1" applyAlignment="1">
      <alignment horizontal="center" vertical="center"/>
    </xf>
    <xf numFmtId="166" fontId="9" fillId="0" borderId="26" xfId="3" applyNumberFormat="1" applyFont="1" applyBorder="1" applyAlignment="1">
      <alignment horizontal="center" vertical="center"/>
    </xf>
    <xf numFmtId="2" fontId="32" fillId="24" borderId="74" xfId="3" applyNumberFormat="1" applyFont="1" applyFill="1" applyBorder="1" applyAlignment="1">
      <alignment horizontal="center"/>
    </xf>
    <xf numFmtId="166" fontId="9" fillId="0" borderId="37" xfId="3" applyNumberFormat="1" applyFont="1" applyBorder="1" applyAlignment="1">
      <alignment horizontal="center" vertical="center"/>
    </xf>
    <xf numFmtId="166" fontId="9" fillId="0" borderId="29" xfId="3" applyNumberFormat="1" applyFont="1" applyBorder="1" applyAlignment="1">
      <alignment horizontal="center"/>
    </xf>
    <xf numFmtId="166" fontId="9" fillId="0" borderId="30" xfId="3" applyNumberFormat="1" applyFont="1" applyBorder="1" applyAlignment="1">
      <alignment horizontal="center"/>
    </xf>
    <xf numFmtId="166" fontId="9" fillId="0" borderId="75" xfId="3" applyNumberFormat="1" applyFont="1" applyBorder="1" applyAlignment="1">
      <alignment horizontal="center"/>
    </xf>
    <xf numFmtId="166" fontId="9" fillId="0" borderId="63" xfId="3" applyNumberFormat="1" applyFont="1" applyBorder="1" applyAlignment="1">
      <alignment horizontal="center"/>
    </xf>
    <xf numFmtId="165" fontId="10" fillId="0" borderId="78" xfId="3" applyFont="1" applyBorder="1" applyAlignment="1">
      <alignment horizontal="center" vertical="center" wrapText="1"/>
    </xf>
    <xf numFmtId="165" fontId="10" fillId="0" borderId="42" xfId="3" applyFont="1" applyBorder="1" applyAlignment="1">
      <alignment horizontal="center" vertical="center" wrapText="1"/>
    </xf>
    <xf numFmtId="165" fontId="81" fillId="0" borderId="23" xfId="3" applyFont="1" applyBorder="1" applyAlignment="1">
      <alignment horizontal="center" vertical="center"/>
    </xf>
    <xf numFmtId="165" fontId="81" fillId="0" borderId="35" xfId="3" applyFont="1" applyBorder="1" applyAlignment="1">
      <alignment horizontal="center" vertical="center"/>
    </xf>
    <xf numFmtId="166" fontId="9" fillId="0" borderId="82" xfId="3" applyNumberFormat="1" applyFont="1" applyBorder="1" applyAlignment="1">
      <alignment horizontal="center"/>
    </xf>
    <xf numFmtId="166" fontId="9" fillId="0" borderId="74" xfId="3" applyNumberFormat="1" applyFont="1" applyBorder="1" applyAlignment="1">
      <alignment horizontal="center"/>
    </xf>
    <xf numFmtId="166" fontId="9" fillId="0" borderId="24" xfId="3" applyNumberFormat="1" applyFont="1" applyBorder="1" applyAlignment="1">
      <alignment horizontal="center"/>
    </xf>
    <xf numFmtId="166" fontId="9" fillId="0" borderId="0" xfId="3" applyNumberFormat="1" applyFont="1" applyAlignment="1">
      <alignment horizontal="center"/>
    </xf>
    <xf numFmtId="166" fontId="9" fillId="0" borderId="68" xfId="3" applyNumberFormat="1" applyFont="1" applyBorder="1" applyAlignment="1">
      <alignment horizontal="center"/>
    </xf>
    <xf numFmtId="165" fontId="11" fillId="3" borderId="1" xfId="0" applyFont="1" applyFill="1" applyBorder="1" applyAlignment="1">
      <alignment horizontal="center"/>
    </xf>
    <xf numFmtId="165" fontId="14" fillId="4" borderId="25" xfId="3" applyFont="1" applyFill="1" applyBorder="1" applyAlignment="1">
      <alignment horizontal="center" vertical="center"/>
    </xf>
    <xf numFmtId="165" fontId="14" fillId="4" borderId="26" xfId="3" applyFont="1" applyFill="1" applyBorder="1" applyAlignment="1">
      <alignment horizontal="center" vertical="center"/>
    </xf>
    <xf numFmtId="165" fontId="14" fillId="4" borderId="75" xfId="3" applyFont="1" applyFill="1" applyBorder="1" applyAlignment="1">
      <alignment horizontal="center" vertical="center"/>
    </xf>
    <xf numFmtId="165" fontId="14" fillId="4" borderId="63" xfId="3" applyFont="1" applyFill="1" applyBorder="1" applyAlignment="1">
      <alignment horizontal="center" vertical="center"/>
    </xf>
    <xf numFmtId="165" fontId="10" fillId="0" borderId="12" xfId="3" applyFont="1" applyBorder="1" applyAlignment="1">
      <alignment horizontal="center" vertical="center" wrapText="1"/>
    </xf>
    <xf numFmtId="165" fontId="14" fillId="4" borderId="0" xfId="3" applyFont="1" applyFill="1" applyAlignment="1">
      <alignment horizontal="center" vertical="center"/>
    </xf>
    <xf numFmtId="165" fontId="14" fillId="4" borderId="4" xfId="3" applyFont="1" applyFill="1" applyBorder="1" applyAlignment="1">
      <alignment horizontal="center" vertical="center"/>
    </xf>
    <xf numFmtId="165" fontId="8" fillId="0" borderId="53" xfId="3" applyBorder="1" applyAlignment="1">
      <alignment horizontal="center"/>
    </xf>
    <xf numFmtId="165" fontId="8" fillId="0" borderId="67" xfId="3" applyBorder="1" applyAlignment="1">
      <alignment horizontal="center"/>
    </xf>
    <xf numFmtId="15" fontId="41" fillId="0" borderId="44" xfId="3" applyNumberFormat="1" applyFont="1" applyBorder="1" applyAlignment="1">
      <alignment horizontal="center"/>
    </xf>
    <xf numFmtId="165" fontId="61" fillId="0" borderId="46" xfId="3" applyFont="1" applyBorder="1" applyAlignment="1">
      <alignment horizontal="center" vertical="center"/>
    </xf>
    <xf numFmtId="165" fontId="61" fillId="0" borderId="47" xfId="3" applyFont="1" applyBorder="1" applyAlignment="1">
      <alignment horizontal="center" vertical="center"/>
    </xf>
    <xf numFmtId="165" fontId="61" fillId="0" borderId="48" xfId="3" applyFont="1" applyBorder="1" applyAlignment="1">
      <alignment horizontal="center" vertic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8" fillId="0" borderId="2" xfId="3" applyBorder="1" applyAlignment="1">
      <alignment horizontal="center"/>
    </xf>
    <xf numFmtId="165" fontId="8" fillId="0" borderId="65" xfId="3" applyBorder="1" applyAlignment="1">
      <alignment horizontal="center"/>
    </xf>
    <xf numFmtId="165" fontId="41" fillId="0" borderId="6" xfId="3" applyFont="1" applyBorder="1" applyAlignment="1">
      <alignment horizontal="center" vertical="center" wrapText="1"/>
    </xf>
    <xf numFmtId="165" fontId="41" fillId="0" borderId="39" xfId="3" applyFont="1" applyBorder="1" applyAlignment="1">
      <alignment horizontal="center" vertical="center" wrapText="1"/>
    </xf>
    <xf numFmtId="165" fontId="41" fillId="0" borderId="7" xfId="3" applyFont="1" applyBorder="1" applyAlignment="1">
      <alignment horizontal="center" vertical="center" wrapText="1"/>
    </xf>
    <xf numFmtId="165" fontId="41" fillId="0" borderId="17" xfId="3" applyFont="1" applyBorder="1" applyAlignment="1">
      <alignment horizontal="center" vertical="center" wrapText="1"/>
    </xf>
    <xf numFmtId="165" fontId="41" fillId="0" borderId="62" xfId="3" applyFont="1" applyBorder="1" applyAlignment="1">
      <alignment horizontal="center" vertical="center" wrapText="1"/>
    </xf>
    <xf numFmtId="165" fontId="41" fillId="0" borderId="4" xfId="3" applyFont="1" applyBorder="1" applyAlignment="1">
      <alignment horizontal="center" vertical="center" wrapText="1"/>
    </xf>
    <xf numFmtId="165" fontId="41" fillId="0" borderId="2" xfId="3" applyFont="1" applyBorder="1" applyAlignment="1">
      <alignment horizontal="center"/>
    </xf>
    <xf numFmtId="165" fontId="41" fillId="0" borderId="65" xfId="3" applyFont="1" applyBorder="1" applyAlignment="1">
      <alignment horizontal="center"/>
    </xf>
    <xf numFmtId="2" fontId="8" fillId="0" borderId="55" xfId="3" applyNumberFormat="1" applyBorder="1" applyAlignment="1">
      <alignment horizontal="center"/>
    </xf>
    <xf numFmtId="2" fontId="8" fillId="0" borderId="56" xfId="3" applyNumberFormat="1" applyBorder="1" applyAlignment="1">
      <alignment horizontal="center"/>
    </xf>
    <xf numFmtId="165" fontId="41" fillId="0" borderId="23" xfId="3" applyFont="1" applyBorder="1" applyAlignment="1">
      <alignment horizontal="center" vertical="center"/>
    </xf>
    <xf numFmtId="165" fontId="41" fillId="0" borderId="34" xfId="3" applyFont="1" applyBorder="1" applyAlignment="1">
      <alignment horizontal="center" vertical="center"/>
    </xf>
    <xf numFmtId="165" fontId="41" fillId="0" borderId="55" xfId="3" applyFont="1" applyBorder="1" applyAlignment="1">
      <alignment horizontal="center" vertical="center"/>
    </xf>
    <xf numFmtId="165" fontId="41" fillId="0" borderId="64" xfId="3" applyFont="1" applyBorder="1" applyAlignment="1">
      <alignment horizontal="center" vertical="center"/>
    </xf>
    <xf numFmtId="165" fontId="41" fillId="0" borderId="5" xfId="3" applyFont="1" applyBorder="1" applyAlignment="1">
      <alignment horizontal="center" vertical="center" wrapText="1"/>
    </xf>
    <xf numFmtId="165" fontId="41" fillId="0" borderId="38" xfId="3" applyFont="1" applyBorder="1" applyAlignment="1">
      <alignment horizontal="center" vertical="center" wrapText="1"/>
    </xf>
    <xf numFmtId="165" fontId="40" fillId="0" borderId="0" xfId="3" applyFont="1" applyAlignment="1">
      <alignment horizontal="center"/>
    </xf>
    <xf numFmtId="165" fontId="8" fillId="0" borderId="0" xfId="3" applyAlignment="1">
      <alignment horizontal="left"/>
    </xf>
    <xf numFmtId="165" fontId="41" fillId="0" borderId="50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2" fillId="0" borderId="6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1" fillId="0" borderId="35" xfId="3" applyFont="1" applyBorder="1" applyAlignment="1">
      <alignment horizontal="center" vertical="center"/>
    </xf>
    <xf numFmtId="165" fontId="64" fillId="4" borderId="0" xfId="0" applyFont="1" applyFill="1" applyAlignment="1">
      <alignment horizontal="center"/>
    </xf>
    <xf numFmtId="165" fontId="76" fillId="0" borderId="0" xfId="0" applyFont="1" applyAlignment="1">
      <alignment horizontal="center" vertical="top"/>
    </xf>
    <xf numFmtId="165" fontId="65" fillId="20" borderId="41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left" vertical="center"/>
    </xf>
    <xf numFmtId="165" fontId="65" fillId="20" borderId="69" xfId="0" applyFont="1" applyFill="1" applyBorder="1" applyAlignment="1">
      <alignment horizontal="center" vertical="center"/>
    </xf>
    <xf numFmtId="165" fontId="73" fillId="0" borderId="0" xfId="0" applyFont="1" applyAlignment="1">
      <alignment horizontal="center" vertical="top"/>
    </xf>
    <xf numFmtId="165" fontId="65" fillId="20" borderId="4" xfId="0" applyFont="1" applyFill="1" applyBorder="1" applyAlignment="1">
      <alignment horizontal="center" vertical="center"/>
    </xf>
    <xf numFmtId="165" fontId="65" fillId="20" borderId="4" xfId="0" applyFont="1" applyFill="1" applyBorder="1" applyAlignment="1">
      <alignment horizontal="left" vertical="center"/>
    </xf>
    <xf numFmtId="165" fontId="74" fillId="20" borderId="4" xfId="0" applyFont="1" applyFill="1" applyBorder="1" applyAlignment="1">
      <alignment horizontal="right" vertical="center"/>
    </xf>
  </cellXfs>
  <cellStyles count="17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Normal 3 2" xfId="15" xr:uid="{DC2ABFCD-8089-4D58-B99E-08E1FAD9FF32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3 2 2" xfId="13" xr:uid="{34DF29C9-CC1F-489C-9B5C-86DA23AE2EAD}"/>
    <cellStyle name="Percent 3 3" xfId="11" xr:uid="{53D3FD01-33B0-466D-ADE6-A919A36CECBE}"/>
    <cellStyle name="Percent 4" xfId="6" xr:uid="{4AD98EB2-9BB4-4842-A408-0E56A74ED11E}"/>
    <cellStyle name="Percent 4 2" xfId="8" xr:uid="{4E10984A-3ADE-4C2D-B6E7-76DD6D94E726}"/>
    <cellStyle name="Percent 4 2 2" xfId="14" xr:uid="{F0B979ED-7081-4CE5-AE73-A7A6E88041FF}"/>
    <cellStyle name="Percent 4 3" xfId="10" xr:uid="{01053475-F444-4128-81F2-2F08DC4F4A0B}"/>
    <cellStyle name="Percent 4 3 2" xfId="16" xr:uid="{53801A28-4BCE-44B4-904F-9AF37504C028}"/>
    <cellStyle name="Percent 4 4" xfId="12" xr:uid="{5B270DAE-7FD6-4620-B6C7-8E73E3C84DBE}"/>
  </cellStyles>
  <dxfs count="387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00FF"/>
      <color rgb="FF008200"/>
      <color rgb="FFCC3300"/>
      <color rgb="FFFF3300"/>
      <color rgb="FFFF0000"/>
      <color rgb="FFFF66FF"/>
      <color rgb="FFFF0066"/>
      <color rgb="FFFF9999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4.xml"/><Relationship Id="rId55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externalLink" Target="externalLinks/externalLink47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pril%20'26%20Daily%20Process%20Report%202026.xlsx" TargetMode="External"/><Relationship Id="rId1" Type="http://schemas.openxmlformats.org/officeDocument/2006/relationships/externalLinkPath" Target="April%20'26%20Daily%20Process%20Report%20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y'26%20Daily%20Process%20Report%202026.xlsx" TargetMode="External"/><Relationship Id="rId1" Type="http://schemas.openxmlformats.org/officeDocument/2006/relationships/externalLinkPath" Target="May'26%20Daily%20Process%20Report%20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ne'26%20Daily%20Process%20Report%202026.xlsx" TargetMode="External"/><Relationship Id="rId1" Type="http://schemas.openxmlformats.org/officeDocument/2006/relationships/externalLinkPath" Target="June'26%20Daily%20Process%20Report%20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uly'26%20Daily%20Process%20Report%202026.xlsx" TargetMode="External"/><Relationship Id="rId1" Type="http://schemas.openxmlformats.org/officeDocument/2006/relationships/externalLinkPath" Target="July'26%20Daily%20Process%20Report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August'26%20Daily%20Process%20Report%202026.xlsx" TargetMode="External"/><Relationship Id="rId1" Type="http://schemas.openxmlformats.org/officeDocument/2006/relationships/externalLinkPath" Target="August'26%20Daily%20Process%20Report%20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March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pril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MMaltLog.xls" TargetMode="External"/><Relationship Id="rId2" Type="http://schemas.openxmlformats.org/officeDocument/2006/relationships/externalLinkPath" Target="file:///F:\Operations\Brewing\Logbooks\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September_2026.xls" TargetMode="External"/><Relationship Id="rId2" Type="http://schemas.openxmlformats.org/officeDocument/2006/relationships/externalLinkPath" Target="file:///F:\Operations\Brewing\Reports%20Local\Losses%202026\September_2026.xls" TargetMode="External"/><Relationship Id="rId1" Type="http://schemas.openxmlformats.org/officeDocument/2006/relationships/externalLinkPath" Target="/Operations/Brewing/Reports%20Local/Losses%202026/September_2026.xls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Jan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Februar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2%20Daily%20Process%20Report/May%20'22%20Daily%20Process%20Report%202022.xlsx" TargetMode="External"/><Relationship Id="rId2" Type="http://schemas.openxmlformats.org/officeDocument/2006/relationships/externalLinkPath" Target="file:///F:\Operations\Brewing\Reports%20Local\Daily%20Process%20Report\2022%20Daily%20Process%20Report\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September'26%20Daily%20Process%20Report%202026.xlsx" TargetMode="External"/><Relationship Id="rId1" Type="http://schemas.openxmlformats.org/officeDocument/2006/relationships/externalLinkPath" Target="September'26%20Daily%20Process%20Report%202026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October_2026.xls" TargetMode="External"/><Relationship Id="rId2" Type="http://schemas.openxmlformats.org/officeDocument/2006/relationships/externalLinkPath" Target="file:///F:\Operations\Brewing\Reports%20Local\Losses%202026\October_2026.xls" TargetMode="External"/><Relationship Id="rId1" Type="http://schemas.openxmlformats.org/officeDocument/2006/relationships/externalLinkPath" Target="/Operations/Brewing/Reports%20Local/Losses%202026/October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September '26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>
            <v>91.893381203561418</v>
          </cell>
        </row>
        <row r="231">
          <cell r="AS231">
            <v>95.883830769509331</v>
          </cell>
        </row>
        <row r="232">
          <cell r="AS232">
            <v>96.325210694705959</v>
          </cell>
        </row>
        <row r="233">
          <cell r="AS233">
            <v>96.768374788406007</v>
          </cell>
        </row>
        <row r="234">
          <cell r="AS234">
            <v>99.805947091181096</v>
          </cell>
        </row>
        <row r="235">
          <cell r="AS235">
            <v>97.59500083914169</v>
          </cell>
        </row>
        <row r="236">
          <cell r="AS236">
            <v>96.015295809177886</v>
          </cell>
        </row>
        <row r="237">
          <cell r="AS237">
            <v>99.016967272278464</v>
          </cell>
        </row>
        <row r="238">
          <cell r="AS238">
            <v>97.930910424263288</v>
          </cell>
        </row>
        <row r="239">
          <cell r="AS239">
            <v>95.51262249962322</v>
          </cell>
        </row>
        <row r="240">
          <cell r="AS240">
            <v>100.03027228544039</v>
          </cell>
        </row>
        <row r="241">
          <cell r="AS241">
            <v>99.680150206688893</v>
          </cell>
        </row>
        <row r="242">
          <cell r="AS242">
            <v>99.677491461603083</v>
          </cell>
        </row>
        <row r="243">
          <cell r="AS243">
            <v>99.880311150879038</v>
          </cell>
        </row>
        <row r="244">
          <cell r="AS244">
            <v>101.658582761551</v>
          </cell>
        </row>
        <row r="245">
          <cell r="AS245">
            <v>101.63039952812952</v>
          </cell>
        </row>
        <row r="246">
          <cell r="AS246">
            <v>99.260258246780694</v>
          </cell>
        </row>
        <row r="247">
          <cell r="AS247">
            <v>102.67383093717935</v>
          </cell>
        </row>
        <row r="248">
          <cell r="AS248">
            <v>100.39997678316345</v>
          </cell>
        </row>
        <row r="249">
          <cell r="AS249">
            <v>99.081028043575728</v>
          </cell>
        </row>
        <row r="252">
          <cell r="AS252">
            <v>99.198581391944401</v>
          </cell>
        </row>
        <row r="253">
          <cell r="AS253">
            <v>99.450027165653339</v>
          </cell>
        </row>
        <row r="254">
          <cell r="AS254">
            <v>95.749181793212287</v>
          </cell>
        </row>
        <row r="255">
          <cell r="AS255">
            <v>96.404836914851714</v>
          </cell>
        </row>
        <row r="256">
          <cell r="AS256">
            <v>97.214381663218518</v>
          </cell>
        </row>
        <row r="257">
          <cell r="AS257">
            <v>99.683984036787066</v>
          </cell>
        </row>
        <row r="258">
          <cell r="AS258">
            <v>99.370659448462092</v>
          </cell>
        </row>
        <row r="259">
          <cell r="AS259">
            <v>100.46353523213787</v>
          </cell>
        </row>
        <row r="260">
          <cell r="AS260">
            <v>98.730026427379045</v>
          </cell>
        </row>
        <row r="261">
          <cell r="AS261">
            <v>100.24562738297855</v>
          </cell>
        </row>
        <row r="262">
          <cell r="AS262">
            <v>99.335232031479649</v>
          </cell>
        </row>
        <row r="263">
          <cell r="AS263">
            <v>100.58932724044769</v>
          </cell>
        </row>
        <row r="264">
          <cell r="AS264">
            <v>101.15819379667646</v>
          </cell>
        </row>
        <row r="265">
          <cell r="AS265">
            <v>100.84592825413714</v>
          </cell>
        </row>
        <row r="266">
          <cell r="AS266">
            <v>100.43237296472746</v>
          </cell>
        </row>
        <row r="267">
          <cell r="AS267">
            <v>99.868124541057114</v>
          </cell>
        </row>
        <row r="268">
          <cell r="AS268">
            <v>96.895654477588451</v>
          </cell>
        </row>
        <row r="269">
          <cell r="AS269">
            <v>97.187186945196061</v>
          </cell>
        </row>
        <row r="270">
          <cell r="AS270">
            <v>96.861205051857695</v>
          </cell>
        </row>
        <row r="271">
          <cell r="AS271">
            <v>100.7905058949286</v>
          </cell>
        </row>
        <row r="272">
          <cell r="AS272">
            <v>99.868124541057114</v>
          </cell>
        </row>
        <row r="273">
          <cell r="AS273">
            <v>100.55844165954197</v>
          </cell>
        </row>
        <row r="274">
          <cell r="AS274">
            <v>96.548828345484281</v>
          </cell>
        </row>
        <row r="275">
          <cell r="AS275">
            <v>100.19135091878917</v>
          </cell>
        </row>
        <row r="276">
          <cell r="AS276">
            <v>99.371721926227323</v>
          </cell>
        </row>
        <row r="277">
          <cell r="AS277">
            <v>94.990603925471802</v>
          </cell>
        </row>
        <row r="278">
          <cell r="AS278">
            <v>100.83834966907197</v>
          </cell>
        </row>
        <row r="279">
          <cell r="AS279">
            <v>97.31936248600482</v>
          </cell>
        </row>
        <row r="280">
          <cell r="AS280">
            <v>99.446100161727543</v>
          </cell>
        </row>
        <row r="281">
          <cell r="AS281">
            <v>101.25421107375897</v>
          </cell>
        </row>
        <row r="282">
          <cell r="AS282">
            <v>99.571016312772826</v>
          </cell>
        </row>
        <row r="283">
          <cell r="AS283">
            <v>101.25471652266825</v>
          </cell>
        </row>
        <row r="284">
          <cell r="AS284">
            <v>102.25579256731321</v>
          </cell>
        </row>
        <row r="285">
          <cell r="AS285">
            <v>100.48414063181383</v>
          </cell>
        </row>
        <row r="286">
          <cell r="AS286">
            <v>99.939679018214306</v>
          </cell>
        </row>
        <row r="287">
          <cell r="AS287">
            <v>101.49046337979428</v>
          </cell>
        </row>
        <row r="288">
          <cell r="AS288">
            <v>99.658344935350172</v>
          </cell>
        </row>
        <row r="289">
          <cell r="AS289">
            <v>100.79139066827585</v>
          </cell>
        </row>
        <row r="290">
          <cell r="AS290">
            <v>98.227410767009204</v>
          </cell>
        </row>
        <row r="291">
          <cell r="AS291">
            <v>100.04439034243482</v>
          </cell>
        </row>
        <row r="292">
          <cell r="AS292">
            <v>98.617249485112069</v>
          </cell>
        </row>
        <row r="293">
          <cell r="AS293">
            <v>99.168205395168258</v>
          </cell>
        </row>
        <row r="295">
          <cell r="AS295">
            <v>96.013735064813474</v>
          </cell>
        </row>
        <row r="296">
          <cell r="AS296">
            <v>100.38245090858832</v>
          </cell>
        </row>
        <row r="297">
          <cell r="AS297">
            <v>102.93281209025689</v>
          </cell>
        </row>
        <row r="298">
          <cell r="AS298">
            <v>95.59135221348177</v>
          </cell>
        </row>
        <row r="299">
          <cell r="AS299">
            <v>95.953887822360457</v>
          </cell>
        </row>
        <row r="300">
          <cell r="AS300">
            <v>96.457660998061172</v>
          </cell>
        </row>
        <row r="301">
          <cell r="AS301">
            <v>96.459607373483308</v>
          </cell>
        </row>
        <row r="302">
          <cell r="AS302">
            <v>97.772523167268972</v>
          </cell>
        </row>
        <row r="303">
          <cell r="AS303">
            <v>99.285893746081584</v>
          </cell>
        </row>
        <row r="304">
          <cell r="AS304">
            <v>96.843389772867923</v>
          </cell>
        </row>
        <row r="305">
          <cell r="AS305">
            <v>100.55808788259412</v>
          </cell>
        </row>
        <row r="306">
          <cell r="AS306">
            <v>97.554213655237049</v>
          </cell>
        </row>
        <row r="307">
          <cell r="AS307">
            <v>98.380934315032519</v>
          </cell>
        </row>
        <row r="308">
          <cell r="AS308">
            <v>97.536636164570268</v>
          </cell>
        </row>
        <row r="309">
          <cell r="AS309">
            <v>97.660253116847329</v>
          </cell>
        </row>
        <row r="310">
          <cell r="AS310">
            <v>100.48800750797635</v>
          </cell>
        </row>
        <row r="311">
          <cell r="AS311">
            <v>98.475377444669192</v>
          </cell>
        </row>
        <row r="312">
          <cell r="AS312">
            <v>99.914679227931671</v>
          </cell>
        </row>
        <row r="313">
          <cell r="AS313">
            <v>99.253784285399746</v>
          </cell>
        </row>
        <row r="314">
          <cell r="AS314">
            <v>96.705795206676655</v>
          </cell>
        </row>
        <row r="315">
          <cell r="AS315">
            <v>97.329743164428521</v>
          </cell>
        </row>
        <row r="316">
          <cell r="AS316">
            <v>99.065888617269223</v>
          </cell>
        </row>
        <row r="317">
          <cell r="AS317">
            <v>94.926337798329214</v>
          </cell>
        </row>
        <row r="318">
          <cell r="AS318">
            <v>98.570907895555237</v>
          </cell>
        </row>
        <row r="319">
          <cell r="AS319">
            <v>99.261312241841878</v>
          </cell>
        </row>
        <row r="320">
          <cell r="AS320">
            <v>98.24621489209953</v>
          </cell>
        </row>
        <row r="321">
          <cell r="AS321">
            <v>97.881219367369539</v>
          </cell>
        </row>
        <row r="322">
          <cell r="AS322">
            <v>96.045946504231367</v>
          </cell>
        </row>
        <row r="323">
          <cell r="AS323">
            <v>97.322817169770062</v>
          </cell>
        </row>
        <row r="324">
          <cell r="AS324">
            <v>97.816038092626201</v>
          </cell>
        </row>
        <row r="325">
          <cell r="AS325">
            <v>103.51481490885584</v>
          </cell>
        </row>
        <row r="327">
          <cell r="AS327">
            <v>94.796610655110641</v>
          </cell>
        </row>
        <row r="328">
          <cell r="AS328">
            <v>98.314396537543004</v>
          </cell>
        </row>
        <row r="329">
          <cell r="AS329">
            <v>99.784866605770077</v>
          </cell>
        </row>
        <row r="330">
          <cell r="AS330">
            <v>100.33853534489856</v>
          </cell>
        </row>
        <row r="331">
          <cell r="AS331">
            <v>102.03438257870683</v>
          </cell>
        </row>
        <row r="332">
          <cell r="AS332">
            <v>99.155232444155033</v>
          </cell>
        </row>
        <row r="333">
          <cell r="AS333">
            <v>97.692816245651542</v>
          </cell>
        </row>
        <row r="334">
          <cell r="AS334">
            <v>99.929502656617558</v>
          </cell>
        </row>
        <row r="335">
          <cell r="AS335">
            <v>102.31885501216071</v>
          </cell>
        </row>
        <row r="336">
          <cell r="AS336">
            <v>99.652790566766143</v>
          </cell>
        </row>
        <row r="337">
          <cell r="AS337">
            <v>99.055898699447013</v>
          </cell>
        </row>
        <row r="338">
          <cell r="AS338">
            <v>98.745714949083094</v>
          </cell>
        </row>
        <row r="339">
          <cell r="AS339">
            <v>100.05112865724453</v>
          </cell>
        </row>
        <row r="340">
          <cell r="AS340">
            <v>99.219837183704257</v>
          </cell>
        </row>
        <row r="341">
          <cell r="AS341">
            <v>99.219837183704257</v>
          </cell>
        </row>
        <row r="342">
          <cell r="AS342">
            <v>99.323329633525859</v>
          </cell>
        </row>
        <row r="343">
          <cell r="AS343">
            <v>99.650122129560188</v>
          </cell>
        </row>
        <row r="344">
          <cell r="AS344">
            <v>96.130188550895028</v>
          </cell>
        </row>
        <row r="345">
          <cell r="AS345">
            <v>98.643672179069668</v>
          </cell>
        </row>
        <row r="346">
          <cell r="AS346">
            <v>97.544184434340778</v>
          </cell>
        </row>
        <row r="347">
          <cell r="AS347">
            <v>99.527904357748554</v>
          </cell>
        </row>
        <row r="348">
          <cell r="AS348">
            <v>100.13077318075212</v>
          </cell>
        </row>
        <row r="349">
          <cell r="AS349">
            <v>97.985529268351812</v>
          </cell>
        </row>
        <row r="350">
          <cell r="AS350">
            <v>101.05077690934993</v>
          </cell>
        </row>
        <row r="351">
          <cell r="AS351">
            <v>99.656323436956768</v>
          </cell>
        </row>
        <row r="352">
          <cell r="AS352">
            <v>105.3788158697007</v>
          </cell>
        </row>
        <row r="353">
          <cell r="AS353">
            <v>102.40349309246177</v>
          </cell>
        </row>
        <row r="354">
          <cell r="AS354">
            <v>96.049611913783252</v>
          </cell>
        </row>
        <row r="355">
          <cell r="AS355">
            <v>96.944463047798635</v>
          </cell>
        </row>
        <row r="356">
          <cell r="AS356">
            <v>98.909854486474273</v>
          </cell>
        </row>
        <row r="357">
          <cell r="AS357">
            <v>99.18039986493666</v>
          </cell>
        </row>
        <row r="358">
          <cell r="AS358">
            <v>98.266162409828908</v>
          </cell>
        </row>
        <row r="359">
          <cell r="AS359">
            <v>99.615522882404434</v>
          </cell>
        </row>
        <row r="360">
          <cell r="AS360">
            <v>100.62326379755295</v>
          </cell>
        </row>
        <row r="361">
          <cell r="AS361">
            <v>97.422783496499648</v>
          </cell>
        </row>
        <row r="363">
          <cell r="AS363">
            <v>96.072468702631554</v>
          </cell>
        </row>
        <row r="364">
          <cell r="AS364">
            <v>98.269552186475522</v>
          </cell>
        </row>
        <row r="365">
          <cell r="AS365">
            <v>99.989796775773399</v>
          </cell>
        </row>
        <row r="366">
          <cell r="AS366">
            <v>99.103260744156756</v>
          </cell>
        </row>
        <row r="367">
          <cell r="AS367">
            <v>99.933359063716594</v>
          </cell>
        </row>
        <row r="368">
          <cell r="AS368">
            <v>103.33714761585293</v>
          </cell>
        </row>
        <row r="369">
          <cell r="AS369">
            <v>103.81878537188666</v>
          </cell>
        </row>
        <row r="370">
          <cell r="AS370">
            <v>101.75531402615744</v>
          </cell>
        </row>
        <row r="371">
          <cell r="AS371">
            <v>99.050413722591401</v>
          </cell>
        </row>
        <row r="372">
          <cell r="AS372">
            <v>103.67708915402727</v>
          </cell>
        </row>
        <row r="373">
          <cell r="AS373">
            <v>92.207251912768385</v>
          </cell>
        </row>
        <row r="374">
          <cell r="AS374">
            <v>98.768973008259692</v>
          </cell>
        </row>
        <row r="375">
          <cell r="AS375">
            <v>99.2105296845954</v>
          </cell>
        </row>
        <row r="376">
          <cell r="AS376">
            <v>99.662586818553194</v>
          </cell>
        </row>
        <row r="377">
          <cell r="AS377">
            <v>99.814541571057831</v>
          </cell>
        </row>
        <row r="378">
          <cell r="AS378">
            <v>100.1578324034637</v>
          </cell>
        </row>
        <row r="379">
          <cell r="AS379">
            <v>92.812355369132575</v>
          </cell>
        </row>
        <row r="380">
          <cell r="AS380">
            <v>98.630536608448594</v>
          </cell>
        </row>
        <row r="381">
          <cell r="AS381">
            <v>96.561623541101866</v>
          </cell>
        </row>
        <row r="382">
          <cell r="AS382">
            <v>95.926534578867759</v>
          </cell>
        </row>
        <row r="383">
          <cell r="AS383">
            <v>100.46416893912362</v>
          </cell>
        </row>
        <row r="384">
          <cell r="AS384">
            <v>100.11232983436278</v>
          </cell>
        </row>
        <row r="385">
          <cell r="AS385">
            <v>100.23389544781169</v>
          </cell>
        </row>
        <row r="386">
          <cell r="AS386">
            <v>102.08757820726416</v>
          </cell>
        </row>
        <row r="387">
          <cell r="AS387">
            <v>100.05191399230857</v>
          </cell>
        </row>
        <row r="388">
          <cell r="AS388">
            <v>100.4938564935447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U292">
            <v>97.704199504233429</v>
          </cell>
        </row>
        <row r="293">
          <cell r="AU293">
            <v>97.979907272741045</v>
          </cell>
        </row>
        <row r="294">
          <cell r="AU294">
            <v>99.895350375578587</v>
          </cell>
        </row>
        <row r="295">
          <cell r="AU295">
            <v>95.889566709390451</v>
          </cell>
        </row>
        <row r="296">
          <cell r="AU296">
            <v>99.06862717692897</v>
          </cell>
        </row>
        <row r="297">
          <cell r="AU297">
            <v>95.445431119922034</v>
          </cell>
        </row>
        <row r="298">
          <cell r="AU298">
            <v>104.42612750160676</v>
          </cell>
        </row>
        <row r="299">
          <cell r="AU299">
            <v>97.341719131975395</v>
          </cell>
        </row>
        <row r="300">
          <cell r="AU300">
            <v>99.419193802504751</v>
          </cell>
        </row>
        <row r="301">
          <cell r="AU301">
            <v>97.071854613833906</v>
          </cell>
        </row>
        <row r="302">
          <cell r="AU302">
            <v>99.570734039536561</v>
          </cell>
        </row>
        <row r="303">
          <cell r="AU303">
            <v>96.468452597935965</v>
          </cell>
        </row>
        <row r="304">
          <cell r="AU304">
            <v>98.260915565538383</v>
          </cell>
        </row>
        <row r="305">
          <cell r="AU305">
            <v>97.640321547589153</v>
          </cell>
        </row>
        <row r="306">
          <cell r="AU306">
            <v>98.731659046513386</v>
          </cell>
        </row>
        <row r="307">
          <cell r="AU307">
            <v>100.63051286939478</v>
          </cell>
        </row>
        <row r="308">
          <cell r="AU308">
            <v>96.708405814293428</v>
          </cell>
        </row>
        <row r="309">
          <cell r="AU309">
            <v>98.262108477392388</v>
          </cell>
        </row>
        <row r="310">
          <cell r="AU310">
            <v>100.88223340232045</v>
          </cell>
        </row>
        <row r="311">
          <cell r="AU311">
            <v>97.964873795422605</v>
          </cell>
        </row>
        <row r="312">
          <cell r="AU312">
            <v>97.684444147608716</v>
          </cell>
        </row>
        <row r="313">
          <cell r="AU313">
            <v>100.56390577410568</v>
          </cell>
        </row>
        <row r="314">
          <cell r="AU314">
            <v>99.284482347324953</v>
          </cell>
        </row>
        <row r="315">
          <cell r="AU315">
            <v>99.92986277518375</v>
          </cell>
        </row>
        <row r="316">
          <cell r="AU316">
            <v>98.833209781084534</v>
          </cell>
        </row>
        <row r="317">
          <cell r="AU317">
            <v>99.202272266400399</v>
          </cell>
        </row>
        <row r="318">
          <cell r="AU318">
            <v>98.715968018469894</v>
          </cell>
        </row>
        <row r="319">
          <cell r="AU319">
            <v>95.039912630667331</v>
          </cell>
        </row>
        <row r="320">
          <cell r="AU320">
            <v>98.367421417804422</v>
          </cell>
        </row>
        <row r="321">
          <cell r="AU321">
            <v>98.860563530003276</v>
          </cell>
        </row>
        <row r="322">
          <cell r="AU322">
            <v>98.293969985865587</v>
          </cell>
        </row>
        <row r="323">
          <cell r="AU323">
            <v>98.680554445148545</v>
          </cell>
        </row>
        <row r="324">
          <cell r="AU324">
            <v>97.276066263342202</v>
          </cell>
        </row>
        <row r="325">
          <cell r="AU325">
            <v>99.522717712698153</v>
          </cell>
        </row>
        <row r="326">
          <cell r="AU326">
            <v>97.280161876306295</v>
          </cell>
        </row>
        <row r="327">
          <cell r="AU327">
            <v>98.419574335641741</v>
          </cell>
        </row>
        <row r="328">
          <cell r="AU328">
            <v>99.010323522494176</v>
          </cell>
        </row>
        <row r="329">
          <cell r="AU329">
            <v>101.34286464320613</v>
          </cell>
        </row>
        <row r="330">
          <cell r="AU330">
            <v>100.08719027441192</v>
          </cell>
        </row>
        <row r="331">
          <cell r="AU331">
            <v>97.147652628524895</v>
          </cell>
        </row>
        <row r="333">
          <cell r="AU333">
            <v>98.291637523851719</v>
          </cell>
        </row>
        <row r="334">
          <cell r="AU334">
            <v>101.55474535131795</v>
          </cell>
        </row>
        <row r="335">
          <cell r="AU335">
            <v>100.47437476290094</v>
          </cell>
        </row>
        <row r="336">
          <cell r="AU336">
            <v>100.54292897070825</v>
          </cell>
        </row>
        <row r="337">
          <cell r="AU337">
            <v>99.6914222479014</v>
          </cell>
        </row>
        <row r="338">
          <cell r="AU338">
            <v>98.788355462696771</v>
          </cell>
        </row>
        <row r="339">
          <cell r="AU339">
            <v>96.362850732705169</v>
          </cell>
        </row>
        <row r="340">
          <cell r="AU340">
            <v>99.706387133823071</v>
          </cell>
        </row>
        <row r="341">
          <cell r="AU341">
            <v>97.642652173476279</v>
          </cell>
        </row>
        <row r="342">
          <cell r="AU342">
            <v>99.106149710242491</v>
          </cell>
        </row>
        <row r="343">
          <cell r="AU343">
            <v>96.333505901006006</v>
          </cell>
        </row>
        <row r="344">
          <cell r="AU344">
            <v>98.749512017375622</v>
          </cell>
        </row>
        <row r="345">
          <cell r="AU345">
            <v>97.86206666251897</v>
          </cell>
        </row>
        <row r="346">
          <cell r="AU346">
            <v>101.04601229684947</v>
          </cell>
        </row>
        <row r="347">
          <cell r="AU347">
            <v>97.276066263342202</v>
          </cell>
        </row>
        <row r="348">
          <cell r="AU348">
            <v>93.852395703596613</v>
          </cell>
        </row>
        <row r="349">
          <cell r="AU349">
            <v>97.34537784324344</v>
          </cell>
        </row>
        <row r="350">
          <cell r="AU350">
            <v>98.987340911426685</v>
          </cell>
        </row>
        <row r="351">
          <cell r="AU351">
            <v>98.106846922939908</v>
          </cell>
        </row>
        <row r="352">
          <cell r="AU352">
            <v>98.794769125933016</v>
          </cell>
        </row>
        <row r="353">
          <cell r="AU353">
            <v>98.17950033315293</v>
          </cell>
        </row>
        <row r="354">
          <cell r="AU354">
            <v>96.913042197128789</v>
          </cell>
        </row>
        <row r="355">
          <cell r="AU355">
            <v>98.866426421918902</v>
          </cell>
        </row>
        <row r="356">
          <cell r="AU356">
            <v>98.283716639471436</v>
          </cell>
        </row>
        <row r="357">
          <cell r="AU357">
            <v>97.627901774051935</v>
          </cell>
        </row>
        <row r="358">
          <cell r="AU358">
            <v>99.060663016068062</v>
          </cell>
        </row>
        <row r="359">
          <cell r="AU359">
            <v>98.301955213273345</v>
          </cell>
        </row>
        <row r="360">
          <cell r="AU360">
            <v>98.106846922939908</v>
          </cell>
        </row>
        <row r="361">
          <cell r="AU361">
            <v>96.325564324938568</v>
          </cell>
        </row>
        <row r="362">
          <cell r="AU362">
            <v>97.842907420327492</v>
          </cell>
        </row>
        <row r="363">
          <cell r="AU363">
            <v>98.232555924411713</v>
          </cell>
        </row>
        <row r="364">
          <cell r="AU364">
            <v>99.070568405483513</v>
          </cell>
        </row>
        <row r="365">
          <cell r="AU365">
            <v>97.022595413926055</v>
          </cell>
        </row>
        <row r="366">
          <cell r="AU366">
            <v>97.985121162080063</v>
          </cell>
        </row>
        <row r="367">
          <cell r="AU367">
            <v>96.656126592782627</v>
          </cell>
        </row>
        <row r="368">
          <cell r="AU368">
            <v>99.467995204961397</v>
          </cell>
        </row>
        <row r="369">
          <cell r="AU369">
            <v>96.072078638210456</v>
          </cell>
        </row>
        <row r="370">
          <cell r="AU370">
            <v>97.701006857023984</v>
          </cell>
        </row>
        <row r="372">
          <cell r="AU372">
            <v>96.56462372355783</v>
          </cell>
        </row>
        <row r="373">
          <cell r="AU373">
            <v>99.450129980121687</v>
          </cell>
        </row>
        <row r="374">
          <cell r="AU374">
            <v>99.924395660222203</v>
          </cell>
        </row>
        <row r="375">
          <cell r="AU375">
            <v>96.735005949559593</v>
          </cell>
        </row>
        <row r="376">
          <cell r="AU376">
            <v>100.92621982794307</v>
          </cell>
        </row>
        <row r="377">
          <cell r="AU377">
            <v>101.71080765524663</v>
          </cell>
        </row>
        <row r="378">
          <cell r="AU378">
            <v>99.915911049565807</v>
          </cell>
        </row>
        <row r="379">
          <cell r="AU379">
            <v>100.09336436066228</v>
          </cell>
        </row>
        <row r="380">
          <cell r="AU380">
            <v>97.004179140412717</v>
          </cell>
        </row>
        <row r="381">
          <cell r="AU381">
            <v>98.419019214153593</v>
          </cell>
        </row>
        <row r="382">
          <cell r="AU382">
            <v>100.07208608682477</v>
          </cell>
        </row>
        <row r="383">
          <cell r="AU383">
            <v>99.210048636900865</v>
          </cell>
        </row>
        <row r="384">
          <cell r="AU384">
            <v>95.646066734056419</v>
          </cell>
        </row>
        <row r="385">
          <cell r="AU385">
            <v>99.871647112886492</v>
          </cell>
        </row>
        <row r="386">
          <cell r="AU386">
            <v>98.917653360549238</v>
          </cell>
        </row>
        <row r="387">
          <cell r="AU387">
            <v>97.985121162080063</v>
          </cell>
        </row>
        <row r="388">
          <cell r="AU388">
            <v>95.883570904040326</v>
          </cell>
        </row>
        <row r="389">
          <cell r="AU389">
            <v>97.688668777521585</v>
          </cell>
        </row>
        <row r="390">
          <cell r="AU390">
            <v>98.076322225051427</v>
          </cell>
        </row>
        <row r="391">
          <cell r="AU391">
            <v>96.738087826903367</v>
          </cell>
        </row>
        <row r="392">
          <cell r="AU392">
            <v>89.576614302132214</v>
          </cell>
        </row>
        <row r="393">
          <cell r="AU393">
            <v>99.045954733310609</v>
          </cell>
        </row>
        <row r="394">
          <cell r="AU394">
            <v>97.073638621963838</v>
          </cell>
        </row>
        <row r="395">
          <cell r="AU395">
            <v>96.622408854490644</v>
          </cell>
        </row>
        <row r="396">
          <cell r="AU396">
            <v>95.968798858100953</v>
          </cell>
        </row>
        <row r="397">
          <cell r="AU397">
            <v>97.010275244344342</v>
          </cell>
        </row>
        <row r="398">
          <cell r="AU398">
            <v>97.315054553505178</v>
          </cell>
        </row>
        <row r="399">
          <cell r="AU399">
            <v>97.194196677647014</v>
          </cell>
        </row>
        <row r="400">
          <cell r="AU400">
            <v>97.107188606226813</v>
          </cell>
        </row>
        <row r="401">
          <cell r="AU401">
            <v>97.543298003623377</v>
          </cell>
        </row>
        <row r="402">
          <cell r="AU402">
            <v>99.596971567739487</v>
          </cell>
        </row>
        <row r="403">
          <cell r="AU403">
            <v>98.567307662683234</v>
          </cell>
        </row>
        <row r="404">
          <cell r="AU404">
            <v>94.783958244441095</v>
          </cell>
        </row>
        <row r="405">
          <cell r="AU405">
            <v>96.215628300055926</v>
          </cell>
        </row>
        <row r="406">
          <cell r="AU406">
            <v>96.512976698627241</v>
          </cell>
        </row>
        <row r="407">
          <cell r="AU407">
            <v>97.668075936141776</v>
          </cell>
        </row>
        <row r="408">
          <cell r="AU408">
            <v>98.061106422806333</v>
          </cell>
        </row>
        <row r="409">
          <cell r="AU409">
            <v>94.141882174700498</v>
          </cell>
        </row>
        <row r="410">
          <cell r="AU410">
            <v>98.065683886305649</v>
          </cell>
        </row>
        <row r="411">
          <cell r="AU411">
            <v>96.227121995274018</v>
          </cell>
        </row>
        <row r="412">
          <cell r="AU412">
            <v>93.644485520251749</v>
          </cell>
        </row>
        <row r="413">
          <cell r="AU413">
            <v>95.780305895522162</v>
          </cell>
        </row>
        <row r="414">
          <cell r="AU414">
            <v>97.194703072885943</v>
          </cell>
        </row>
        <row r="415">
          <cell r="AU415">
            <v>96.196995367381973</v>
          </cell>
        </row>
        <row r="416">
          <cell r="AU416">
            <v>96.762050323253916</v>
          </cell>
        </row>
        <row r="417">
          <cell r="AU417">
            <v>97.028112667120254</v>
          </cell>
        </row>
        <row r="418">
          <cell r="AU418">
            <v>99.093675526055435</v>
          </cell>
        </row>
        <row r="419">
          <cell r="AU419">
            <v>99.090770773720209</v>
          </cell>
        </row>
        <row r="420">
          <cell r="AU420">
            <v>99.125761295317346</v>
          </cell>
        </row>
        <row r="421">
          <cell r="AU421">
            <v>98.716771578243012</v>
          </cell>
        </row>
        <row r="422">
          <cell r="AU422">
            <v>97.782996764277044</v>
          </cell>
        </row>
        <row r="423">
          <cell r="AU423">
            <v>95.550640529582381</v>
          </cell>
        </row>
        <row r="424">
          <cell r="AU424">
            <v>96.771687084536438</v>
          </cell>
        </row>
        <row r="425">
          <cell r="AU425">
            <v>98.586817634255368</v>
          </cell>
        </row>
        <row r="426">
          <cell r="AU426">
            <v>101.98305384057822</v>
          </cell>
        </row>
        <row r="427">
          <cell r="AU427">
            <v>100.69577752031054</v>
          </cell>
        </row>
        <row r="428">
          <cell r="AU428">
            <v>99.806095951858012</v>
          </cell>
        </row>
        <row r="429">
          <cell r="AU429">
            <v>100.43366418858588</v>
          </cell>
        </row>
        <row r="430">
          <cell r="AU430">
            <v>98.893379734379081</v>
          </cell>
        </row>
        <row r="431">
          <cell r="AU431">
            <v>100.24969919406345</v>
          </cell>
        </row>
        <row r="432">
          <cell r="AU432">
            <v>97.081248898849111</v>
          </cell>
        </row>
        <row r="433">
          <cell r="AU433">
            <v>101.76707851622425</v>
          </cell>
        </row>
        <row r="434">
          <cell r="AU434">
            <v>96.510244562053785</v>
          </cell>
        </row>
        <row r="435">
          <cell r="AU435">
            <v>99.775672338436593</v>
          </cell>
        </row>
        <row r="436">
          <cell r="AU436">
            <v>99.168607234311096</v>
          </cell>
        </row>
        <row r="437">
          <cell r="AU437">
            <v>97.065619624859266</v>
          </cell>
        </row>
        <row r="438">
          <cell r="AU438">
            <v>95.966425934229434</v>
          </cell>
        </row>
        <row r="439">
          <cell r="AU439">
            <v>96.902068655985502</v>
          </cell>
        </row>
        <row r="441">
          <cell r="AU441">
            <v>94.35299110982487</v>
          </cell>
        </row>
        <row r="442">
          <cell r="AU442">
            <v>99.78810647611833</v>
          </cell>
        </row>
        <row r="443">
          <cell r="AU443">
            <v>98.715472456614393</v>
          </cell>
        </row>
        <row r="444">
          <cell r="AU444">
            <v>98.839319314550693</v>
          </cell>
        </row>
        <row r="445">
          <cell r="AU445">
            <v>99.827712507696191</v>
          </cell>
        </row>
        <row r="446">
          <cell r="AU446">
            <v>102.60534633351912</v>
          </cell>
        </row>
        <row r="447">
          <cell r="AU447">
            <v>101.06394965204404</v>
          </cell>
        </row>
        <row r="448">
          <cell r="AU448">
            <v>99.592276455198828</v>
          </cell>
        </row>
        <row r="449">
          <cell r="AU449">
            <v>98.084548863306736</v>
          </cell>
        </row>
        <row r="450">
          <cell r="AU450">
            <v>96.00650184159764</v>
          </cell>
        </row>
        <row r="451">
          <cell r="AU451">
            <v>94.406393477571029</v>
          </cell>
        </row>
        <row r="452">
          <cell r="AU452">
            <v>96.433466803831749</v>
          </cell>
        </row>
        <row r="453">
          <cell r="AU453">
            <v>97.324682978378192</v>
          </cell>
        </row>
        <row r="454">
          <cell r="AU454">
            <v>98.352998332832939</v>
          </cell>
        </row>
        <row r="455">
          <cell r="AU455">
            <v>97.74424129612386</v>
          </cell>
        </row>
        <row r="456">
          <cell r="AU456">
            <v>100.27330624637854</v>
          </cell>
        </row>
        <row r="457">
          <cell r="AU457">
            <v>101.5646659439884</v>
          </cell>
        </row>
        <row r="458">
          <cell r="AU458">
            <v>96.768900005202767</v>
          </cell>
        </row>
        <row r="459">
          <cell r="AU459">
            <v>99.215120295971658</v>
          </cell>
        </row>
        <row r="460">
          <cell r="AU460">
            <v>96.530294814784824</v>
          </cell>
        </row>
        <row r="461">
          <cell r="AU461">
            <v>100.60681338817419</v>
          </cell>
        </row>
        <row r="462">
          <cell r="AU462">
            <v>99.799727452014764</v>
          </cell>
        </row>
        <row r="463">
          <cell r="AU463">
            <v>100.35031551856368</v>
          </cell>
        </row>
        <row r="464">
          <cell r="AU464">
            <v>99.827142752199421</v>
          </cell>
        </row>
        <row r="465">
          <cell r="AU465">
            <v>96.996454448160804</v>
          </cell>
        </row>
        <row r="466">
          <cell r="AU466">
            <v>99.953663425238886</v>
          </cell>
        </row>
        <row r="467">
          <cell r="AU467">
            <v>97.899114248935831</v>
          </cell>
        </row>
        <row r="468">
          <cell r="AU468">
            <v>99.845418707165166</v>
          </cell>
        </row>
        <row r="469">
          <cell r="AU469">
            <v>100.41537290555753</v>
          </cell>
        </row>
        <row r="470">
          <cell r="AU470">
            <v>99.941062940966958</v>
          </cell>
        </row>
        <row r="471">
          <cell r="AU471">
            <v>99.412009557795542</v>
          </cell>
        </row>
        <row r="472">
          <cell r="AU472">
            <v>98.242593755797657</v>
          </cell>
        </row>
        <row r="473">
          <cell r="AU473">
            <v>112.10179731674612</v>
          </cell>
        </row>
        <row r="474">
          <cell r="AU474">
            <v>102.44666718353356</v>
          </cell>
        </row>
        <row r="475">
          <cell r="AU475">
            <v>103.76004973726178</v>
          </cell>
        </row>
        <row r="476">
          <cell r="AU476">
            <v>101.00978335868373</v>
          </cell>
        </row>
        <row r="477">
          <cell r="AU477">
            <v>102.24574408304541</v>
          </cell>
        </row>
        <row r="478">
          <cell r="AU478">
            <v>100.17922672418331</v>
          </cell>
        </row>
        <row r="479">
          <cell r="AU479">
            <v>101.13654701607011</v>
          </cell>
        </row>
        <row r="480">
          <cell r="AU480">
            <v>108.88670789478645</v>
          </cell>
        </row>
        <row r="481">
          <cell r="AU481">
            <v>96.512358037648923</v>
          </cell>
        </row>
        <row r="482">
          <cell r="AU482">
            <v>100.97500195447307</v>
          </cell>
        </row>
        <row r="483">
          <cell r="AU483">
            <v>100.7405914444947</v>
          </cell>
        </row>
        <row r="484">
          <cell r="AU484">
            <v>100.3041125045339</v>
          </cell>
        </row>
        <row r="485">
          <cell r="AU485">
            <v>100.21573995743513</v>
          </cell>
        </row>
        <row r="486">
          <cell r="AU486">
            <v>99.317238473927688</v>
          </cell>
        </row>
        <row r="487">
          <cell r="AU487">
            <v>98.386883927142947</v>
          </cell>
        </row>
        <row r="488">
          <cell r="AU488">
            <v>99.532719661938174</v>
          </cell>
        </row>
        <row r="489">
          <cell r="AU489">
            <v>97.09027634925161</v>
          </cell>
        </row>
        <row r="490">
          <cell r="AU490">
            <v>98.94339780001502</v>
          </cell>
        </row>
        <row r="491">
          <cell r="AU491">
            <v>99.385578414346583</v>
          </cell>
        </row>
        <row r="492">
          <cell r="AU492">
            <v>98.554622170152498</v>
          </cell>
        </row>
        <row r="493">
          <cell r="AU493">
            <v>96.059064469639495</v>
          </cell>
        </row>
        <row r="494">
          <cell r="AU494">
            <v>99.937487991353251</v>
          </cell>
        </row>
        <row r="495">
          <cell r="AU495">
            <v>94.84633473437168</v>
          </cell>
        </row>
        <row r="496">
          <cell r="AU496">
            <v>98.344590350965177</v>
          </cell>
        </row>
        <row r="497">
          <cell r="AU497">
            <v>98.441679685943271</v>
          </cell>
        </row>
        <row r="499">
          <cell r="AU499">
            <v>98.266776146048571</v>
          </cell>
        </row>
        <row r="500">
          <cell r="AU500">
            <v>97.832955089911806</v>
          </cell>
        </row>
        <row r="501">
          <cell r="AU501">
            <v>101.45409838612913</v>
          </cell>
        </row>
        <row r="502">
          <cell r="AU502">
            <v>100.69356891272432</v>
          </cell>
        </row>
        <row r="503">
          <cell r="AU503">
            <v>98.448968451925168</v>
          </cell>
        </row>
        <row r="504">
          <cell r="AU504">
            <v>95.561965677402867</v>
          </cell>
        </row>
        <row r="505">
          <cell r="AU505">
            <v>98.952903830463129</v>
          </cell>
        </row>
        <row r="506">
          <cell r="AU506">
            <v>92.084692591360991</v>
          </cell>
        </row>
        <row r="507">
          <cell r="AU507">
            <v>98.931062054513632</v>
          </cell>
        </row>
        <row r="508">
          <cell r="AU508">
            <v>95.788891523078703</v>
          </cell>
        </row>
        <row r="509">
          <cell r="AU509">
            <v>102.25237739832376</v>
          </cell>
        </row>
        <row r="510">
          <cell r="AU510">
            <v>97.842626008334307</v>
          </cell>
        </row>
        <row r="511">
          <cell r="AU511">
            <v>98.133116544540727</v>
          </cell>
        </row>
        <row r="512">
          <cell r="AU512">
            <v>97.392543851558173</v>
          </cell>
        </row>
        <row r="513">
          <cell r="AU513">
            <v>98.551698641292091</v>
          </cell>
        </row>
        <row r="514">
          <cell r="AU514">
            <v>95.684926135841877</v>
          </cell>
        </row>
        <row r="515">
          <cell r="AU515">
            <v>98.002879043639851</v>
          </cell>
        </row>
        <row r="516">
          <cell r="AU516">
            <v>99.043120759349208</v>
          </cell>
        </row>
        <row r="517">
          <cell r="AU517">
            <v>98.02652678523846</v>
          </cell>
        </row>
        <row r="518">
          <cell r="AU518">
            <v>97.10584907923149</v>
          </cell>
        </row>
        <row r="519">
          <cell r="AU519">
            <v>98.462617429639906</v>
          </cell>
        </row>
        <row r="521">
          <cell r="AU521">
            <v>97.055560378405417</v>
          </cell>
        </row>
        <row r="522">
          <cell r="AU522">
            <v>98.60835314664395</v>
          </cell>
        </row>
        <row r="523">
          <cell r="AU523">
            <v>98.365267951755612</v>
          </cell>
        </row>
        <row r="524">
          <cell r="AU524">
            <v>99.687955297584509</v>
          </cell>
        </row>
        <row r="525">
          <cell r="AU525">
            <v>100.72132227395333</v>
          </cell>
        </row>
        <row r="526">
          <cell r="AU526">
            <v>98.74889698396953</v>
          </cell>
        </row>
        <row r="527">
          <cell r="AU527">
            <v>99.890627154419903</v>
          </cell>
        </row>
        <row r="528">
          <cell r="AU528">
            <v>98.651675516343673</v>
          </cell>
        </row>
        <row r="529">
          <cell r="AU529">
            <v>96.892893618969623</v>
          </cell>
        </row>
        <row r="530">
          <cell r="AU530">
            <v>94.722111244171089</v>
          </cell>
        </row>
        <row r="531">
          <cell r="AU531">
            <v>99.029700685063503</v>
          </cell>
        </row>
        <row r="532">
          <cell r="AU532">
            <v>96.713643218630651</v>
          </cell>
        </row>
        <row r="533">
          <cell r="AU533">
            <v>96.969485600893819</v>
          </cell>
        </row>
        <row r="534">
          <cell r="AU534">
            <v>100.49490909648723</v>
          </cell>
        </row>
        <row r="535">
          <cell r="AU535">
            <v>100.67062913303926</v>
          </cell>
        </row>
        <row r="536">
          <cell r="AU536">
            <v>100.28445554211093</v>
          </cell>
        </row>
        <row r="537">
          <cell r="AU537">
            <v>100.01936692948938</v>
          </cell>
        </row>
        <row r="538">
          <cell r="AU538">
            <v>97.25675779648391</v>
          </cell>
        </row>
        <row r="539">
          <cell r="AU539">
            <v>98.829519670528683</v>
          </cell>
        </row>
        <row r="540">
          <cell r="AU540">
            <v>89.92670066600526</v>
          </cell>
        </row>
        <row r="541">
          <cell r="AU541">
            <v>97.852943389199353</v>
          </cell>
        </row>
        <row r="542">
          <cell r="AU542">
            <v>98.234806225548823</v>
          </cell>
        </row>
        <row r="543">
          <cell r="AU543">
            <v>97.100513808978988</v>
          </cell>
        </row>
        <row r="544">
          <cell r="AU544">
            <v>100.78623691006598</v>
          </cell>
        </row>
        <row r="545">
          <cell r="AU545">
            <v>98.055978454904164</v>
          </cell>
        </row>
        <row r="546">
          <cell r="AU546">
            <v>93.830129859434109</v>
          </cell>
        </row>
        <row r="547">
          <cell r="AU547">
            <v>94.986746647546866</v>
          </cell>
        </row>
        <row r="548">
          <cell r="AU548">
            <v>96.805409918675934</v>
          </cell>
        </row>
        <row r="549">
          <cell r="AU549">
            <v>95.875819620167377</v>
          </cell>
        </row>
        <row r="550">
          <cell r="AU550">
            <v>99.148436815029569</v>
          </cell>
        </row>
        <row r="551">
          <cell r="AU551">
            <v>96.121819426269113</v>
          </cell>
        </row>
        <row r="552">
          <cell r="AU552">
            <v>98.010189794067912</v>
          </cell>
        </row>
        <row r="553">
          <cell r="AU553">
            <v>99.014288101156708</v>
          </cell>
        </row>
        <row r="554">
          <cell r="AU554">
            <v>97.153389503202831</v>
          </cell>
        </row>
        <row r="555">
          <cell r="AU555">
            <v>97.627337490184829</v>
          </cell>
        </row>
        <row r="556">
          <cell r="AU556">
            <v>97.312728687729816</v>
          </cell>
        </row>
        <row r="557">
          <cell r="AU557">
            <v>96.842834153233255</v>
          </cell>
        </row>
        <row r="558">
          <cell r="AU558">
            <v>97.685779866006243</v>
          </cell>
        </row>
        <row r="559">
          <cell r="AU559">
            <v>97.920767049400993</v>
          </cell>
        </row>
        <row r="560">
          <cell r="AU560">
            <v>97.467189849576116</v>
          </cell>
        </row>
        <row r="561">
          <cell r="AU561">
            <v>97.321658525782979</v>
          </cell>
        </row>
        <row r="562">
          <cell r="AU562">
            <v>98.202616991215805</v>
          </cell>
        </row>
        <row r="563">
          <cell r="AU563">
            <v>96.730466310460599</v>
          </cell>
        </row>
        <row r="564">
          <cell r="AU564">
            <v>98.584468249892524</v>
          </cell>
        </row>
        <row r="565">
          <cell r="AU565">
            <v>98.798903105297185</v>
          </cell>
        </row>
        <row r="566">
          <cell r="AU566">
            <v>95.030567217736547</v>
          </cell>
        </row>
        <row r="567">
          <cell r="AU567">
            <v>97.975396282362766</v>
          </cell>
        </row>
        <row r="568">
          <cell r="AU568">
            <v>96.910132502244522</v>
          </cell>
        </row>
        <row r="569">
          <cell r="AU569">
            <v>100.32236829261912</v>
          </cell>
        </row>
        <row r="570">
          <cell r="AU570">
            <v>92.793243431188415</v>
          </cell>
        </row>
        <row r="571">
          <cell r="AU571">
            <v>108.16497197909139</v>
          </cell>
        </row>
        <row r="572">
          <cell r="AU572">
            <v>98.269422256889953</v>
          </cell>
        </row>
        <row r="573">
          <cell r="AU573">
            <v>101.03823120220224</v>
          </cell>
        </row>
        <row r="574">
          <cell r="AU574">
            <v>96.300446052957312</v>
          </cell>
        </row>
        <row r="575">
          <cell r="AU575">
            <v>96.861872540433041</v>
          </cell>
        </row>
        <row r="576">
          <cell r="AU576">
            <v>94.354982496331914</v>
          </cell>
        </row>
        <row r="577">
          <cell r="AU577">
            <v>101.4902547733288</v>
          </cell>
        </row>
        <row r="578">
          <cell r="AU578">
            <v>99.113848804846313</v>
          </cell>
        </row>
        <row r="579">
          <cell r="AU579">
            <v>98.177770863633469</v>
          </cell>
        </row>
        <row r="580">
          <cell r="AU580">
            <v>100.59532574226012</v>
          </cell>
        </row>
        <row r="581">
          <cell r="AU581">
            <v>101.09611786158771</v>
          </cell>
        </row>
        <row r="582">
          <cell r="AU582">
            <v>97.274779965108578</v>
          </cell>
        </row>
        <row r="583">
          <cell r="AU583">
            <v>99.391912439862466</v>
          </cell>
        </row>
        <row r="584">
          <cell r="AU584">
            <v>97.783528025728515</v>
          </cell>
        </row>
        <row r="585">
          <cell r="AU585">
            <v>97.128209357850551</v>
          </cell>
        </row>
        <row r="586">
          <cell r="AU586">
            <v>95.057308401199691</v>
          </cell>
        </row>
        <row r="587">
          <cell r="AU587">
            <v>97.562565380013439</v>
          </cell>
        </row>
        <row r="588">
          <cell r="AU588">
            <v>104.27130276207181</v>
          </cell>
        </row>
        <row r="589">
          <cell r="AU589">
            <v>97.342162958884344</v>
          </cell>
        </row>
        <row r="590">
          <cell r="AU590">
            <v>95.775148939134738</v>
          </cell>
        </row>
        <row r="591">
          <cell r="AU591">
            <v>103.19214698364453</v>
          </cell>
        </row>
        <row r="592">
          <cell r="AU592">
            <v>103.16558724297549</v>
          </cell>
        </row>
        <row r="593">
          <cell r="AU593">
            <v>101.99102647740079</v>
          </cell>
        </row>
        <row r="595">
          <cell r="AU595">
            <v>102.9503534174209</v>
          </cell>
        </row>
        <row r="596">
          <cell r="AU596">
            <v>103.20695554361478</v>
          </cell>
        </row>
        <row r="597">
          <cell r="AU597">
            <v>100.49530782630643</v>
          </cell>
        </row>
        <row r="598">
          <cell r="AU598">
            <v>98.352761035087568</v>
          </cell>
        </row>
        <row r="599">
          <cell r="AU599">
            <v>99.302688314491746</v>
          </cell>
        </row>
        <row r="600">
          <cell r="AU600">
            <v>98.222221366406799</v>
          </cell>
        </row>
        <row r="601">
          <cell r="AU601">
            <v>99.769593439999099</v>
          </cell>
        </row>
        <row r="602">
          <cell r="AU602">
            <v>99.869825686975531</v>
          </cell>
        </row>
        <row r="603">
          <cell r="AU603">
            <v>94.979636183315108</v>
          </cell>
        </row>
        <row r="604">
          <cell r="AU604">
            <v>97.924342221439488</v>
          </cell>
        </row>
        <row r="605">
          <cell r="AU605">
            <v>100.78423889987383</v>
          </cell>
        </row>
        <row r="606">
          <cell r="AU606">
            <v>103.00616380131203</v>
          </cell>
        </row>
        <row r="607">
          <cell r="AU607">
            <v>98.735662358530632</v>
          </cell>
        </row>
        <row r="608">
          <cell r="AU608">
            <v>99.191120697559725</v>
          </cell>
        </row>
        <row r="609">
          <cell r="AU609">
            <v>99.137028566690901</v>
          </cell>
        </row>
        <row r="610">
          <cell r="AU610">
            <v>99.906988502754658</v>
          </cell>
        </row>
        <row r="611">
          <cell r="AU611">
            <v>94.112383169594878</v>
          </cell>
        </row>
        <row r="612">
          <cell r="AU612">
            <v>99.727537733596833</v>
          </cell>
        </row>
        <row r="613">
          <cell r="AU613">
            <v>102.00296712301547</v>
          </cell>
        </row>
        <row r="614">
          <cell r="AU614">
            <v>100.30661645676568</v>
          </cell>
        </row>
        <row r="615">
          <cell r="AU615">
            <v>102.38430000747583</v>
          </cell>
        </row>
        <row r="616">
          <cell r="AU616">
            <v>97.178318651163494</v>
          </cell>
        </row>
        <row r="617">
          <cell r="AU617">
            <v>99.448779663128292</v>
          </cell>
        </row>
        <row r="618">
          <cell r="AU618">
            <v>98.327017995218057</v>
          </cell>
        </row>
        <row r="619">
          <cell r="AU619">
            <v>96.630393194942471</v>
          </cell>
        </row>
        <row r="620">
          <cell r="AU620">
            <v>99.633829486310873</v>
          </cell>
        </row>
        <row r="621">
          <cell r="AU621">
            <v>98.745967480313396</v>
          </cell>
        </row>
        <row r="622">
          <cell r="AU622">
            <v>97.446768754393304</v>
          </cell>
        </row>
        <row r="623">
          <cell r="AU623">
            <v>99.881595354826231</v>
          </cell>
        </row>
        <row r="624">
          <cell r="AU624">
            <v>98.064310250675931</v>
          </cell>
        </row>
        <row r="625">
          <cell r="AU625">
            <v>98.308476686710605</v>
          </cell>
        </row>
        <row r="626">
          <cell r="AU626">
            <v>102.30475622682079</v>
          </cell>
        </row>
        <row r="627">
          <cell r="AU627">
            <v>94.623372416522983</v>
          </cell>
        </row>
        <row r="628">
          <cell r="AU628">
            <v>102.05066432590664</v>
          </cell>
        </row>
        <row r="629">
          <cell r="AU629">
            <v>98.46294565819899</v>
          </cell>
        </row>
        <row r="630">
          <cell r="AU630">
            <v>102.5771141317837</v>
          </cell>
        </row>
        <row r="631">
          <cell r="AU631">
            <v>98.897378510792095</v>
          </cell>
        </row>
        <row r="632">
          <cell r="AU632">
            <v>99.032006915549005</v>
          </cell>
        </row>
        <row r="633">
          <cell r="AU633">
            <v>100.3950691408541</v>
          </cell>
        </row>
        <row r="634">
          <cell r="AU634">
            <v>98.335203397010687</v>
          </cell>
        </row>
        <row r="635">
          <cell r="AU635">
            <v>92.210476129367706</v>
          </cell>
        </row>
        <row r="636">
          <cell r="AU636">
            <v>95.392227245105218</v>
          </cell>
        </row>
        <row r="637">
          <cell r="AU637">
            <v>97.63611706509802</v>
          </cell>
        </row>
        <row r="638">
          <cell r="AU638">
            <v>96.053814988905671</v>
          </cell>
        </row>
        <row r="639">
          <cell r="AU639">
            <v>99.79568244859415</v>
          </cell>
        </row>
        <row r="640">
          <cell r="AU640">
            <v>96.232629291944676</v>
          </cell>
        </row>
        <row r="641">
          <cell r="AU641">
            <v>101.43741414543481</v>
          </cell>
        </row>
        <row r="642">
          <cell r="AU642">
            <v>102.9971064188906</v>
          </cell>
        </row>
        <row r="643">
          <cell r="AU643">
            <v>96.510220819323507</v>
          </cell>
        </row>
        <row r="644">
          <cell r="AU644">
            <v>103.75607566491097</v>
          </cell>
        </row>
        <row r="645">
          <cell r="AU645">
            <v>99.510131013090614</v>
          </cell>
        </row>
        <row r="646">
          <cell r="AU646">
            <v>99.855544139268176</v>
          </cell>
        </row>
        <row r="647">
          <cell r="AU647">
            <v>98.434449089980745</v>
          </cell>
        </row>
        <row r="648">
          <cell r="AU648">
            <v>100.05955892682989</v>
          </cell>
        </row>
        <row r="649">
          <cell r="AU649">
            <v>95.934372886641839</v>
          </cell>
        </row>
        <row r="650">
          <cell r="AU650">
            <v>98.654470881741176</v>
          </cell>
        </row>
        <row r="651">
          <cell r="AU651">
            <v>96.064625992960757</v>
          </cell>
        </row>
        <row r="652">
          <cell r="AU652">
            <v>97.26610918503755</v>
          </cell>
        </row>
        <row r="653">
          <cell r="AU653">
            <v>98.696712146765265</v>
          </cell>
        </row>
        <row r="654">
          <cell r="AU654">
            <v>97.927386788830631</v>
          </cell>
        </row>
        <row r="655">
          <cell r="AU655">
            <v>111.54257690015881</v>
          </cell>
        </row>
        <row r="656">
          <cell r="AU656">
            <v>100.80384590106561</v>
          </cell>
        </row>
        <row r="657">
          <cell r="AU657">
            <v>97.823276952751186</v>
          </cell>
        </row>
        <row r="658">
          <cell r="AU658">
            <v>98.621300517774969</v>
          </cell>
        </row>
        <row r="659">
          <cell r="AU659">
            <v>92.983027682827753</v>
          </cell>
        </row>
        <row r="660">
          <cell r="AU660">
            <v>96.583285401532947</v>
          </cell>
        </row>
        <row r="661">
          <cell r="AU661">
            <v>96.846117108455005</v>
          </cell>
        </row>
        <row r="662">
          <cell r="AU662">
            <v>97.786680935858953</v>
          </cell>
        </row>
        <row r="663">
          <cell r="AU663">
            <v>97.163447975823857</v>
          </cell>
        </row>
        <row r="664">
          <cell r="AU664">
            <v>96.892783901710104</v>
          </cell>
        </row>
        <row r="665">
          <cell r="AU665">
            <v>101.21304317252451</v>
          </cell>
        </row>
        <row r="666">
          <cell r="AU666">
            <v>96.229472441397689</v>
          </cell>
        </row>
        <row r="667">
          <cell r="AU667">
            <v>98.804416600284995</v>
          </cell>
        </row>
        <row r="668">
          <cell r="AU668">
            <v>98.607570442650825</v>
          </cell>
        </row>
        <row r="669">
          <cell r="AU669">
            <v>105.37379988612518</v>
          </cell>
        </row>
        <row r="670">
          <cell r="AU670">
            <v>98.77626010729989</v>
          </cell>
        </row>
        <row r="671">
          <cell r="AU671">
            <v>98.182414856153798</v>
          </cell>
        </row>
        <row r="672">
          <cell r="AU672">
            <v>97.511963448181888</v>
          </cell>
        </row>
        <row r="673">
          <cell r="AU673">
            <v>97.970030213156235</v>
          </cell>
        </row>
        <row r="674">
          <cell r="AU674">
            <v>104.5660106879633</v>
          </cell>
        </row>
        <row r="675">
          <cell r="AU675">
            <v>99.53755069656674</v>
          </cell>
        </row>
        <row r="676">
          <cell r="AU676">
            <v>96.929373997463372</v>
          </cell>
        </row>
        <row r="677">
          <cell r="AU677">
            <v>101.60245432656833</v>
          </cell>
        </row>
        <row r="678">
          <cell r="AU678">
            <v>98.410586861189657</v>
          </cell>
        </row>
        <row r="679">
          <cell r="AU679">
            <v>97.543754381397036</v>
          </cell>
        </row>
        <row r="680">
          <cell r="AU680">
            <v>99.05762276816165</v>
          </cell>
        </row>
        <row r="681">
          <cell r="AU681">
            <v>98.136125359421726</v>
          </cell>
        </row>
        <row r="682">
          <cell r="AU682">
            <v>98.060390142903103</v>
          </cell>
        </row>
        <row r="683">
          <cell r="AU683">
            <v>101.67116843535777</v>
          </cell>
        </row>
        <row r="684">
          <cell r="AU684">
            <v>99.954575891981591</v>
          </cell>
        </row>
        <row r="685">
          <cell r="AU685">
            <v>100.91536339258649</v>
          </cell>
        </row>
        <row r="686">
          <cell r="AU686">
            <v>99.843917256766318</v>
          </cell>
        </row>
        <row r="687">
          <cell r="AU687">
            <v>86.450506030661657</v>
          </cell>
        </row>
        <row r="688">
          <cell r="AU688">
            <v>102.11257164728424</v>
          </cell>
        </row>
        <row r="689">
          <cell r="AU689">
            <v>97.47721612822464</v>
          </cell>
        </row>
        <row r="690">
          <cell r="AU690">
            <v>98.974208524348597</v>
          </cell>
        </row>
        <row r="691">
          <cell r="AU691">
            <v>97.404095796574978</v>
          </cell>
        </row>
        <row r="692">
          <cell r="AU692">
            <v>97.613140533184307</v>
          </cell>
        </row>
        <row r="693">
          <cell r="AU693">
            <v>98.455794941866429</v>
          </cell>
        </row>
        <row r="694">
          <cell r="AU694">
            <v>97.298899458351812</v>
          </cell>
        </row>
        <row r="696">
          <cell r="AU696">
            <v>97.633608454436768</v>
          </cell>
        </row>
        <row r="697">
          <cell r="AU697">
            <v>99.296130618355448</v>
          </cell>
        </row>
        <row r="698">
          <cell r="AU698">
            <v>98.221285990904661</v>
          </cell>
        </row>
        <row r="699">
          <cell r="AU699">
            <v>96.173272580659344</v>
          </cell>
        </row>
        <row r="700">
          <cell r="AU700">
            <v>96.130103634337729</v>
          </cell>
        </row>
        <row r="701">
          <cell r="AU701">
            <v>102.43572492564348</v>
          </cell>
        </row>
        <row r="702">
          <cell r="AU702">
            <v>96.684179403949585</v>
          </cell>
        </row>
        <row r="703">
          <cell r="AU703">
            <v>98.126698757069292</v>
          </cell>
        </row>
        <row r="704">
          <cell r="AU704">
            <v>99.408785613934398</v>
          </cell>
        </row>
        <row r="705">
          <cell r="AU705">
            <v>96.544010067439146</v>
          </cell>
        </row>
        <row r="706">
          <cell r="AU706">
            <v>98.726419047556874</v>
          </cell>
        </row>
        <row r="707">
          <cell r="AU707">
            <v>95.56863040279265</v>
          </cell>
        </row>
        <row r="708">
          <cell r="AU708">
            <v>96.692705408905809</v>
          </cell>
        </row>
        <row r="709">
          <cell r="AU709">
            <v>101.00946443477108</v>
          </cell>
        </row>
        <row r="710">
          <cell r="AU710">
            <v>95.236770396091657</v>
          </cell>
        </row>
        <row r="711">
          <cell r="AU711">
            <v>97.941168938335963</v>
          </cell>
        </row>
        <row r="712">
          <cell r="AU712">
            <v>98.62449539212821</v>
          </cell>
        </row>
        <row r="713">
          <cell r="AU713">
            <v>99.291911621355354</v>
          </cell>
        </row>
        <row r="714">
          <cell r="AU714">
            <v>102.67692873975598</v>
          </cell>
        </row>
        <row r="715">
          <cell r="AU715">
            <v>102.38450698329868</v>
          </cell>
        </row>
        <row r="716">
          <cell r="AU716">
            <v>97.406889141099541</v>
          </cell>
        </row>
        <row r="717">
          <cell r="AU717">
            <v>98.502058292495235</v>
          </cell>
        </row>
        <row r="718">
          <cell r="AU718">
            <v>98.31722610678014</v>
          </cell>
        </row>
        <row r="719">
          <cell r="AU719">
            <v>101.29884115103513</v>
          </cell>
        </row>
        <row r="720">
          <cell r="AU720">
            <v>100.09020957845156</v>
          </cell>
        </row>
        <row r="721">
          <cell r="AU721">
            <v>99.733387411391178</v>
          </cell>
        </row>
        <row r="722">
          <cell r="AU722">
            <v>98.19754764179018</v>
          </cell>
        </row>
        <row r="723">
          <cell r="AU723">
            <v>101.48311507954335</v>
          </cell>
        </row>
        <row r="724">
          <cell r="AU724">
            <v>99.282975850914454</v>
          </cell>
        </row>
        <row r="725">
          <cell r="AU725">
            <v>97.081866203837734</v>
          </cell>
        </row>
        <row r="726">
          <cell r="AU726">
            <v>98.865119442395837</v>
          </cell>
        </row>
        <row r="727">
          <cell r="AU727">
            <v>96.958974493352486</v>
          </cell>
        </row>
        <row r="728">
          <cell r="AU728">
            <v>98.55311063729188</v>
          </cell>
        </row>
        <row r="729">
          <cell r="AU729">
            <v>99.126741243313148</v>
          </cell>
        </row>
        <row r="730">
          <cell r="AU730">
            <v>97.011094633845403</v>
          </cell>
        </row>
        <row r="731">
          <cell r="AU731">
            <v>108.52324334564575</v>
          </cell>
        </row>
        <row r="732">
          <cell r="AU732">
            <v>96.180187549630773</v>
          </cell>
        </row>
        <row r="733">
          <cell r="AU733">
            <v>97.102481872305134</v>
          </cell>
        </row>
        <row r="734">
          <cell r="AU734">
            <v>98.17458240291262</v>
          </cell>
        </row>
        <row r="735">
          <cell r="AU735">
            <v>98.18822759357343</v>
          </cell>
        </row>
        <row r="736">
          <cell r="AU736">
            <v>99.836488721311795</v>
          </cell>
        </row>
        <row r="737">
          <cell r="AU737">
            <v>96.129104901277245</v>
          </cell>
        </row>
        <row r="738">
          <cell r="AU738">
            <v>96.773121785755123</v>
          </cell>
        </row>
        <row r="739">
          <cell r="AU739">
            <v>100.67902306542751</v>
          </cell>
        </row>
        <row r="740">
          <cell r="AU740">
            <v>99.289141660170145</v>
          </cell>
        </row>
        <row r="741">
          <cell r="AU741">
            <v>99.330638505114962</v>
          </cell>
        </row>
        <row r="742">
          <cell r="AU742">
            <v>100.92529729319159</v>
          </cell>
        </row>
        <row r="743">
          <cell r="AU743">
            <v>101.94859726081698</v>
          </cell>
        </row>
        <row r="744">
          <cell r="AU744">
            <v>98.546964828545995</v>
          </cell>
        </row>
        <row r="745">
          <cell r="AU745">
            <v>101.75420442737169</v>
          </cell>
        </row>
        <row r="746">
          <cell r="AU746">
            <v>100.59914666956269</v>
          </cell>
        </row>
        <row r="747">
          <cell r="AU747">
            <v>96.83330789221209</v>
          </cell>
        </row>
        <row r="748">
          <cell r="AU748">
            <v>96.27440025962683</v>
          </cell>
        </row>
        <row r="749">
          <cell r="AU749">
            <v>98.200690439983745</v>
          </cell>
        </row>
        <row r="750">
          <cell r="AU750">
            <v>95.935798235039968</v>
          </cell>
        </row>
        <row r="751">
          <cell r="AU751">
            <v>103.87449734934009</v>
          </cell>
        </row>
        <row r="752">
          <cell r="AU752">
            <v>93.602427745802785</v>
          </cell>
        </row>
        <row r="753">
          <cell r="AU753">
            <v>94.459604984803278</v>
          </cell>
        </row>
        <row r="754">
          <cell r="AU754">
            <v>99.279364994320531</v>
          </cell>
        </row>
        <row r="755">
          <cell r="AU755">
            <v>98.854256189992114</v>
          </cell>
        </row>
        <row r="756">
          <cell r="AU756">
            <v>98.732110806844759</v>
          </cell>
        </row>
        <row r="757">
          <cell r="AU757">
            <v>100.95300549069179</v>
          </cell>
        </row>
        <row r="758">
          <cell r="AU758">
            <v>98.368022017893821</v>
          </cell>
        </row>
        <row r="759">
          <cell r="AU759">
            <v>101.37277811430624</v>
          </cell>
        </row>
        <row r="760">
          <cell r="AU760">
            <v>95.073465016717392</v>
          </cell>
        </row>
        <row r="761">
          <cell r="AU761">
            <v>95.845344590065395</v>
          </cell>
        </row>
        <row r="762">
          <cell r="AU762">
            <v>98.85722005187705</v>
          </cell>
        </row>
        <row r="763">
          <cell r="AU763">
            <v>97.25721435799521</v>
          </cell>
        </row>
        <row r="764">
          <cell r="AU764">
            <v>96.785999739603284</v>
          </cell>
        </row>
        <row r="765">
          <cell r="AU765">
            <v>99.364558642314563</v>
          </cell>
        </row>
        <row r="766">
          <cell r="AU766">
            <v>98.321101532359165</v>
          </cell>
        </row>
        <row r="767">
          <cell r="AU767">
            <v>98.372755741557143</v>
          </cell>
        </row>
        <row r="768">
          <cell r="AU768">
            <v>99.594791192420629</v>
          </cell>
        </row>
        <row r="769">
          <cell r="AU769">
            <v>98.344995127617665</v>
          </cell>
        </row>
        <row r="770">
          <cell r="AU770">
            <v>99.451654839471487</v>
          </cell>
        </row>
        <row r="771">
          <cell r="AU771">
            <v>100.31189503016999</v>
          </cell>
        </row>
        <row r="772">
          <cell r="AU772">
            <v>96.86810648616374</v>
          </cell>
        </row>
        <row r="773">
          <cell r="AU773">
            <v>99.961185685422222</v>
          </cell>
        </row>
        <row r="774">
          <cell r="AU774">
            <v>99.939323457500208</v>
          </cell>
        </row>
        <row r="775">
          <cell r="AU775">
            <v>99.86775451447069</v>
          </cell>
        </row>
        <row r="776">
          <cell r="AU776">
            <v>98.790918499925468</v>
          </cell>
        </row>
        <row r="777">
          <cell r="AU777">
            <v>99.497291062726106</v>
          </cell>
        </row>
        <row r="778">
          <cell r="AU778">
            <v>99.057786899513189</v>
          </cell>
        </row>
        <row r="779">
          <cell r="AU779">
            <v>99.939323457500208</v>
          </cell>
        </row>
        <row r="780">
          <cell r="AU780">
            <v>93.69311574140643</v>
          </cell>
        </row>
        <row r="781">
          <cell r="AU781">
            <v>95.585249587972541</v>
          </cell>
        </row>
        <row r="782">
          <cell r="AU782">
            <v>98.669450209068287</v>
          </cell>
        </row>
        <row r="783">
          <cell r="AU783">
            <v>97.139339188871205</v>
          </cell>
        </row>
        <row r="784">
          <cell r="AU784">
            <v>98.695390021115415</v>
          </cell>
        </row>
        <row r="785">
          <cell r="AU785">
            <v>99.343880186051692</v>
          </cell>
        </row>
        <row r="786">
          <cell r="AU786">
            <v>100.18153216864758</v>
          </cell>
        </row>
        <row r="787">
          <cell r="AU787">
            <v>99.81550952865841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September '26 "/>
      <sheetName val="Summary August '26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U43">
            <v>91.8653198132276</v>
          </cell>
        </row>
        <row r="44">
          <cell r="AU44">
            <v>96.795098985422072</v>
          </cell>
        </row>
        <row r="45">
          <cell r="AU45">
            <v>98.720710514490094</v>
          </cell>
        </row>
        <row r="46">
          <cell r="AU46">
            <v>95.915862303234761</v>
          </cell>
        </row>
        <row r="47">
          <cell r="AU47">
            <v>95.695713342598523</v>
          </cell>
        </row>
        <row r="48">
          <cell r="AU48">
            <v>96.347140813579983</v>
          </cell>
        </row>
        <row r="49">
          <cell r="AU49">
            <v>96.451268893467329</v>
          </cell>
        </row>
        <row r="50">
          <cell r="AU50">
            <v>97.996131903201018</v>
          </cell>
        </row>
        <row r="51">
          <cell r="AU51">
            <v>96.505256206141482</v>
          </cell>
        </row>
        <row r="52">
          <cell r="AU52">
            <v>94.58580500070201</v>
          </cell>
        </row>
        <row r="53">
          <cell r="AU53">
            <v>98.906990347725127</v>
          </cell>
        </row>
        <row r="54">
          <cell r="AU54">
            <v>94.944884823994201</v>
          </cell>
        </row>
        <row r="55">
          <cell r="AU55">
            <v>95.472821437606697</v>
          </cell>
        </row>
        <row r="56">
          <cell r="AU56">
            <v>95.226977398578171</v>
          </cell>
        </row>
        <row r="57">
          <cell r="AU57">
            <v>94.66429901148345</v>
          </cell>
        </row>
        <row r="58">
          <cell r="AU58">
            <v>100.57784401994616</v>
          </cell>
        </row>
        <row r="59">
          <cell r="AU59">
            <v>98.401209978530773</v>
          </cell>
        </row>
        <row r="60">
          <cell r="AU60">
            <v>99.190946222442903</v>
          </cell>
        </row>
        <row r="62">
          <cell r="AU62">
            <v>93.161813188441059</v>
          </cell>
        </row>
        <row r="63">
          <cell r="AU63">
            <v>94.223463593248454</v>
          </cell>
        </row>
        <row r="64">
          <cell r="AU64">
            <v>96.163448111596551</v>
          </cell>
        </row>
        <row r="65">
          <cell r="AU65">
            <v>94.716056167153823</v>
          </cell>
        </row>
        <row r="66">
          <cell r="AU66">
            <v>94.701980871315456</v>
          </cell>
        </row>
        <row r="67">
          <cell r="AU67">
            <v>95.107716330527765</v>
          </cell>
        </row>
        <row r="68">
          <cell r="AU68">
            <v>99.423613630730074</v>
          </cell>
        </row>
        <row r="69">
          <cell r="AU69">
            <v>99.424512800846912</v>
          </cell>
        </row>
        <row r="71">
          <cell r="AU71">
            <v>90.115532940848027</v>
          </cell>
        </row>
        <row r="72">
          <cell r="AU72">
            <v>93.319538123450741</v>
          </cell>
        </row>
        <row r="73">
          <cell r="AU73">
            <v>96.501709911750197</v>
          </cell>
        </row>
        <row r="74">
          <cell r="AU74">
            <v>95.68627961946747</v>
          </cell>
        </row>
        <row r="75">
          <cell r="AU75">
            <v>97.397906496405696</v>
          </cell>
        </row>
        <row r="76">
          <cell r="AU76">
            <v>96.111036489762782</v>
          </cell>
        </row>
        <row r="77">
          <cell r="AU77">
            <v>95.790840926804705</v>
          </cell>
        </row>
        <row r="78">
          <cell r="AU78">
            <v>96.182715916625327</v>
          </cell>
        </row>
        <row r="79">
          <cell r="AU79">
            <v>96.174717353971133</v>
          </cell>
        </row>
        <row r="80">
          <cell r="AU80">
            <v>98.290298755105752</v>
          </cell>
        </row>
        <row r="81">
          <cell r="AU81">
            <v>93.857635635262497</v>
          </cell>
        </row>
        <row r="82">
          <cell r="AU82">
            <v>96.686192958400923</v>
          </cell>
        </row>
        <row r="83">
          <cell r="AU83">
            <v>98.754274807353042</v>
          </cell>
        </row>
        <row r="84">
          <cell r="AU84">
            <v>98.83341801627445</v>
          </cell>
        </row>
        <row r="85">
          <cell r="AU85">
            <v>93.739995346186404</v>
          </cell>
        </row>
        <row r="86">
          <cell r="AU86">
            <v>96.883913162140757</v>
          </cell>
        </row>
        <row r="87">
          <cell r="AU87">
            <v>96.114279340546588</v>
          </cell>
        </row>
        <row r="88">
          <cell r="AU88">
            <v>96.644961994715146</v>
          </cell>
        </row>
        <row r="90">
          <cell r="AU90">
            <v>96.199574054545806</v>
          </cell>
        </row>
        <row r="91">
          <cell r="AU91">
            <v>96.990520431357425</v>
          </cell>
        </row>
        <row r="92">
          <cell r="AU92">
            <v>96.576570379573766</v>
          </cell>
        </row>
        <row r="93">
          <cell r="AU93">
            <v>97.958929323440969</v>
          </cell>
        </row>
        <row r="94">
          <cell r="AU94">
            <v>94.968203123829284</v>
          </cell>
        </row>
        <row r="95">
          <cell r="AU95">
            <v>96.13948802609309</v>
          </cell>
        </row>
        <row r="96">
          <cell r="AU96">
            <v>96.966158594827462</v>
          </cell>
        </row>
        <row r="97">
          <cell r="AU97">
            <v>94.938560144721919</v>
          </cell>
        </row>
        <row r="99">
          <cell r="AU99">
            <v>95.02973839984999</v>
          </cell>
        </row>
        <row r="100">
          <cell r="AU100">
            <v>96.659796680203456</v>
          </cell>
        </row>
        <row r="101">
          <cell r="AU101">
            <v>95.899301321002682</v>
          </cell>
        </row>
        <row r="102">
          <cell r="AU102">
            <v>96.739594506578101</v>
          </cell>
        </row>
        <row r="103">
          <cell r="AU103">
            <v>93.592658671733744</v>
          </cell>
        </row>
        <row r="104">
          <cell r="AU104">
            <v>99.414523178212718</v>
          </cell>
        </row>
        <row r="105">
          <cell r="AU105">
            <v>97.989371573302947</v>
          </cell>
        </row>
        <row r="106">
          <cell r="AU106">
            <v>96.371888664415408</v>
          </cell>
        </row>
      </sheetData>
      <sheetData sheetId="2">
        <row r="17">
          <cell r="D17">
            <v>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September '26"/>
      <sheetName val="Summary August '26 "/>
      <sheetName val="Summary July '26"/>
      <sheetName val="Summary June '26"/>
      <sheetName val="Summary May '26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V54">
            <v>97.205782019322555</v>
          </cell>
        </row>
        <row r="55">
          <cell r="AV55">
            <v>100.49327592303123</v>
          </cell>
        </row>
        <row r="56">
          <cell r="AV56">
            <v>95.451783031665798</v>
          </cell>
        </row>
        <row r="57">
          <cell r="AV57">
            <v>97.260343131213148</v>
          </cell>
        </row>
        <row r="58">
          <cell r="AV58">
            <v>96.759736809930104</v>
          </cell>
        </row>
        <row r="59">
          <cell r="AV59">
            <v>97.064501819306201</v>
          </cell>
        </row>
        <row r="60">
          <cell r="AV60">
            <v>92.16222714184731</v>
          </cell>
        </row>
        <row r="62">
          <cell r="AV62">
            <v>94.315096961978696</v>
          </cell>
        </row>
        <row r="63">
          <cell r="AV63">
            <v>103.32629416839619</v>
          </cell>
        </row>
        <row r="64">
          <cell r="AV64">
            <v>94.325329127415785</v>
          </cell>
        </row>
        <row r="65">
          <cell r="AV65">
            <v>99.559385897285338</v>
          </cell>
        </row>
        <row r="66">
          <cell r="AV66">
            <v>98.574517909783509</v>
          </cell>
        </row>
        <row r="67">
          <cell r="AV67">
            <v>98.349199351665135</v>
          </cell>
        </row>
        <row r="68">
          <cell r="AV68">
            <v>99.563420889013372</v>
          </cell>
        </row>
        <row r="69">
          <cell r="AV69">
            <v>94.282423715374435</v>
          </cell>
        </row>
        <row r="71">
          <cell r="AV71">
            <v>97.883898930705087</v>
          </cell>
        </row>
        <row r="72">
          <cell r="AV72">
            <v>95.141628345733025</v>
          </cell>
        </row>
        <row r="73">
          <cell r="AV73">
            <v>95.141628345733025</v>
          </cell>
        </row>
        <row r="74">
          <cell r="AV74">
            <v>96.552234033434374</v>
          </cell>
        </row>
        <row r="75">
          <cell r="AV75">
            <v>101.51532621901858</v>
          </cell>
        </row>
        <row r="76">
          <cell r="AV76">
            <v>99.061358902734597</v>
          </cell>
        </row>
        <row r="77">
          <cell r="AV77">
            <v>98.035869286989112</v>
          </cell>
        </row>
        <row r="78">
          <cell r="AV78">
            <v>100.45103223776147</v>
          </cell>
        </row>
        <row r="80">
          <cell r="AV80">
            <v>92.087638309893123</v>
          </cell>
        </row>
        <row r="81">
          <cell r="AV81">
            <v>97.080324236401211</v>
          </cell>
        </row>
        <row r="82">
          <cell r="AV82">
            <v>98.952684690449885</v>
          </cell>
        </row>
        <row r="83">
          <cell r="AV83">
            <v>95.698441661092332</v>
          </cell>
        </row>
        <row r="84">
          <cell r="AV84">
            <v>98.454113654549573</v>
          </cell>
        </row>
        <row r="85">
          <cell r="AV85">
            <v>101.44729018684779</v>
          </cell>
        </row>
        <row r="86">
          <cell r="AV86">
            <v>94.795008863120074</v>
          </cell>
        </row>
        <row r="87">
          <cell r="AV87">
            <v>98.362423977139869</v>
          </cell>
        </row>
        <row r="89">
          <cell r="AV89">
            <v>98.966709364408175</v>
          </cell>
        </row>
        <row r="90">
          <cell r="AV90">
            <v>96.872876691950268</v>
          </cell>
        </row>
        <row r="91">
          <cell r="AV91">
            <v>98.438453135356141</v>
          </cell>
        </row>
        <row r="92">
          <cell r="AV92">
            <v>98.648257968141067</v>
          </cell>
        </row>
        <row r="93">
          <cell r="AV93">
            <v>97.15488267089502</v>
          </cell>
        </row>
        <row r="94">
          <cell r="AV94">
            <v>97.674325034697105</v>
          </cell>
        </row>
        <row r="95">
          <cell r="AV95">
            <v>97.88449261906382</v>
          </cell>
        </row>
        <row r="96">
          <cell r="AV96">
            <v>97.580137789132138</v>
          </cell>
        </row>
        <row r="98">
          <cell r="AV98">
            <v>92.124816670346675</v>
          </cell>
        </row>
        <row r="99">
          <cell r="AV99">
            <v>97.836600220342262</v>
          </cell>
        </row>
        <row r="100">
          <cell r="AV100">
            <v>97.268286296619394</v>
          </cell>
        </row>
        <row r="101">
          <cell r="AV101">
            <v>98.450637460218914</v>
          </cell>
        </row>
        <row r="102">
          <cell r="AV102">
            <v>98.439885250271644</v>
          </cell>
        </row>
        <row r="103">
          <cell r="AV103">
            <v>98.804599004474028</v>
          </cell>
        </row>
        <row r="104">
          <cell r="AV104">
            <v>97.631300789958658</v>
          </cell>
        </row>
        <row r="105">
          <cell r="AV105">
            <v>99.881339189324365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Summary September '26"/>
      <sheetName val="Summary July '26"/>
      <sheetName val="Summary May '26 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  <row r="13">
          <cell r="AT13">
            <v>90.128375863432225</v>
          </cell>
        </row>
        <row r="14">
          <cell r="AT14">
            <v>88.195975747735361</v>
          </cell>
        </row>
        <row r="15">
          <cell r="AT15">
            <v>88.458193469652173</v>
          </cell>
        </row>
        <row r="16">
          <cell r="AT16">
            <v>89.068163344426111</v>
          </cell>
        </row>
        <row r="18">
          <cell r="AT18">
            <v>88.337016760508519</v>
          </cell>
        </row>
        <row r="19">
          <cell r="AT19">
            <v>94.828774942397658</v>
          </cell>
        </row>
        <row r="20">
          <cell r="AT20">
            <v>94.949182103443249</v>
          </cell>
        </row>
        <row r="21">
          <cell r="AT21">
            <v>92.747327972203848</v>
          </cell>
        </row>
        <row r="22">
          <cell r="AT22">
            <v>92.715575444638318</v>
          </cell>
        </row>
        <row r="23">
          <cell r="AT23">
            <v>91.951723879434397</v>
          </cell>
        </row>
        <row r="24">
          <cell r="AT24">
            <v>96.150583729382561</v>
          </cell>
        </row>
        <row r="25">
          <cell r="AT25">
            <v>96.730919507263621</v>
          </cell>
        </row>
        <row r="26">
          <cell r="AT26">
            <v>97.686758632829481</v>
          </cell>
        </row>
        <row r="27">
          <cell r="AT27">
            <v>97.217049049093575</v>
          </cell>
        </row>
        <row r="28">
          <cell r="AT28">
            <v>95.303327611119286</v>
          </cell>
        </row>
        <row r="29">
          <cell r="AT29">
            <v>97.085382097037311</v>
          </cell>
        </row>
        <row r="30">
          <cell r="AT30">
            <v>96.401573752548614</v>
          </cell>
        </row>
      </sheetData>
      <sheetData sheetId="8">
        <row r="4">
          <cell r="D4">
            <v>13.3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September ' 26 "/>
      <sheetName val="Summary August ' 26 "/>
      <sheetName val="Summary July ' 26"/>
      <sheetName val="Summary June ' 26"/>
      <sheetName val="Summary May ' 26"/>
      <sheetName val="Summary April ' 26"/>
      <sheetName val="Summary March ' 26"/>
      <sheetName val="Summary February ' 26"/>
      <sheetName val="Summary January ' 26"/>
      <sheetName val="Summary December ' 25"/>
      <sheetName val="Packaging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Y44">
            <v>95.995406818829039</v>
          </cell>
        </row>
        <row r="45">
          <cell r="AY45">
            <v>95.617602987606631</v>
          </cell>
        </row>
        <row r="46">
          <cell r="AY46">
            <v>99.335814172293396</v>
          </cell>
        </row>
        <row r="47">
          <cell r="AY47">
            <v>98.909684358674781</v>
          </cell>
        </row>
        <row r="48">
          <cell r="AY48">
            <v>97.845022110433561</v>
          </cell>
        </row>
        <row r="49">
          <cell r="AY49">
            <v>98.722709530019429</v>
          </cell>
        </row>
        <row r="50">
          <cell r="AY50">
            <v>97.591251769129457</v>
          </cell>
        </row>
        <row r="51">
          <cell r="AY51">
            <v>89.186993268597121</v>
          </cell>
        </row>
        <row r="53">
          <cell r="AY53">
            <v>92.54924279225061</v>
          </cell>
        </row>
        <row r="54">
          <cell r="AY54">
            <v>97.936724701155001</v>
          </cell>
        </row>
        <row r="55">
          <cell r="AY55">
            <v>96.903024614311789</v>
          </cell>
        </row>
        <row r="56">
          <cell r="AY56">
            <v>99.751161565178876</v>
          </cell>
        </row>
        <row r="57">
          <cell r="AY57">
            <v>96.946934866926995</v>
          </cell>
        </row>
        <row r="58">
          <cell r="AY58">
            <v>101.1402395567615</v>
          </cell>
        </row>
        <row r="59">
          <cell r="AY59">
            <v>94.521368448030842</v>
          </cell>
        </row>
        <row r="60">
          <cell r="AY60">
            <v>96.447094164922959</v>
          </cell>
        </row>
        <row r="61">
          <cell r="AY61">
            <v>95.483117660591859</v>
          </cell>
        </row>
        <row r="62">
          <cell r="AY62">
            <v>101.54786093894572</v>
          </cell>
        </row>
        <row r="63">
          <cell r="AY63">
            <v>99.781002552645404</v>
          </cell>
        </row>
        <row r="64">
          <cell r="AY64">
            <v>100.38282881101692</v>
          </cell>
        </row>
        <row r="66">
          <cell r="AY66">
            <v>96.052076380873814</v>
          </cell>
        </row>
        <row r="67">
          <cell r="AY67">
            <v>96.965481413861383</v>
          </cell>
        </row>
        <row r="68">
          <cell r="AY68">
            <v>98.929902201837479</v>
          </cell>
        </row>
        <row r="69">
          <cell r="AY69">
            <v>98.81732361471613</v>
          </cell>
        </row>
        <row r="70">
          <cell r="AY70">
            <v>93.747141074419659</v>
          </cell>
        </row>
        <row r="71">
          <cell r="AY71">
            <v>100.25759492531388</v>
          </cell>
        </row>
        <row r="72">
          <cell r="AY72">
            <v>99.848562971423902</v>
          </cell>
        </row>
        <row r="73">
          <cell r="AY73">
            <v>101.18742532014767</v>
          </cell>
        </row>
        <row r="75">
          <cell r="AY75">
            <v>96.375149333771006</v>
          </cell>
        </row>
        <row r="76">
          <cell r="AY76">
            <v>102.19654877418134</v>
          </cell>
        </row>
        <row r="77">
          <cell r="AY77">
            <v>104.26201828517443</v>
          </cell>
        </row>
        <row r="78">
          <cell r="AY78">
            <v>103.36709256474418</v>
          </cell>
        </row>
        <row r="79">
          <cell r="AY79">
            <v>94.941667422792506</v>
          </cell>
        </row>
        <row r="80">
          <cell r="AY80">
            <v>101.53837862772018</v>
          </cell>
        </row>
        <row r="81">
          <cell r="AY81">
            <v>100.62632852508888</v>
          </cell>
        </row>
        <row r="82">
          <cell r="AY82">
            <v>99.134826074447517</v>
          </cell>
        </row>
        <row r="84">
          <cell r="AY84">
            <v>89.865899111082911</v>
          </cell>
        </row>
        <row r="85">
          <cell r="AY85">
            <v>97.693621175915609</v>
          </cell>
        </row>
        <row r="86">
          <cell r="AY86">
            <v>98.098376729140924</v>
          </cell>
        </row>
        <row r="87">
          <cell r="AY87">
            <v>98.701099186405543</v>
          </cell>
        </row>
        <row r="88">
          <cell r="AY88">
            <v>98.149643000896063</v>
          </cell>
        </row>
        <row r="89">
          <cell r="AY89">
            <v>100.11673997026169</v>
          </cell>
        </row>
        <row r="90">
          <cell r="AY90">
            <v>99.269060038965534</v>
          </cell>
        </row>
        <row r="91">
          <cell r="AY91">
            <v>98.24191438139087</v>
          </cell>
        </row>
        <row r="92">
          <cell r="AY92">
            <v>96.193227678250963</v>
          </cell>
        </row>
        <row r="93">
          <cell r="AY93">
            <v>97.280253560904981</v>
          </cell>
        </row>
        <row r="94">
          <cell r="AY94">
            <v>99.077497022970533</v>
          </cell>
        </row>
        <row r="95">
          <cell r="AY95">
            <v>95.794055097674445</v>
          </cell>
        </row>
        <row r="96">
          <cell r="AY96">
            <v>98.473163790154686</v>
          </cell>
        </row>
        <row r="97">
          <cell r="AY97">
            <v>90.794605311533076</v>
          </cell>
        </row>
        <row r="98">
          <cell r="AY98">
            <v>98.854819757121476</v>
          </cell>
        </row>
        <row r="99">
          <cell r="AY99">
            <v>99.2047479604514</v>
          </cell>
        </row>
        <row r="100">
          <cell r="AY100">
            <v>97.580117216650279</v>
          </cell>
        </row>
        <row r="101">
          <cell r="AY101">
            <v>99.629199564339515</v>
          </cell>
        </row>
        <row r="103">
          <cell r="AY103">
            <v>91.362987993240026</v>
          </cell>
        </row>
        <row r="104">
          <cell r="AY104">
            <v>99.215796863752757</v>
          </cell>
        </row>
        <row r="105">
          <cell r="AY105">
            <v>99.29801654311035</v>
          </cell>
        </row>
        <row r="106">
          <cell r="AY106">
            <v>98.233831289791937</v>
          </cell>
        </row>
        <row r="107">
          <cell r="AY107">
            <v>99.569274184400996</v>
          </cell>
        </row>
        <row r="108">
          <cell r="AY108">
            <v>98.888084432015162</v>
          </cell>
        </row>
        <row r="109">
          <cell r="AY109">
            <v>98.707910698105209</v>
          </cell>
        </row>
        <row r="110">
          <cell r="AY110">
            <v>96.344911241358759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>
        <row r="45">
          <cell r="L45">
            <v>97.514550407372639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2">
          <cell r="L42">
            <v>98.106733433542104</v>
          </cell>
        </row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 1st"/>
      <sheetName val="Apr 2nd"/>
      <sheetName val="Apr 7th"/>
      <sheetName val="Apr 8th"/>
      <sheetName val="Apr 9th "/>
      <sheetName val="Apr 10th"/>
      <sheetName val="Apr 13th"/>
      <sheetName val="Apr 14th"/>
      <sheetName val="Apr 15th"/>
      <sheetName val="Apr 16th "/>
      <sheetName val="Apr 20th "/>
      <sheetName val="Apr 21st"/>
      <sheetName val="Apr 22nd"/>
      <sheetName val="Apr 23rd"/>
      <sheetName val="Apr 24th-26th"/>
      <sheetName val="Apr 27th"/>
      <sheetName val="Apr 28th"/>
      <sheetName val="Apr 29th "/>
      <sheetName val="Apr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1">
          <cell r="L41">
            <v>98.132364963553755</v>
          </cell>
        </row>
        <row r="46">
          <cell r="L46">
            <v>6.85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-23rd"/>
      <sheetName val="May 4th"/>
      <sheetName val="May 5th"/>
      <sheetName val="May 6th"/>
      <sheetName val="May 7th"/>
      <sheetName val="May 8th -9th"/>
      <sheetName val="May 11th"/>
      <sheetName val="May 12th "/>
      <sheetName val="May 13th"/>
      <sheetName val="May 14th"/>
      <sheetName val="May 15th-16th"/>
      <sheetName val="May 18th"/>
      <sheetName val="May 19th "/>
      <sheetName val="May 20th"/>
      <sheetName val="May 21st"/>
      <sheetName val="May 22nd -23rd"/>
      <sheetName val="May 26th"/>
      <sheetName val="May 27th"/>
      <sheetName val="May 28th"/>
      <sheetName val="May 29th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97.796542845425648</v>
          </cell>
        </row>
        <row r="40">
          <cell r="L40">
            <v>5.5909090909090908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ne 2nd"/>
      <sheetName val="June 3rd"/>
      <sheetName val="June 4th"/>
      <sheetName val="June 5th"/>
      <sheetName val="June 8th"/>
      <sheetName val="June 9th"/>
      <sheetName val="June 12th "/>
      <sheetName val="June 15th "/>
      <sheetName val="June 16th"/>
      <sheetName val="June 17th "/>
      <sheetName val="June 18th "/>
      <sheetName val="June 21st"/>
      <sheetName val="June 22nd"/>
      <sheetName val="June 23rd"/>
      <sheetName val="June 24th"/>
      <sheetName val="June 25th "/>
      <sheetName val="June 26th "/>
      <sheetName val="June 27th-28th"/>
      <sheetName val="June 29th"/>
      <sheetName val="June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/>
        </row>
        <row r="39">
          <cell r="L39">
            <v>6.4318181818181817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uly 1st"/>
      <sheetName val="July 2nd"/>
      <sheetName val="July 3rd"/>
      <sheetName val="July 6th"/>
      <sheetName val="July 7th"/>
      <sheetName val="July 8th"/>
      <sheetName val="July 9th"/>
      <sheetName val="July 10th-12th"/>
      <sheetName val="July 13th"/>
      <sheetName val="July 14th "/>
      <sheetName val="July 15th "/>
      <sheetName val="July 16th"/>
      <sheetName val="July 17th-19th"/>
      <sheetName val="July20th "/>
      <sheetName val="July21st"/>
      <sheetName val="July22nd"/>
      <sheetName val="July23rd"/>
      <sheetName val="July24th"/>
      <sheetName val="July27th"/>
      <sheetName val="July28th "/>
      <sheetName val="July29th"/>
      <sheetName val="July30th"/>
      <sheetName val="July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6">
          <cell r="L36">
            <v>97.851192921999655</v>
          </cell>
        </row>
        <row r="41">
          <cell r="L41">
            <v>6.3076923076923075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ug 2nd"/>
      <sheetName val="Aug 3rd "/>
      <sheetName val="Aug 4th"/>
      <sheetName val="Aug 5th"/>
      <sheetName val="Aug 6th"/>
      <sheetName val="Aug 7th"/>
      <sheetName val="Aug 12th"/>
      <sheetName val="Aug 13th "/>
      <sheetName val="Aug 14th&amp;15th"/>
      <sheetName val="Aug 17th "/>
      <sheetName val="Aug 18th"/>
      <sheetName val="Aug 19th "/>
      <sheetName val="Aug 20th "/>
      <sheetName val="Aug 21st-22nd"/>
      <sheetName val="Aug 24th"/>
      <sheetName val="Aug 25th "/>
      <sheetName val="Aug 26th"/>
      <sheetName val="Aug 27th "/>
      <sheetName val="Aug 28th "/>
      <sheetName val="Aug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2">
          <cell r="L32">
            <v>98.65439164340431</v>
          </cell>
        </row>
        <row r="37">
          <cell r="L37">
            <v>7.2727272727272725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September_2026"/>
      <sheetName val="October_2026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3">
          <cell r="Y13">
            <v>190.70000000000002</v>
          </cell>
        </row>
        <row r="17">
          <cell r="Y17">
            <v>184.3</v>
          </cell>
        </row>
      </sheetData>
      <sheetData sheetId="9">
        <row r="3">
          <cell r="AN3" t="e">
            <v>#DIV/0!</v>
          </cell>
          <cell r="AQ3">
            <v>6.5257109935981328</v>
          </cell>
        </row>
        <row r="4">
          <cell r="AN4" t="e">
            <v>#DIV/0!</v>
          </cell>
          <cell r="AQ4">
            <v>5.9275658832823668</v>
          </cell>
        </row>
        <row r="5">
          <cell r="AN5" t="e">
            <v>#DIV/0!</v>
          </cell>
          <cell r="AQ5">
            <v>11.819732298933111</v>
          </cell>
        </row>
        <row r="6">
          <cell r="AN6" t="e">
            <v>#DIV/0!</v>
          </cell>
          <cell r="AQ6">
            <v>4.8702525342252114</v>
          </cell>
        </row>
        <row r="7"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7.9667553186446929</v>
          </cell>
        </row>
        <row r="9">
          <cell r="AN9" t="e">
            <v>#DIV/0!</v>
          </cell>
          <cell r="AQ9">
            <v>5.1096183510504902</v>
          </cell>
        </row>
        <row r="10">
          <cell r="AN10" t="e">
            <v>#DIV/0!</v>
          </cell>
          <cell r="AQ10" t="e">
            <v>#DIV/0!</v>
          </cell>
        </row>
        <row r="11">
          <cell r="AN11" t="e">
            <v>#DIV/0!</v>
          </cell>
          <cell r="AQ11" t="e">
            <v>#DIV/0!</v>
          </cell>
        </row>
        <row r="12">
          <cell r="AN12" t="e">
            <v>#DIV/0!</v>
          </cell>
          <cell r="AQ12">
            <v>6.6537418159931665</v>
          </cell>
        </row>
      </sheetData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6"/>
      <sheetName val="July_2026"/>
      <sheetName val="August_2026"/>
      <sheetName val="August_2018 (2)"/>
      <sheetName val="September_2026"/>
      <sheetName val="October_2026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3">
          <cell r="AP13">
            <v>0.53908627189124969</v>
          </cell>
        </row>
        <row r="14">
          <cell r="AP14">
            <v>0.6824652535868081</v>
          </cell>
        </row>
        <row r="15">
          <cell r="AP15">
            <v>0.35370190356844494</v>
          </cell>
        </row>
        <row r="16">
          <cell r="AP16">
            <v>0.77919298245614044</v>
          </cell>
        </row>
        <row r="17">
          <cell r="AP17" t="e">
            <v>#DIV/0!</v>
          </cell>
        </row>
        <row r="18">
          <cell r="AP18">
            <v>0.5883625730994152</v>
          </cell>
        </row>
        <row r="19">
          <cell r="AP19">
            <v>0.89057130004498408</v>
          </cell>
        </row>
        <row r="20">
          <cell r="AP20" t="e">
            <v>#DIV/0!</v>
          </cell>
        </row>
        <row r="21">
          <cell r="AP21" t="e">
            <v>#DIV/0!</v>
          </cell>
        </row>
        <row r="22">
          <cell r="AP22">
            <v>0.59559710956710543</v>
          </cell>
        </row>
        <row r="25">
          <cell r="Y25">
            <v>0.64666666666666672</v>
          </cell>
        </row>
      </sheetData>
      <sheetData sheetId="10">
        <row r="13">
          <cell r="AN13" t="e">
            <v>#DIV/0!</v>
          </cell>
        </row>
        <row r="14">
          <cell r="AN14" t="e">
            <v>#DIV/0!</v>
          </cell>
        </row>
        <row r="15">
          <cell r="AN15" t="e">
            <v>#DIV/0!</v>
          </cell>
        </row>
        <row r="16">
          <cell r="AN16" t="e">
            <v>#DIV/0!</v>
          </cell>
        </row>
        <row r="17">
          <cell r="AN17" t="e">
            <v>#DIV/0!</v>
          </cell>
        </row>
        <row r="18">
          <cell r="AN18" t="e">
            <v>#DIV/0!</v>
          </cell>
        </row>
        <row r="19">
          <cell r="AN19" t="e">
            <v>#DIV/0!</v>
          </cell>
        </row>
        <row r="20">
          <cell r="AN20" t="e">
            <v>#DIV/0!</v>
          </cell>
        </row>
        <row r="21">
          <cell r="AN21">
            <v>0</v>
          </cell>
        </row>
        <row r="22">
          <cell r="AN22" t="e">
            <v>#DIV/0!</v>
          </cell>
        </row>
      </sheetData>
      <sheetData sheetId="11"/>
      <sheetData sheetId="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6">
          <cell r="J6">
            <v>47.4</v>
          </cell>
        </row>
      </sheetData>
      <sheetData sheetId="1">
        <row r="6">
          <cell r="J6">
            <v>50.6</v>
          </cell>
        </row>
      </sheetData>
      <sheetData sheetId="2">
        <row r="6">
          <cell r="J6">
            <v>48</v>
          </cell>
        </row>
      </sheetData>
      <sheetData sheetId="3"/>
      <sheetData sheetId="4">
        <row r="6">
          <cell r="I6">
            <v>50.4</v>
          </cell>
        </row>
      </sheetData>
      <sheetData sheetId="5">
        <row r="7">
          <cell r="J7">
            <v>48.1</v>
          </cell>
        </row>
      </sheetData>
      <sheetData sheetId="6"/>
      <sheetData sheetId="7"/>
      <sheetData sheetId="8"/>
      <sheetData sheetId="9"/>
      <sheetData sheetId="10">
        <row r="5">
          <cell r="C5">
            <v>4504.619999999999</v>
          </cell>
        </row>
      </sheetData>
      <sheetData sheetId="11">
        <row r="5">
          <cell r="E5">
            <v>6.4321307508289749</v>
          </cell>
        </row>
        <row r="6">
          <cell r="E6">
            <v>6.0345293824252026</v>
          </cell>
        </row>
        <row r="7">
          <cell r="E7">
            <v>10.912862882586603</v>
          </cell>
        </row>
        <row r="8">
          <cell r="E8">
            <v>4.8433372666231218</v>
          </cell>
        </row>
        <row r="9">
          <cell r="E9" t="e">
            <v>#DIV/0!</v>
          </cell>
        </row>
        <row r="10">
          <cell r="E10">
            <v>6.3233965672990236</v>
          </cell>
        </row>
        <row r="11">
          <cell r="E11">
            <v>3.9973372218347856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6.362317810863849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Sept 1st"/>
      <sheetName val="Sept 2nd"/>
      <sheetName val="Sept 3rd"/>
      <sheetName val="Sept 4th"/>
      <sheetName val="Sept 7th"/>
      <sheetName val="Sept 8th"/>
      <sheetName val="Sept 9th"/>
      <sheetName val="Sept 10th"/>
      <sheetName val="Sept 11th "/>
      <sheetName val="Sept 14th"/>
      <sheetName val="Sept 15th"/>
      <sheetName val="Sept 16th"/>
      <sheetName val="Sept 17th "/>
      <sheetName val="Sept 18th"/>
      <sheetName val="Sept 21st"/>
      <sheetName val="Sept 22nd"/>
      <sheetName val="Sept 23rd "/>
      <sheetName val="Sept 24th"/>
      <sheetName val="Sept 25th "/>
      <sheetName val="Sept 28th"/>
      <sheetName val="Sept 29th"/>
      <sheetName val="Sept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7">
          <cell r="L37">
            <v>7.0952380952380949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 t="e">
            <v>#DIV/0!</v>
          </cell>
        </row>
        <row r="6">
          <cell r="E6" t="e">
            <v>#DIV/0!</v>
          </cell>
        </row>
        <row r="7">
          <cell r="E7" t="e">
            <v>#DIV/0!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 t="e">
            <v>#DIV/0!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 t="e">
            <v>#DIV/0!</v>
          </cell>
        </row>
      </sheetData>
      <sheetData sheetId="11">
        <row r="5">
          <cell r="E5">
            <v>6.4321307508289749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75" t="s">
        <v>0</v>
      </c>
      <c r="U1" s="575"/>
      <c r="V1" s="575" t="s">
        <v>1</v>
      </c>
      <c r="W1" s="575"/>
      <c r="X1" s="575" t="s">
        <v>2</v>
      </c>
      <c r="Y1" s="575"/>
      <c r="Z1" s="575" t="s">
        <v>124</v>
      </c>
      <c r="AA1" s="575"/>
    </row>
    <row r="2" spans="2:30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97">
        <v>45278</v>
      </c>
      <c r="D4" s="497"/>
      <c r="J4" s="581" t="s">
        <v>153</v>
      </c>
      <c r="K4" s="581"/>
      <c r="L4" s="11"/>
      <c r="M4" s="491" t="s">
        <v>8</v>
      </c>
      <c r="N4" s="492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82"/>
      <c r="K5" s="582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76" t="s">
        <v>151</v>
      </c>
      <c r="K6" s="577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78"/>
      <c r="K7" s="579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152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26</v>
      </c>
      <c r="O8" s="500"/>
      <c r="P8" s="547" t="s">
        <v>28</v>
      </c>
      <c r="Q8" s="566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496"/>
      <c r="P9" s="580"/>
      <c r="Q9" s="567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09" t="s">
        <v>34</v>
      </c>
      <c r="J48" s="509"/>
      <c r="K48" s="509"/>
      <c r="L48" s="509"/>
      <c r="M48" s="509"/>
      <c r="N48" s="509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10" t="s">
        <v>35</v>
      </c>
      <c r="E49" s="511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68" t="s">
        <v>9</v>
      </c>
      <c r="C50" s="362">
        <v>11.8</v>
      </c>
      <c r="D50" s="515">
        <v>11.73</v>
      </c>
      <c r="E50" s="516"/>
      <c r="F50" s="294"/>
      <c r="G50" s="294"/>
      <c r="H50" s="294"/>
      <c r="I50" s="29" t="s">
        <v>6</v>
      </c>
      <c r="J50" s="323"/>
      <c r="K50" s="284">
        <f>COUNTA([20]Brewhouse!$A$1596:$A$1619)</f>
        <v>24</v>
      </c>
      <c r="L50" s="302">
        <f>AVERAGE([20]Brewhouse!$AU$1529,[20]Brewhouse!$AU$1531:$AU$1594,[20]Brewhouse!$AU$1596:$AU$1619)</f>
        <v>98.205761326291494</v>
      </c>
      <c r="M50" s="302">
        <f>AVERAGE([20]Brewhouse!$AU$849:$AU$924,[20]Brewhouse!$AU$926:$AU$971,[20]Brewhouse!$AU$973:$AU$1066,[20]Brewhouse!$AU$1068:$AU$1111,[20]Brewhouse!$AU$1113:$AU$1132,[20]Brewhouse!$AU$1134:$AU$1167,[20]Brewhouse!$AU$1169:$AU$1230,[20]Brewhouse!$AU$1232:$AU$1299,[20]Brewhouse!$AU$1301:$AU$1363,[20]Brewhouse!$AU$1365:$AU$1444,[20]Brewhouse!$AU$1446:$AU$1527,[20]Brewhouse!$AU$1529,[20]Brewhouse!$AU$1531:$AU$1594,[20]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13"/>
      <c r="C51" s="349">
        <v>11.9</v>
      </c>
      <c r="D51" s="517"/>
      <c r="E51" s="518"/>
      <c r="F51" s="294"/>
      <c r="G51" s="294"/>
      <c r="H51" s="32"/>
      <c r="I51" s="33" t="s">
        <v>9</v>
      </c>
      <c r="J51" s="323"/>
      <c r="K51" s="284">
        <f>COUNTA([21]Brewhouse!$A$976:$A$1007)</f>
        <v>32</v>
      </c>
      <c r="L51" s="302">
        <f>AVERAGE([21]Brewhouse!$AS$976:$AS$979,[21]Brewhouse!$AS$981:$AS$1007)</f>
        <v>98.538566771868645</v>
      </c>
      <c r="M51" s="302">
        <f>AVERAGE([21]Brewhouse!$AS$577:$AS$618,[21]Brewhouse!$AS$620:$AS$651,[21]Brewhouse!$AS$653:$AS$696,[21]Brewhouse!$AS$698:$AS$708,[21]Brewhouse!$AS$710:$AS$733,[21]Brewhouse!$AS$735:$AS$777,[21]Brewhouse!$AS$779:$AS$822,[21]Brewhouse!$AS$824:$AS$863,[21]Brewhouse!$AS$865:$AS$974,[21]Brewhouse!$AS$976:$AS$979,[21]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13"/>
      <c r="C52" s="349"/>
      <c r="D52" s="515"/>
      <c r="E52" s="516"/>
      <c r="F52" s="294"/>
      <c r="G52" s="294"/>
      <c r="H52" s="32"/>
      <c r="I52" s="34" t="s">
        <v>12</v>
      </c>
      <c r="J52" s="280"/>
      <c r="K52" s="284">
        <f>COUNTA([22]Brewhouse!$A$282:$A$289)</f>
        <v>8</v>
      </c>
      <c r="L52" s="302">
        <f>AVERAGE([22]Brewhouse!$AU$269:$AU$279,[22]Brewhouse!$AU$282:$AU$289)</f>
        <v>96.1861768599382</v>
      </c>
      <c r="M52" s="302">
        <f>AVERAGE([22]Brewhouse!$AU$161:$AU$176,[22]Brewhouse!$AU$178:$AU$195,[22]Brewhouse!$AU$197:$AU$208,[22]Brewhouse!$AU$210:$AU$221,[22]Brewhouse!$AU$223:$AU$232,[22]Brewhouse!$AU$234:$AU$279,[22]Brewhouse!$AU$282:$AU$289)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13"/>
      <c r="C53" s="349"/>
      <c r="D53" s="517"/>
      <c r="E53" s="518"/>
      <c r="F53" s="294"/>
      <c r="G53" s="294"/>
      <c r="H53" s="32"/>
      <c r="I53" s="22" t="s">
        <v>33</v>
      </c>
      <c r="J53" s="280"/>
      <c r="K53" s="284">
        <f>COUNTA([23]Brewhouse!$A$158:$A$163)</f>
        <v>6</v>
      </c>
      <c r="L53" s="302">
        <f>AVERAGE([23]Brewhouse!$AU$158:$AU$163)</f>
        <v>94.603050114691541</v>
      </c>
      <c r="M53" s="302">
        <f>AVERAGE([23]Brewhouse!$AU$91:$AU$101,[23]Brewhouse!$AU$103:$AU$112,[23]Brewhouse!$AU$114:$AU$123,[23]Brewhouse!$AU$125:$AU$134,[23]Brewhouse!$AU$136:$AU$145,[23]Brewhouse!$AU$147:$AU$156,[23]Brewhouse!$AU$158:$AU$163)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13"/>
      <c r="C54" s="349"/>
      <c r="D54" s="515"/>
      <c r="E54" s="516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13"/>
      <c r="C55" s="349"/>
      <c r="D55" s="517"/>
      <c r="E55" s="518"/>
      <c r="F55" s="294"/>
      <c r="G55" s="294"/>
      <c r="H55" s="32"/>
      <c r="I55" s="36" t="s">
        <v>15</v>
      </c>
      <c r="J55" s="323"/>
      <c r="K55" s="284"/>
      <c r="L55" s="302"/>
      <c r="M55" s="302">
        <f>AVERAGE([24]Brewhouse!$AT$74:$AT$79)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13"/>
      <c r="C56" s="349"/>
      <c r="D56" s="515"/>
      <c r="E56" s="516"/>
      <c r="F56" s="294"/>
      <c r="G56" s="294"/>
      <c r="H56" s="32"/>
      <c r="I56" s="37" t="s">
        <v>16</v>
      </c>
      <c r="J56" s="323"/>
      <c r="K56" s="284">
        <f>COUNTA([25]Brewhouse!$A$249:$A$254)</f>
        <v>6</v>
      </c>
      <c r="L56" s="302">
        <f>AVERAGE([25]Brewhouse!$AY$249:$AY$254)</f>
        <v>99.681996476494263</v>
      </c>
      <c r="M56" s="302">
        <f>AVERAGE([25]Brewhouse!$AY$138:$AY$143,[25]Brewhouse!$AY$145:$AY$153,[25]Brewhouse!$AY$155,[25]Brewhouse!$AY$156:$AY$174,[25]Brewhouse!$AY$176:$AY$185,[25]Brewhouse!$AY$187:$AY$198,[25]Brewhouse!$AY$200:$AY$247,[25]Brewhouse!$AY$249:$AY$254)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13"/>
      <c r="C57" s="349"/>
      <c r="D57" s="517"/>
      <c r="E57" s="518"/>
      <c r="F57" s="294"/>
      <c r="G57" s="294"/>
      <c r="H57" s="32"/>
      <c r="I57" s="306" t="s">
        <v>137</v>
      </c>
      <c r="J57" s="326"/>
      <c r="K57" s="284"/>
      <c r="L57" s="305"/>
      <c r="M57" s="305">
        <f>AVERAGE([26]Brewhouse!$AW$13:$AW$14,[26]Brewhouse!$AW$16:$AW$17)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13"/>
      <c r="C58" s="349"/>
      <c r="D58" s="570"/>
      <c r="E58" s="563"/>
      <c r="F58" s="294"/>
      <c r="G58" s="294"/>
      <c r="H58" s="32"/>
      <c r="I58" s="38" t="s">
        <v>125</v>
      </c>
      <c r="J58" s="327"/>
      <c r="K58" s="284"/>
      <c r="L58" s="328"/>
      <c r="M58" s="328">
        <f>AVERAGE([26]Brewhouse!$AW$13:$AW$14)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13"/>
      <c r="C59" s="349"/>
      <c r="D59" s="571"/>
      <c r="E59" s="572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AVERAGE('[27]Closing- January 2023'!$L$42,'[28]Feb. 28th'!$L$42,'[29]March 31st'!$L$75,'[30]Apri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13"/>
      <c r="C60" s="349"/>
      <c r="D60" s="570"/>
      <c r="E60" s="563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69"/>
      <c r="C61" s="350"/>
      <c r="D61" s="573"/>
      <c r="E61" s="574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55"/>
      <c r="C62" s="362"/>
      <c r="D62" s="558"/>
      <c r="E62" s="559"/>
      <c r="F62" s="43"/>
      <c r="G62" s="41"/>
      <c r="H62" s="41"/>
      <c r="I62" s="42"/>
      <c r="J62" s="560" t="s">
        <v>129</v>
      </c>
      <c r="K62" s="560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56"/>
      <c r="C63" s="349"/>
      <c r="D63" s="521"/>
      <c r="E63" s="518"/>
      <c r="F63" s="43"/>
      <c r="G63" s="41"/>
      <c r="H63" s="41"/>
      <c r="I63" s="42"/>
      <c r="J63" s="292" t="s">
        <v>17</v>
      </c>
      <c r="K63" s="293" t="s">
        <v>147</v>
      </c>
      <c r="L63" s="526" t="s">
        <v>136</v>
      </c>
      <c r="M63" s="526"/>
      <c r="N63" s="527"/>
      <c r="O63" s="294"/>
      <c r="P63" s="12"/>
      <c r="S63" s="23"/>
    </row>
    <row r="64" spans="1:27" ht="15" customHeight="1" thickBot="1">
      <c r="B64" s="556"/>
      <c r="C64" s="349"/>
      <c r="D64" s="561"/>
      <c r="E64" s="516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56"/>
      <c r="C65" s="349"/>
      <c r="D65" s="521"/>
      <c r="E65" s="518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AVERAGE(6,6,'[29]March 31st'!$L$80,'[31]June 30th  '!$L$71,6,L65,'[32]July 31st'!$L$108,'[33]Aug 30th'!$L$124,7,[34]Oct.31st!$L$51)</f>
        <v>#REF!</v>
      </c>
      <c r="N65" s="308">
        <v>9</v>
      </c>
      <c r="O65" s="294"/>
      <c r="P65" s="12"/>
      <c r="S65" s="23"/>
    </row>
    <row r="66" spans="2:58" ht="15" customHeight="1">
      <c r="B66" s="556"/>
      <c r="C66" s="349"/>
      <c r="D66" s="561"/>
      <c r="E66" s="516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56"/>
      <c r="C67" s="349"/>
      <c r="D67" s="521"/>
      <c r="E67" s="518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56"/>
      <c r="C68" s="349"/>
      <c r="D68" s="561"/>
      <c r="E68" s="516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56"/>
      <c r="C69" s="349"/>
      <c r="D69" s="521"/>
      <c r="E69" s="518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56"/>
      <c r="C70" s="349"/>
      <c r="D70" s="562"/>
      <c r="E70" s="563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57"/>
      <c r="C71" s="350"/>
      <c r="D71" s="564"/>
      <c r="E71" s="565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53">
        <f>AVERAGE(D50:E71)</f>
        <v>11.73</v>
      </c>
      <c r="E72" s="554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32" t="s">
        <v>17</v>
      </c>
      <c r="C77" s="532" t="s">
        <v>44</v>
      </c>
      <c r="D77" s="535" t="s">
        <v>45</v>
      </c>
      <c r="E77" s="500" t="s">
        <v>46</v>
      </c>
      <c r="F77" s="549" t="s">
        <v>47</v>
      </c>
      <c r="G77" s="544" t="s">
        <v>48</v>
      </c>
      <c r="H77" s="532" t="s">
        <v>49</v>
      </c>
      <c r="I77" s="551" t="s">
        <v>50</v>
      </c>
      <c r="J77" s="538" t="s">
        <v>28</v>
      </c>
      <c r="K77" s="498" t="s">
        <v>51</v>
      </c>
      <c r="L77" s="547" t="s">
        <v>52</v>
      </c>
      <c r="M77" s="538" t="s">
        <v>53</v>
      </c>
      <c r="N77" s="77"/>
      <c r="O77" s="13"/>
      <c r="P77" s="50"/>
    </row>
    <row r="78" spans="2:58" ht="28.5" customHeight="1" thickTop="1" thickBot="1">
      <c r="B78" s="534"/>
      <c r="C78" s="534"/>
      <c r="D78" s="536"/>
      <c r="E78" s="537"/>
      <c r="F78" s="550"/>
      <c r="G78" s="545"/>
      <c r="H78" s="534"/>
      <c r="I78" s="552"/>
      <c r="J78" s="539"/>
      <c r="K78" s="546"/>
      <c r="L78" s="548"/>
      <c r="M78" s="539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[35]December_2023!$U$13</f>
        <v>150.4</v>
      </c>
      <c r="E79" s="378"/>
      <c r="F79" s="379"/>
      <c r="G79" s="303">
        <f>[35]December_2023!$U$17</f>
        <v>120.8</v>
      </c>
      <c r="H79" s="381"/>
      <c r="I79" s="382"/>
      <c r="J79" s="360" t="s">
        <v>150</v>
      </c>
      <c r="K79" s="380">
        <f>[36]December_2023!$U$25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[19]January_2019!D8</f>
        <v>#DIV/0!</v>
      </c>
      <c r="V80" s="57">
        <f>[19]January_2019!E8</f>
        <v>1.0319298245614037</v>
      </c>
      <c r="W80" s="57">
        <f>[19]January_2019!F8</f>
        <v>1.7789473684210526</v>
      </c>
      <c r="X80" s="57">
        <f>[19]January_2019!G8</f>
        <v>0.51929824561403504</v>
      </c>
      <c r="Y80" s="57" t="e">
        <f>[19]January_2019!H8</f>
        <v>#DIV/0!</v>
      </c>
      <c r="Z80" s="57" t="e">
        <f>[19]January_2019!I8</f>
        <v>#DIV/0!</v>
      </c>
      <c r="AA80" s="57">
        <f>[19]January_2019!J8</f>
        <v>1.365263157894737</v>
      </c>
      <c r="AB80" s="57" t="e">
        <f>[19]January_2019!K8</f>
        <v>#DIV/0!</v>
      </c>
      <c r="AC80" s="57">
        <f>[19]January_2019!L8</f>
        <v>1.0028070175438597</v>
      </c>
      <c r="AD80" s="57">
        <f>[19]January_2019!M8</f>
        <v>1.7828070175438597</v>
      </c>
      <c r="AE80" s="57" t="e">
        <f>[19]January_2019!N8</f>
        <v>#DIV/0!</v>
      </c>
      <c r="AF80" s="57" t="e">
        <f>[19]January_2019!O8</f>
        <v>#DIV/0!</v>
      </c>
      <c r="AG80" s="57">
        <f>[19]January_2019!P8</f>
        <v>0.19222222222222221</v>
      </c>
      <c r="AH80" s="57">
        <f>[19]January_2019!Q8</f>
        <v>0.52219298245614032</v>
      </c>
      <c r="AI80" s="57">
        <f>[19]January_2019!R8</f>
        <v>0.42912280701754385</v>
      </c>
      <c r="AJ80" s="57" t="e">
        <f>[19]January_2019!S8</f>
        <v>#DIV/0!</v>
      </c>
      <c r="AK80" s="57">
        <f>[19]January_2019!T8</f>
        <v>1.0340350877192983</v>
      </c>
      <c r="AL80" s="57">
        <f>[19]January_2019!U8</f>
        <v>0.98421052631578942</v>
      </c>
      <c r="AM80" s="57" t="e">
        <f>[19]January_2019!V8</f>
        <v>#DIV/0!</v>
      </c>
      <c r="AN80" s="57" t="e">
        <f>[19]January_2019!W8</f>
        <v>#DIV/0!</v>
      </c>
      <c r="AO80" s="57">
        <f>[19]January_2019!X8</f>
        <v>0.66052631578947374</v>
      </c>
      <c r="AP80" s="57">
        <f>[19]January_2019!Y8</f>
        <v>1.0375438596491227</v>
      </c>
      <c r="AQ80" s="57">
        <f>[19]January_2019!Z8</f>
        <v>0.90456140350877201</v>
      </c>
      <c r="AR80" s="57">
        <f>[19]January_2019!AA8</f>
        <v>1.0217543859649123</v>
      </c>
      <c r="AS80" s="57">
        <f>[19]January_2019!AB8</f>
        <v>0.65614035087719302</v>
      </c>
      <c r="AT80" s="57" t="e">
        <f>[19]January_2019!AC8</f>
        <v>#DIV/0!</v>
      </c>
      <c r="AU80" s="57" t="e">
        <f>[19]January_2019!AD8</f>
        <v>#DIV/0!</v>
      </c>
      <c r="AV80" s="57">
        <f>[19]January_2019!AE8</f>
        <v>1.7021052631578948</v>
      </c>
      <c r="AW80" s="57">
        <f>[19]January_2019!AF8</f>
        <v>0.60192982456140354</v>
      </c>
      <c r="AX80" s="57">
        <f>[19]January_2019!AG8</f>
        <v>1.4870175438596491</v>
      </c>
      <c r="AY80" s="277" t="e">
        <f>[19]January_2019!AH8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40" t="s">
        <v>55</v>
      </c>
      <c r="C87" s="541"/>
      <c r="D87" s="541"/>
      <c r="E87" s="541"/>
      <c r="F87" s="542"/>
      <c r="G87" s="540" t="s">
        <v>56</v>
      </c>
      <c r="H87" s="541"/>
      <c r="I87" s="541"/>
      <c r="J87" s="542"/>
      <c r="K87" s="540" t="s">
        <v>51</v>
      </c>
      <c r="L87" s="541"/>
      <c r="M87" s="541"/>
      <c r="N87" s="543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[35]December_2023!$U$21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[37]May_2022!$M$43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86" priority="157" operator="notBetween">
      <formula>#REF!</formula>
      <formula>#REF!</formula>
    </cfRule>
  </conditionalFormatting>
  <conditionalFormatting sqref="C76">
    <cfRule type="cellIs" dxfId="385" priority="189" stopIfTrue="1" operator="lessThan">
      <formula>96</formula>
    </cfRule>
    <cfRule type="cellIs" dxfId="384" priority="190" stopIfTrue="1" operator="greaterThan">
      <formula>100</formula>
    </cfRule>
  </conditionalFormatting>
  <conditionalFormatting sqref="C90">
    <cfRule type="cellIs" dxfId="383" priority="106" stopIfTrue="1" operator="lessThanOrEqual">
      <formula>0</formula>
    </cfRule>
    <cfRule type="cellIs" dxfId="382" priority="212" stopIfTrue="1" operator="greaterThan">
      <formula>$F89</formula>
    </cfRule>
  </conditionalFormatting>
  <conditionalFormatting sqref="C91:C93">
    <cfRule type="cellIs" dxfId="381" priority="105" stopIfTrue="1" operator="greaterThan">
      <formula>$F91</formula>
    </cfRule>
  </conditionalFormatting>
  <conditionalFormatting sqref="C91:C94">
    <cfRule type="cellIs" dxfId="380" priority="129" stopIfTrue="1" operator="lessThanOrEqual">
      <formula>0</formula>
    </cfRule>
  </conditionalFormatting>
  <conditionalFormatting sqref="C94">
    <cfRule type="cellIs" dxfId="379" priority="128" stopIfTrue="1" operator="greaterThan">
      <formula>$J94</formula>
    </cfRule>
  </conditionalFormatting>
  <conditionalFormatting sqref="C95:C97">
    <cfRule type="cellIs" dxfId="378" priority="145" stopIfTrue="1" operator="greaterThan">
      <formula>$F95</formula>
    </cfRule>
    <cfRule type="cellIs" dxfId="377" priority="146" stopIfTrue="1" operator="lessThanOrEqual">
      <formula>0</formula>
    </cfRule>
  </conditionalFormatting>
  <conditionalFormatting sqref="C100:C104">
    <cfRule type="cellIs" dxfId="376" priority="181" stopIfTrue="1" operator="lessThanOrEqual">
      <formula>0</formula>
    </cfRule>
  </conditionalFormatting>
  <conditionalFormatting sqref="C101:C104">
    <cfRule type="cellIs" dxfId="375" priority="180" stopIfTrue="1" operator="greaterThan">
      <formula>$F$100</formula>
    </cfRule>
  </conditionalFormatting>
  <conditionalFormatting sqref="C106">
    <cfRule type="cellIs" dxfId="374" priority="182" stopIfTrue="1" operator="greaterThan">
      <formula>$F$100</formula>
    </cfRule>
    <cfRule type="cellIs" dxfId="373" priority="183" stopIfTrue="1" operator="lessThanOrEqual">
      <formula>0</formula>
    </cfRule>
  </conditionalFormatting>
  <conditionalFormatting sqref="C100:D100 D102:D108">
    <cfRule type="cellIs" dxfId="372" priority="175" stopIfTrue="1" operator="greaterThan">
      <formula>4.5</formula>
    </cfRule>
  </conditionalFormatting>
  <conditionalFormatting sqref="D72:D73">
    <cfRule type="cellIs" dxfId="371" priority="158" operator="notBetween">
      <formula>#REF!</formula>
      <formula>#REF!</formula>
    </cfRule>
  </conditionalFormatting>
  <conditionalFormatting sqref="D89:D96">
    <cfRule type="cellIs" dxfId="370" priority="144" stopIfTrue="1" operator="lessThanOrEqual">
      <formula>0</formula>
    </cfRule>
  </conditionalFormatting>
  <conditionalFormatting sqref="D97">
    <cfRule type="cellIs" dxfId="369" priority="143" stopIfTrue="1" operator="lessThanOrEqual">
      <formula>0</formula>
    </cfRule>
  </conditionalFormatting>
  <conditionalFormatting sqref="D100 D102:D108">
    <cfRule type="cellIs" dxfId="368" priority="176" stopIfTrue="1" operator="lessThanOrEqual">
      <formula>0</formula>
    </cfRule>
  </conditionalFormatting>
  <conditionalFormatting sqref="D101">
    <cfRule type="cellIs" dxfId="367" priority="167" stopIfTrue="1" operator="greaterThan">
      <formula>$F$100</formula>
    </cfRule>
    <cfRule type="cellIs" dxfId="366" priority="168" stopIfTrue="1" operator="lessThanOrEqual">
      <formula>0</formula>
    </cfRule>
  </conditionalFormatting>
  <conditionalFormatting sqref="D89:E97">
    <cfRule type="cellIs" dxfId="365" priority="135" stopIfTrue="1" operator="greaterThan">
      <formula>$F89</formula>
    </cfRule>
  </conditionalFormatting>
  <conditionalFormatting sqref="E10:E14">
    <cfRule type="cellIs" dxfId="364" priority="52" operator="lessThan">
      <formula>48</formula>
    </cfRule>
  </conditionalFormatting>
  <conditionalFormatting sqref="E33:E46">
    <cfRule type="cellIs" dxfId="363" priority="25" operator="lessThan">
      <formula>48</formula>
    </cfRule>
  </conditionalFormatting>
  <conditionalFormatting sqref="E76">
    <cfRule type="cellIs" dxfId="362" priority="169" stopIfTrue="1" operator="lessThan">
      <formula>96.8</formula>
    </cfRule>
    <cfRule type="cellIs" dxfId="361" priority="170" stopIfTrue="1" operator="greaterThan">
      <formula>100</formula>
    </cfRule>
  </conditionalFormatting>
  <conditionalFormatting sqref="E89:E97">
    <cfRule type="cellIs" dxfId="360" priority="136" stopIfTrue="1" operator="lessThanOrEqual">
      <formula>0</formula>
    </cfRule>
  </conditionalFormatting>
  <conditionalFormatting sqref="E100:E108">
    <cfRule type="cellIs" dxfId="359" priority="161" stopIfTrue="1" operator="greaterThan">
      <formula>4.5</formula>
    </cfRule>
    <cfRule type="cellIs" dxfId="358" priority="162" stopIfTrue="1" operator="lessThanOrEqual">
      <formula>0</formula>
    </cfRule>
  </conditionalFormatting>
  <conditionalFormatting sqref="E75:F76">
    <cfRule type="cellIs" dxfId="357" priority="171" stopIfTrue="1" operator="lessThan">
      <formula>96.5</formula>
    </cfRule>
    <cfRule type="cellIs" dxfId="356" priority="172" stopIfTrue="1" operator="greaterThan">
      <formula>100</formula>
    </cfRule>
  </conditionalFormatting>
  <conditionalFormatting sqref="F10:F12">
    <cfRule type="cellIs" dxfId="355" priority="62" operator="greaterThan">
      <formula>#REF!</formula>
    </cfRule>
  </conditionalFormatting>
  <conditionalFormatting sqref="F10:F47">
    <cfRule type="cellIs" dxfId="354" priority="15" operator="greaterThan">
      <formula>$AA10</formula>
    </cfRule>
  </conditionalFormatting>
  <conditionalFormatting sqref="F13">
    <cfRule type="cellIs" dxfId="353" priority="53" operator="greaterThan">
      <formula>$AA47</formula>
    </cfRule>
  </conditionalFormatting>
  <conditionalFormatting sqref="F14">
    <cfRule type="cellIs" dxfId="352" priority="196" operator="greaterThan">
      <formula>#REF!</formula>
    </cfRule>
  </conditionalFormatting>
  <conditionalFormatting sqref="F33:F46">
    <cfRule type="cellIs" dxfId="351" priority="26" operator="greaterThan">
      <formula>$AA48</formula>
    </cfRule>
  </conditionalFormatting>
  <conditionalFormatting sqref="F76">
    <cfRule type="cellIs" dxfId="350" priority="187" stopIfTrue="1" operator="lessThan">
      <formula>96.8</formula>
    </cfRule>
    <cfRule type="cellIs" dxfId="349" priority="188" stopIfTrue="1" operator="greaterThan">
      <formula>100</formula>
    </cfRule>
  </conditionalFormatting>
  <conditionalFormatting sqref="F97">
    <cfRule type="cellIs" dxfId="348" priority="137" stopIfTrue="1" operator="greaterThan">
      <formula>$F97</formula>
    </cfRule>
    <cfRule type="cellIs" dxfId="347" priority="138" stopIfTrue="1" operator="lessThanOrEqual">
      <formula>0</formula>
    </cfRule>
  </conditionalFormatting>
  <conditionalFormatting sqref="G10:G14">
    <cfRule type="expression" dxfId="346" priority="54">
      <formula>IF(+(IF(G10&lt;#REF!,0,IF(G10&gt;#REF!,0,1)))=0,1)</formula>
    </cfRule>
  </conditionalFormatting>
  <conditionalFormatting sqref="G33:G46">
    <cfRule type="expression" dxfId="345" priority="27">
      <formula>IF(+(IF(G33&lt;#REF!,0,IF(G33&gt;#REF!,0,1)))=0,1)</formula>
    </cfRule>
  </conditionalFormatting>
  <conditionalFormatting sqref="G90">
    <cfRule type="cellIs" dxfId="344" priority="70" stopIfTrue="1" operator="greaterThan">
      <formula>$F89</formula>
    </cfRule>
    <cfRule type="cellIs" dxfId="343" priority="71" stopIfTrue="1" operator="lessThanOrEqual">
      <formula>0</formula>
    </cfRule>
  </conditionalFormatting>
  <conditionalFormatting sqref="G90:G91">
    <cfRule type="cellIs" dxfId="342" priority="191" stopIfTrue="1" operator="greaterThan">
      <formula>$F89</formula>
    </cfRule>
    <cfRule type="cellIs" dxfId="341" priority="192" stopIfTrue="1" operator="lessThanOrEqual">
      <formula>0</formula>
    </cfRule>
  </conditionalFormatting>
  <conditionalFormatting sqref="G92">
    <cfRule type="cellIs" dxfId="340" priority="139" stopIfTrue="1" operator="greaterThan">
      <formula>$F92</formula>
    </cfRule>
    <cfRule type="cellIs" dxfId="339" priority="140" stopIfTrue="1" operator="lessThanOrEqual">
      <formula>0</formula>
    </cfRule>
  </conditionalFormatting>
  <conditionalFormatting sqref="G93:G96">
    <cfRule type="cellIs" dxfId="338" priority="148" stopIfTrue="1" operator="greaterThan">
      <formula>$J93</formula>
    </cfRule>
    <cfRule type="cellIs" dxfId="337" priority="149" stopIfTrue="1" operator="lessThanOrEqual">
      <formula>0</formula>
    </cfRule>
  </conditionalFormatting>
  <conditionalFormatting sqref="G97">
    <cfRule type="cellIs" dxfId="336" priority="147" operator="greaterThan">
      <formula>4.5</formula>
    </cfRule>
  </conditionalFormatting>
  <conditionalFormatting sqref="G102:G107 C105 C107">
    <cfRule type="cellIs" dxfId="335" priority="184" stopIfTrue="1" operator="greaterThan">
      <formula>4.5</formula>
    </cfRule>
    <cfRule type="cellIs" dxfId="334" priority="185" stopIfTrue="1" operator="lessThanOrEqual">
      <formula>0</formula>
    </cfRule>
  </conditionalFormatting>
  <conditionalFormatting sqref="G62:H62 G63:G73 H63:H74">
    <cfRule type="cellIs" dxfId="333" priority="163" stopIfTrue="1" operator="greaterThan">
      <formula>0</formula>
    </cfRule>
  </conditionalFormatting>
  <conditionalFormatting sqref="G101:H101">
    <cfRule type="cellIs" dxfId="332" priority="165" stopIfTrue="1" operator="greaterThan">
      <formula>$F$100</formula>
    </cfRule>
    <cfRule type="cellIs" dxfId="331" priority="166" stopIfTrue="1" operator="lessThanOrEqual">
      <formula>0</formula>
    </cfRule>
  </conditionalFormatting>
  <conditionalFormatting sqref="H10">
    <cfRule type="expression" dxfId="330" priority="63">
      <formula>IF(+(IF(H10&lt;T27,0,IF(H10&gt;U27,0,1)))=0,1)</formula>
    </cfRule>
  </conditionalFormatting>
  <conditionalFormatting sqref="H10:H12">
    <cfRule type="expression" dxfId="329" priority="64">
      <formula>IF(+(IF(H10&lt;#REF!,0,IF(H10&gt;#REF!,0,1)))=0,1)</formula>
    </cfRule>
  </conditionalFormatting>
  <conditionalFormatting sqref="H11:H12">
    <cfRule type="expression" dxfId="328" priority="207">
      <formula>IF(+(IF(H11&lt;T47,0,IF(H11&gt;U47,0,1)))=0,1)</formula>
    </cfRule>
  </conditionalFormatting>
  <conditionalFormatting sqref="H13">
    <cfRule type="expression" dxfId="327" priority="55">
      <formula>IF(+(IF(H13&lt;T56,0,IF(H13&gt;U56,0,1)))=0,1)</formula>
    </cfRule>
    <cfRule type="expression" dxfId="326" priority="56">
      <formula>IF(+(IF(H13&lt;T47,0,IF(H13&gt;U47,0,1)))=0,1)</formula>
    </cfRule>
  </conditionalFormatting>
  <conditionalFormatting sqref="H14">
    <cfRule type="expression" dxfId="325" priority="197">
      <formula>IF(+(IF(H14&lt;T50,0,IF(H14&gt;U50,0,1)))=0,1)</formula>
    </cfRule>
    <cfRule type="expression" dxfId="324" priority="198">
      <formula>IF(+(IF(H14&lt;#REF!,0,IF(H14&gt;#REF!,0,1)))=0,1)</formula>
    </cfRule>
  </conditionalFormatting>
  <conditionalFormatting sqref="H15:H32">
    <cfRule type="expression" dxfId="323" priority="209">
      <formula>IF(+(IF(H15&lt;T66,0,IF(H15&gt;U66,0,1)))=0,1)</formula>
    </cfRule>
  </conditionalFormatting>
  <conditionalFormatting sqref="H33:H46">
    <cfRule type="expression" dxfId="322" priority="28">
      <formula>IF(+(IF(H33&lt;T57,0,IF(H33&gt;U57,0,1)))=0,1)</formula>
    </cfRule>
    <cfRule type="expression" dxfId="321" priority="29">
      <formula>IF(+(IF(H33&lt;T48,0,IF(H33&gt;U48,0,1)))=0,1)</formula>
    </cfRule>
  </conditionalFormatting>
  <conditionalFormatting sqref="H47">
    <cfRule type="expression" dxfId="320" priority="193">
      <formula>IF(+(IF(H47&lt;#REF!,0,IF(H47&gt;#REF!,0,1)))=0,1)</formula>
    </cfRule>
  </conditionalFormatting>
  <conditionalFormatting sqref="H51:H61">
    <cfRule type="cellIs" dxfId="319" priority="159" stopIfTrue="1" operator="greaterThan">
      <formula>0</formula>
    </cfRule>
  </conditionalFormatting>
  <conditionalFormatting sqref="H79">
    <cfRule type="cellIs" dxfId="318" priority="2" stopIfTrue="1" operator="lessThanOrEqual">
      <formula>0</formula>
    </cfRule>
    <cfRule type="cellIs" dxfId="317" priority="3" stopIfTrue="1" operator="greaterThan">
      <formula>$F$53</formula>
    </cfRule>
    <cfRule type="cellIs" dxfId="316" priority="11" stopIfTrue="1" operator="greaterThan">
      <formula>$F$56</formula>
    </cfRule>
    <cfRule type="cellIs" dxfId="315" priority="12" stopIfTrue="1" operator="lessThanOrEqual">
      <formula>0</formula>
    </cfRule>
    <cfRule type="cellIs" dxfId="314" priority="13" stopIfTrue="1" operator="greaterThan">
      <formula>$F$54</formula>
    </cfRule>
    <cfRule type="cellIs" dxfId="313" priority="14" stopIfTrue="1" operator="lessThanOrEqual">
      <formula>0</formula>
    </cfRule>
  </conditionalFormatting>
  <conditionalFormatting sqref="H80">
    <cfRule type="cellIs" dxfId="312" priority="92" stopIfTrue="1" operator="lessThanOrEqual">
      <formula>0</formula>
    </cfRule>
    <cfRule type="cellIs" dxfId="311" priority="93" stopIfTrue="1" operator="greaterThan">
      <formula>$F$88</formula>
    </cfRule>
    <cfRule type="cellIs" dxfId="310" priority="101" stopIfTrue="1" operator="greaterThan">
      <formula>$F$91</formula>
    </cfRule>
    <cfRule type="cellIs" dxfId="309" priority="102" stopIfTrue="1" operator="lessThanOrEqual">
      <formula>0</formula>
    </cfRule>
    <cfRule type="cellIs" dxfId="308" priority="103" stopIfTrue="1" operator="greaterThan">
      <formula>$F$89</formula>
    </cfRule>
    <cfRule type="cellIs" dxfId="307" priority="104" stopIfTrue="1" operator="lessThanOrEqual">
      <formula>0</formula>
    </cfRule>
  </conditionalFormatting>
  <conditionalFormatting sqref="H81">
    <cfRule type="cellIs" dxfId="306" priority="35" stopIfTrue="1" operator="lessThanOrEqual">
      <formula>0</formula>
    </cfRule>
    <cfRule type="cellIs" dxfId="305" priority="36" stopIfTrue="1" operator="greaterThan">
      <formula>$F$72</formula>
    </cfRule>
    <cfRule type="cellIs" dxfId="304" priority="44" stopIfTrue="1" operator="greaterThan">
      <formula>$F$75</formula>
    </cfRule>
    <cfRule type="cellIs" dxfId="303" priority="45" stopIfTrue="1" operator="lessThanOrEqual">
      <formula>0</formula>
    </cfRule>
    <cfRule type="cellIs" dxfId="302" priority="46" stopIfTrue="1" operator="greaterThan">
      <formula>$F$73</formula>
    </cfRule>
    <cfRule type="cellIs" dxfId="301" priority="47" stopIfTrue="1" operator="lessThanOrEqual">
      <formula>0</formula>
    </cfRule>
  </conditionalFormatting>
  <conditionalFormatting sqref="H82">
    <cfRule type="cellIs" dxfId="300" priority="75" stopIfTrue="1" operator="lessThanOrEqual">
      <formula>0</formula>
    </cfRule>
    <cfRule type="cellIs" dxfId="299" priority="76" stopIfTrue="1" operator="greaterThan">
      <formula>#REF!</formula>
    </cfRule>
    <cfRule type="cellIs" dxfId="298" priority="84" stopIfTrue="1" operator="greaterThan">
      <formula>#REF!</formula>
    </cfRule>
  </conditionalFormatting>
  <conditionalFormatting sqref="H82:H84">
    <cfRule type="cellIs" dxfId="297" priority="85" stopIfTrue="1" operator="lessThanOrEqual">
      <formula>0</formula>
    </cfRule>
  </conditionalFormatting>
  <conditionalFormatting sqref="H83:H84">
    <cfRule type="cellIs" dxfId="296" priority="114" stopIfTrue="1" operator="greaterThan">
      <formula>$F$89</formula>
    </cfRule>
    <cfRule type="cellIs" dxfId="295" priority="122" stopIfTrue="1" operator="greaterThan">
      <formula>$F$92</formula>
    </cfRule>
    <cfRule type="cellIs" dxfId="294" priority="123" stopIfTrue="1" operator="lessThanOrEqual">
      <formula>0</formula>
    </cfRule>
    <cfRule type="cellIs" dxfId="293" priority="124" stopIfTrue="1" operator="greaterThan">
      <formula>$F$90</formula>
    </cfRule>
    <cfRule type="cellIs" dxfId="292" priority="125" stopIfTrue="1" operator="lessThanOrEqual">
      <formula>0</formula>
    </cfRule>
  </conditionalFormatting>
  <conditionalFormatting sqref="H85">
    <cfRule type="cellIs" dxfId="291" priority="153" stopIfTrue="1" operator="greaterThan">
      <formula>$F$86</formula>
    </cfRule>
    <cfRule type="cellIs" dxfId="290" priority="154" stopIfTrue="1" operator="lessThanOrEqual">
      <formula>0</formula>
    </cfRule>
    <cfRule type="cellIs" dxfId="289" priority="155" stopIfTrue="1" operator="greaterThan">
      <formula>$F$82</formula>
    </cfRule>
    <cfRule type="cellIs" dxfId="288" priority="156" stopIfTrue="1" operator="lessThanOrEqual">
      <formula>0</formula>
    </cfRule>
  </conditionalFormatting>
  <conditionalFormatting sqref="H89:H96">
    <cfRule type="cellIs" dxfId="287" priority="126" stopIfTrue="1" operator="greaterThan">
      <formula>$J89</formula>
    </cfRule>
    <cfRule type="cellIs" dxfId="286" priority="127" stopIfTrue="1" operator="lessThanOrEqual">
      <formula>0</formula>
    </cfRule>
  </conditionalFormatting>
  <conditionalFormatting sqref="H97">
    <cfRule type="cellIs" dxfId="285" priority="132" operator="greaterThan">
      <formula>5.3</formula>
    </cfRule>
  </conditionalFormatting>
  <conditionalFormatting sqref="H100 H102:H108">
    <cfRule type="cellIs" dxfId="284" priority="177" stopIfTrue="1" operator="greaterThan">
      <formula>4.5</formula>
    </cfRule>
    <cfRule type="cellIs" dxfId="283" priority="178" stopIfTrue="1" operator="lessThanOrEqual">
      <formula>0</formula>
    </cfRule>
  </conditionalFormatting>
  <conditionalFormatting sqref="H79:I79">
    <cfRule type="cellIs" dxfId="282" priority="1" stopIfTrue="1" operator="greaterThan">
      <formula>$F$55</formula>
    </cfRule>
    <cfRule type="cellIs" dxfId="281" priority="4" stopIfTrue="1" operator="lessThanOrEqual">
      <formula>0</formula>
    </cfRule>
  </conditionalFormatting>
  <conditionalFormatting sqref="H80:I80">
    <cfRule type="cellIs" dxfId="280" priority="91" stopIfTrue="1" operator="greaterThan">
      <formula>$F$90</formula>
    </cfRule>
    <cfRule type="cellIs" dxfId="279" priority="94" stopIfTrue="1" operator="lessThanOrEqual">
      <formula>0</formula>
    </cfRule>
  </conditionalFormatting>
  <conditionalFormatting sqref="H81:I81">
    <cfRule type="cellIs" dxfId="278" priority="34" stopIfTrue="1" operator="greaterThan">
      <formula>$F$74</formula>
    </cfRule>
    <cfRule type="cellIs" dxfId="277" priority="37" stopIfTrue="1" operator="lessThanOrEqual">
      <formula>0</formula>
    </cfRule>
  </conditionalFormatting>
  <conditionalFormatting sqref="H82:I82">
    <cfRule type="cellIs" dxfId="276" priority="74" stopIfTrue="1" operator="greaterThan">
      <formula>#REF!</formula>
    </cfRule>
    <cfRule type="cellIs" dxfId="275" priority="77" stopIfTrue="1" operator="lessThanOrEqual">
      <formula>0</formula>
    </cfRule>
    <cfRule type="cellIs" dxfId="274" priority="82" stopIfTrue="1" operator="greaterThan">
      <formula>#REF!</formula>
    </cfRule>
    <cfRule type="cellIs" dxfId="273" priority="83" stopIfTrue="1" operator="lessThanOrEqual">
      <formula>0</formula>
    </cfRule>
  </conditionalFormatting>
  <conditionalFormatting sqref="H83:I83">
    <cfRule type="cellIs" dxfId="272" priority="115" stopIfTrue="1" operator="lessThanOrEqual">
      <formula>0</formula>
    </cfRule>
  </conditionalFormatting>
  <conditionalFormatting sqref="H83:I84">
    <cfRule type="cellIs" dxfId="271" priority="72" stopIfTrue="1" operator="greaterThan">
      <formula>$F$91</formula>
    </cfRule>
  </conditionalFormatting>
  <conditionalFormatting sqref="H84:I84">
    <cfRule type="cellIs" dxfId="270" priority="73" stopIfTrue="1" operator="lessThanOrEqual">
      <formula>0</formula>
    </cfRule>
  </conditionalFormatting>
  <conditionalFormatting sqref="I10:I14">
    <cfRule type="cellIs" dxfId="269" priority="49" operator="lessThan">
      <formula>97.8</formula>
    </cfRule>
  </conditionalFormatting>
  <conditionalFormatting sqref="I10:I47">
    <cfRule type="cellIs" dxfId="268" priority="21" operator="lessThan">
      <formula>98</formula>
    </cfRule>
  </conditionalFormatting>
  <conditionalFormatting sqref="I33:I46">
    <cfRule type="cellIs" dxfId="267" priority="22" operator="lessThan">
      <formula>97.8</formula>
    </cfRule>
  </conditionalFormatting>
  <conditionalFormatting sqref="I79">
    <cfRule type="cellIs" dxfId="266" priority="5" stopIfTrue="1" operator="greaterThan">
      <formula>$F$53</formula>
    </cfRule>
    <cfRule type="cellIs" dxfId="265" priority="6" stopIfTrue="1" operator="lessThanOrEqual">
      <formula>0</formula>
    </cfRule>
    <cfRule type="cellIs" dxfId="264" priority="7" stopIfTrue="1" operator="greaterThan">
      <formula>$F$55</formula>
    </cfRule>
    <cfRule type="cellIs" dxfId="263" priority="8" stopIfTrue="1" operator="lessThanOrEqual">
      <formula>0</formula>
    </cfRule>
    <cfRule type="cellIs" dxfId="262" priority="9" stopIfTrue="1" operator="greaterThan">
      <formula>$F$53</formula>
    </cfRule>
    <cfRule type="cellIs" dxfId="261" priority="10" stopIfTrue="1" operator="lessThanOrEqual">
      <formula>0</formula>
    </cfRule>
  </conditionalFormatting>
  <conditionalFormatting sqref="I80">
    <cfRule type="cellIs" dxfId="260" priority="95" stopIfTrue="1" operator="greaterThan">
      <formula>$F$88</formula>
    </cfRule>
    <cfRule type="cellIs" dxfId="259" priority="96" stopIfTrue="1" operator="lessThanOrEqual">
      <formula>0</formula>
    </cfRule>
    <cfRule type="cellIs" dxfId="258" priority="97" stopIfTrue="1" operator="greaterThan">
      <formula>$F$90</formula>
    </cfRule>
    <cfRule type="cellIs" dxfId="257" priority="98" stopIfTrue="1" operator="lessThanOrEqual">
      <formula>0</formula>
    </cfRule>
    <cfRule type="cellIs" dxfId="256" priority="99" stopIfTrue="1" operator="greaterThan">
      <formula>$F$88</formula>
    </cfRule>
    <cfRule type="cellIs" dxfId="255" priority="100" stopIfTrue="1" operator="lessThanOrEqual">
      <formula>0</formula>
    </cfRule>
  </conditionalFormatting>
  <conditionalFormatting sqref="I81">
    <cfRule type="cellIs" dxfId="254" priority="38" stopIfTrue="1" operator="greaterThan">
      <formula>$F$72</formula>
    </cfRule>
    <cfRule type="cellIs" dxfId="253" priority="39" stopIfTrue="1" operator="lessThanOrEqual">
      <formula>0</formula>
    </cfRule>
    <cfRule type="cellIs" dxfId="252" priority="40" stopIfTrue="1" operator="greaterThan">
      <formula>$F$74</formula>
    </cfRule>
    <cfRule type="cellIs" dxfId="251" priority="41" stopIfTrue="1" operator="lessThanOrEqual">
      <formula>0</formula>
    </cfRule>
    <cfRule type="cellIs" dxfId="250" priority="42" stopIfTrue="1" operator="greaterThan">
      <formula>$F$72</formula>
    </cfRule>
    <cfRule type="cellIs" dxfId="249" priority="43" stopIfTrue="1" operator="lessThanOrEqual">
      <formula>0</formula>
    </cfRule>
  </conditionalFormatting>
  <conditionalFormatting sqref="I82">
    <cfRule type="cellIs" dxfId="248" priority="78" stopIfTrue="1" operator="greaterThan">
      <formula>#REF!</formula>
    </cfRule>
    <cfRule type="cellIs" dxfId="247" priority="79" stopIfTrue="1" operator="lessThanOrEqual">
      <formula>0</formula>
    </cfRule>
    <cfRule type="cellIs" dxfId="246" priority="80" stopIfTrue="1" operator="greaterThan">
      <formula>#REF!</formula>
    </cfRule>
    <cfRule type="cellIs" dxfId="245" priority="81" stopIfTrue="1" operator="lessThanOrEqual">
      <formula>0</formula>
    </cfRule>
  </conditionalFormatting>
  <conditionalFormatting sqref="I83:I84">
    <cfRule type="cellIs" dxfId="244" priority="116" stopIfTrue="1" operator="greaterThan">
      <formula>$F$89</formula>
    </cfRule>
    <cfRule type="cellIs" dxfId="243" priority="117" stopIfTrue="1" operator="lessThanOrEqual">
      <formula>0</formula>
    </cfRule>
    <cfRule type="cellIs" dxfId="242" priority="118" stopIfTrue="1" operator="greaterThan">
      <formula>$F$91</formula>
    </cfRule>
    <cfRule type="cellIs" dxfId="241" priority="119" stopIfTrue="1" operator="lessThanOrEqual">
      <formula>0</formula>
    </cfRule>
    <cfRule type="cellIs" dxfId="240" priority="120" stopIfTrue="1" operator="greaterThan">
      <formula>$F$89</formula>
    </cfRule>
    <cfRule type="cellIs" dxfId="239" priority="121" stopIfTrue="1" operator="lessThanOrEqual">
      <formula>0</formula>
    </cfRule>
  </conditionalFormatting>
  <conditionalFormatting sqref="I89:I97">
    <cfRule type="cellIs" dxfId="238" priority="133" stopIfTrue="1" operator="greaterThan">
      <formula>$J89</formula>
    </cfRule>
    <cfRule type="cellIs" dxfId="237" priority="134" stopIfTrue="1" operator="lessThanOrEqual">
      <formula>0</formula>
    </cfRule>
  </conditionalFormatting>
  <conditionalFormatting sqref="I100:I108">
    <cfRule type="cellIs" dxfId="236" priority="173" stopIfTrue="1" operator="greaterThan">
      <formula>4.5</formula>
    </cfRule>
    <cfRule type="cellIs" dxfId="235" priority="174" stopIfTrue="1" operator="lessThanOrEqual">
      <formula>0</formula>
    </cfRule>
  </conditionalFormatting>
  <conditionalFormatting sqref="J10:J14">
    <cfRule type="cellIs" dxfId="234" priority="51" operator="notBetween">
      <formula>98</formula>
      <formula>99.9</formula>
    </cfRule>
  </conditionalFormatting>
  <conditionalFormatting sqref="J10:J47">
    <cfRule type="cellIs" dxfId="233" priority="20" operator="lessThan">
      <formula>97.4</formula>
    </cfRule>
  </conditionalFormatting>
  <conditionalFormatting sqref="J33:J46">
    <cfRule type="cellIs" dxfId="232" priority="24" operator="notBetween">
      <formula>98</formula>
      <formula>99.9</formula>
    </cfRule>
  </conditionalFormatting>
  <conditionalFormatting sqref="J50:J52">
    <cfRule type="cellIs" dxfId="231" priority="107" stopIfTrue="1" operator="lessThan">
      <formula>96.8</formula>
    </cfRule>
    <cfRule type="cellIs" dxfId="230" priority="108" stopIfTrue="1" operator="greaterThan">
      <formula>100</formula>
    </cfRule>
    <cfRule type="cellIs" dxfId="229" priority="109" operator="lessThan">
      <formula>98</formula>
    </cfRule>
  </conditionalFormatting>
  <conditionalFormatting sqref="J50:J54">
    <cfRule type="cellIs" dxfId="228" priority="48" operator="lessThan">
      <formula>97.4</formula>
    </cfRule>
  </conditionalFormatting>
  <conditionalFormatting sqref="J55 L59:M59 L61:M61">
    <cfRule type="cellIs" dxfId="227" priority="110" operator="lessThan">
      <formula>98</formula>
    </cfRule>
  </conditionalFormatting>
  <conditionalFormatting sqref="J56:J57">
    <cfRule type="cellIs" dxfId="226" priority="111" stopIfTrue="1" operator="lessThan">
      <formula>96.8</formula>
    </cfRule>
    <cfRule type="cellIs" dxfId="225" priority="112" stopIfTrue="1" operator="greaterThan">
      <formula>100</formula>
    </cfRule>
  </conditionalFormatting>
  <conditionalFormatting sqref="J56:J58">
    <cfRule type="cellIs" dxfId="224" priority="113" operator="lessThan">
      <formula>98</formula>
    </cfRule>
  </conditionalFormatting>
  <conditionalFormatting sqref="K10:K14">
    <cfRule type="cellIs" dxfId="223" priority="50" operator="greaterThan">
      <formula>6.4</formula>
    </cfRule>
  </conditionalFormatting>
  <conditionalFormatting sqref="K10:K47">
    <cfRule type="cellIs" dxfId="222" priority="16" operator="greaterThan">
      <formula>6</formula>
    </cfRule>
    <cfRule type="cellIs" dxfId="221" priority="17" operator="lessThan">
      <formula>4</formula>
    </cfRule>
  </conditionalFormatting>
  <conditionalFormatting sqref="K33:K46">
    <cfRule type="cellIs" dxfId="220" priority="23" operator="greaterThan">
      <formula>6.4</formula>
    </cfRule>
  </conditionalFormatting>
  <conditionalFormatting sqref="K64:K73">
    <cfRule type="cellIs" dxfId="219" priority="141" operator="notEqual">
      <formula>#REF!</formula>
    </cfRule>
  </conditionalFormatting>
  <conditionalFormatting sqref="K79:K84 J85:K85 L89:N89 K90:N97">
    <cfRule type="cellIs" dxfId="218" priority="152" stopIfTrue="1" operator="lessThan">
      <formula>100%</formula>
    </cfRule>
  </conditionalFormatting>
  <conditionalFormatting sqref="K100:K105">
    <cfRule type="cellIs" dxfId="217" priority="179" stopIfTrue="1" operator="lessThan">
      <formula>100%</formula>
    </cfRule>
  </conditionalFormatting>
  <conditionalFormatting sqref="K107:K108">
    <cfRule type="cellIs" dxfId="216" priority="186" stopIfTrue="1" operator="lessThan">
      <formula>100%</formula>
    </cfRule>
  </conditionalFormatting>
  <conditionalFormatting sqref="L10:L47">
    <cfRule type="cellIs" dxfId="215" priority="18" operator="between">
      <formula>61</formula>
      <formula>65</formula>
    </cfRule>
    <cfRule type="cellIs" dxfId="214" priority="19" operator="greaterThan">
      <formula>65</formula>
    </cfRule>
  </conditionalFormatting>
  <conditionalFormatting sqref="L52:L58">
    <cfRule type="cellIs" dxfId="213" priority="88" operator="lessThan">
      <formula>98</formula>
    </cfRule>
  </conditionalFormatting>
  <conditionalFormatting sqref="L65:N65">
    <cfRule type="cellIs" dxfId="212" priority="87" operator="notEqual">
      <formula>#REF!</formula>
    </cfRule>
  </conditionalFormatting>
  <conditionalFormatting sqref="L100:N108">
    <cfRule type="cellIs" dxfId="211" priority="164" stopIfTrue="1" operator="lessThan">
      <formula>100%</formula>
    </cfRule>
  </conditionalFormatting>
  <conditionalFormatting sqref="M10:M11">
    <cfRule type="expression" dxfId="210" priority="65">
      <formula>IF(+(IF(M10&lt;V23,0,IF(M10&gt;W23,0,1)))=0,1)</formula>
    </cfRule>
  </conditionalFormatting>
  <conditionalFormatting sqref="M13">
    <cfRule type="expression" dxfId="209" priority="57">
      <formula>IF(+(IF(M13&lt;V52,0,IF(M13&gt;W52,0,1)))=0,1)</formula>
    </cfRule>
    <cfRule type="expression" dxfId="208" priority="58">
      <formula>IF(+(IF(M13&lt;V47,0,IF(M13&gt;W47,0,1)))=0,1)</formula>
    </cfRule>
  </conditionalFormatting>
  <conditionalFormatting sqref="M14">
    <cfRule type="expression" dxfId="207" priority="199">
      <formula>IF(+(IF(M14&lt;V27,0,IF(M14&gt;W27,0,1)))=0,1)</formula>
    </cfRule>
  </conditionalFormatting>
  <conditionalFormatting sqref="M15:M32">
    <cfRule type="expression" dxfId="206" priority="210">
      <formula>IF(+(IF(M15&lt;V62,0,IF(M15&gt;W62,0,1)))=0,1)</formula>
    </cfRule>
  </conditionalFormatting>
  <conditionalFormatting sqref="M33:M46">
    <cfRule type="expression" dxfId="205" priority="30">
      <formula>IF(+(IF(M33&lt;V53,0,IF(M33&gt;W53,0,1)))=0,1)</formula>
    </cfRule>
    <cfRule type="expression" dxfId="204" priority="31">
      <formula>IF(+(IF(M33&lt;V48,0,IF(M33&gt;W48,0,1)))=0,1)</formula>
    </cfRule>
  </conditionalFormatting>
  <conditionalFormatting sqref="M50:M58">
    <cfRule type="cellIs" dxfId="203" priority="86" operator="lessThan">
      <formula>98</formula>
    </cfRule>
  </conditionalFormatting>
  <conditionalFormatting sqref="M10:N12">
    <cfRule type="expression" dxfId="202" priority="66">
      <formula>IF(+(IF(M10&lt;#REF!,0,IF(M10&gt;#REF!,0,1)))=0,1)</formula>
    </cfRule>
  </conditionalFormatting>
  <conditionalFormatting sqref="M14:N14">
    <cfRule type="expression" dxfId="201" priority="200">
      <formula>IF(+(IF(M14&lt;#REF!,0,IF(M14&gt;#REF!,0,1)))=0,1)</formula>
    </cfRule>
  </conditionalFormatting>
  <conditionalFormatting sqref="M47:N47">
    <cfRule type="expression" dxfId="200" priority="194">
      <formula>IF(+(IF(M47&lt;#REF!,0,IF(M47&gt;#REF!,0,1)))=0,1)</formula>
    </cfRule>
  </conditionalFormatting>
  <conditionalFormatting sqref="N10:N11">
    <cfRule type="expression" dxfId="199" priority="67">
      <formula>IF(+(IF(N10&lt;X23,0,IF(N10&gt;Y23,0,1)))=0,1)</formula>
    </cfRule>
  </conditionalFormatting>
  <conditionalFormatting sqref="N13">
    <cfRule type="expression" dxfId="198" priority="59">
      <formula>IF(+(IF(N13&lt;X52,0,IF(N13&gt;Y52,0,1)))=0,1)</formula>
    </cfRule>
    <cfRule type="expression" dxfId="197" priority="60">
      <formula>IF(+(IF(N13&lt;X47,0,IF(N13&gt;Y47,0,1)))=0,1)</formula>
    </cfRule>
  </conditionalFormatting>
  <conditionalFormatting sqref="N14">
    <cfRule type="expression" dxfId="196" priority="203">
      <formula>IF(+(IF(N14&lt;X27,0,IF(N14&gt;Y27,0,1)))=0,1)</formula>
    </cfRule>
  </conditionalFormatting>
  <conditionalFormatting sqref="N15:N32">
    <cfRule type="expression" dxfId="195" priority="211">
      <formula>IF(+(IF(N15&lt;X62,0,IF(N15&gt;Y62,0,1)))=0,1)</formula>
    </cfRule>
  </conditionalFormatting>
  <conditionalFormatting sqref="N33:N46">
    <cfRule type="expression" dxfId="194" priority="32">
      <formula>IF(+(IF(N33&lt;X53,0,IF(N33&gt;Y53,0,1)))=0,1)</formula>
    </cfRule>
    <cfRule type="expression" dxfId="193" priority="33">
      <formula>IF(+(IF(N33&lt;X48,0,IF(N33&gt;Y48,0,1)))=0,1)</formula>
    </cfRule>
  </conditionalFormatting>
  <conditionalFormatting sqref="P6">
    <cfRule type="cellIs" dxfId="192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EC56-4DCA-44D3-9CE2-61E46565ECF3}">
  <sheetPr>
    <pageSetUpPr fitToPage="1"/>
  </sheetPr>
  <dimension ref="A1:BE78"/>
  <sheetViews>
    <sheetView tabSelected="1" zoomScale="85" zoomScaleNormal="85" workbookViewId="0">
      <selection activeCell="H29" sqref="H29"/>
    </sheetView>
  </sheetViews>
  <sheetFormatPr defaultColWidth="9.42578125" defaultRowHeight="14.25"/>
  <cols>
    <col min="1" max="1" width="7.28515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0.7109375" style="275" customWidth="1"/>
    <col min="9" max="9" width="31.42578125" style="275" customWidth="1"/>
    <col min="10" max="10" width="35.28515625" style="275" customWidth="1"/>
    <col min="11" max="11" width="29" style="275" customWidth="1"/>
    <col min="12" max="12" width="17.28515625" style="275" bestFit="1" customWidth="1"/>
    <col min="13" max="13" width="23.28515625" style="275" customWidth="1"/>
    <col min="14" max="14" width="13.7109375" style="275" bestFit="1" customWidth="1"/>
    <col min="15" max="15" width="17.5703125" style="275" customWidth="1"/>
    <col min="16" max="16" width="109.28515625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6"/>
      <c r="S1" s="493" t="s">
        <v>0</v>
      </c>
      <c r="T1" s="493"/>
      <c r="U1" s="493" t="s">
        <v>1</v>
      </c>
      <c r="V1" s="493"/>
      <c r="W1" s="493" t="s">
        <v>2</v>
      </c>
      <c r="X1" s="493"/>
      <c r="Y1" s="493" t="s">
        <v>124</v>
      </c>
      <c r="Z1" s="493"/>
    </row>
    <row r="2" spans="2:29" ht="15">
      <c r="B2" s="494" t="s">
        <v>3</v>
      </c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"/>
      <c r="R2" s="466"/>
      <c r="S2" s="466" t="s">
        <v>4</v>
      </c>
      <c r="T2" s="466" t="s">
        <v>5</v>
      </c>
      <c r="U2" s="466" t="s">
        <v>4</v>
      </c>
      <c r="V2" s="466" t="s">
        <v>5</v>
      </c>
      <c r="W2" s="466" t="s">
        <v>4</v>
      </c>
      <c r="X2" s="466" t="s">
        <v>5</v>
      </c>
      <c r="Y2" s="466" t="s">
        <v>4</v>
      </c>
      <c r="Z2" s="466" t="s">
        <v>5</v>
      </c>
    </row>
    <row r="3" spans="2:29" ht="14.25" customHeight="1">
      <c r="B3" s="5"/>
      <c r="R3" s="466" t="s">
        <v>6</v>
      </c>
      <c r="S3" s="467">
        <v>11.6</v>
      </c>
      <c r="T3" s="46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69">
        <v>0</v>
      </c>
      <c r="Z3" s="467">
        <v>60</v>
      </c>
      <c r="AB3" s="275" t="s">
        <v>135</v>
      </c>
    </row>
    <row r="4" spans="2:29" ht="30.75" customHeight="1">
      <c r="B4" s="301" t="s">
        <v>133</v>
      </c>
      <c r="C4" s="418">
        <v>46297</v>
      </c>
      <c r="J4" s="397" t="s">
        <v>153</v>
      </c>
      <c r="K4" s="397"/>
      <c r="L4" s="11"/>
      <c r="M4" s="491" t="s">
        <v>8</v>
      </c>
      <c r="N4" s="492"/>
      <c r="P4" s="12"/>
      <c r="R4" s="466" t="s">
        <v>9</v>
      </c>
      <c r="S4" s="467">
        <v>11.6</v>
      </c>
      <c r="T4" s="46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69">
        <v>0</v>
      </c>
      <c r="Z4" s="467">
        <v>60</v>
      </c>
      <c r="AA4" s="13"/>
      <c r="AB4" s="13"/>
      <c r="AC4" s="13"/>
    </row>
    <row r="5" spans="2:29" ht="12.75" customHeight="1" thickBot="1">
      <c r="B5" s="1"/>
      <c r="C5" s="497"/>
      <c r="D5" s="497"/>
      <c r="J5" s="402"/>
      <c r="K5" s="402"/>
      <c r="L5" s="11"/>
      <c r="M5" s="14" t="s">
        <v>10</v>
      </c>
      <c r="N5" s="14" t="s">
        <v>11</v>
      </c>
      <c r="P5" s="12"/>
      <c r="R5" s="466" t="s">
        <v>12</v>
      </c>
      <c r="S5" s="467">
        <v>17</v>
      </c>
      <c r="T5" s="46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69">
        <v>0</v>
      </c>
      <c r="Z5" s="470">
        <v>60</v>
      </c>
      <c r="AA5" s="13"/>
      <c r="AB5" s="13"/>
      <c r="AC5" s="13"/>
    </row>
    <row r="6" spans="2:29" ht="14.25" customHeight="1">
      <c r="B6" s="15"/>
      <c r="C6" s="1"/>
      <c r="D6" s="1"/>
      <c r="J6" s="398" t="s">
        <v>168</v>
      </c>
      <c r="K6" s="399"/>
      <c r="L6" s="311" t="s">
        <v>14</v>
      </c>
      <c r="M6" s="340"/>
      <c r="N6" s="340"/>
      <c r="P6" s="16"/>
      <c r="R6" s="466" t="s">
        <v>15</v>
      </c>
      <c r="S6" s="467">
        <v>13.3</v>
      </c>
      <c r="T6" s="46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69">
        <v>0</v>
      </c>
      <c r="Z6" s="470"/>
      <c r="AA6" s="13"/>
      <c r="AB6" s="13"/>
      <c r="AC6" s="13"/>
    </row>
    <row r="7" spans="2:29" ht="13.35" customHeight="1" thickBot="1">
      <c r="J7" s="400"/>
      <c r="K7" s="401"/>
      <c r="R7" s="466" t="s">
        <v>16</v>
      </c>
      <c r="S7" s="467">
        <v>17</v>
      </c>
      <c r="T7" s="468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69">
        <v>0</v>
      </c>
      <c r="Z7" s="470">
        <v>85</v>
      </c>
      <c r="AA7" s="13"/>
      <c r="AB7" s="13"/>
      <c r="AC7" s="13"/>
    </row>
    <row r="8" spans="2:29" ht="25.5" customHeight="1">
      <c r="B8" s="498" t="s">
        <v>17</v>
      </c>
      <c r="C8" s="500" t="s">
        <v>18</v>
      </c>
      <c r="D8" s="500" t="s">
        <v>19</v>
      </c>
      <c r="E8" s="356" t="s">
        <v>20</v>
      </c>
      <c r="F8" s="356" t="s">
        <v>21</v>
      </c>
      <c r="G8" s="500" t="s">
        <v>22</v>
      </c>
      <c r="H8" s="501" t="s">
        <v>144</v>
      </c>
      <c r="I8" s="500" t="s">
        <v>167</v>
      </c>
      <c r="J8" s="503" t="s">
        <v>23</v>
      </c>
      <c r="K8" s="505" t="s">
        <v>142</v>
      </c>
      <c r="L8" s="507" t="s">
        <v>24</v>
      </c>
      <c r="M8" s="359" t="s">
        <v>25</v>
      </c>
      <c r="N8" s="17" t="s">
        <v>166</v>
      </c>
      <c r="O8" s="500" t="s">
        <v>155</v>
      </c>
      <c r="P8" s="495"/>
      <c r="R8" s="466" t="s">
        <v>125</v>
      </c>
      <c r="S8" s="467">
        <v>16.600000000000001</v>
      </c>
      <c r="T8" s="46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69">
        <v>0</v>
      </c>
      <c r="Z8" s="470"/>
    </row>
    <row r="9" spans="2:29" ht="36" customHeight="1">
      <c r="B9" s="499"/>
      <c r="C9" s="496"/>
      <c r="D9" s="496"/>
      <c r="E9" s="357" t="s">
        <v>30</v>
      </c>
      <c r="F9" s="357" t="s">
        <v>31</v>
      </c>
      <c r="G9" s="496"/>
      <c r="H9" s="502"/>
      <c r="I9" s="496"/>
      <c r="J9" s="504"/>
      <c r="K9" s="506"/>
      <c r="L9" s="508"/>
      <c r="M9" s="20" t="s">
        <v>32</v>
      </c>
      <c r="N9" s="21" t="s">
        <v>41</v>
      </c>
      <c r="O9" s="496"/>
      <c r="P9" s="496"/>
      <c r="R9" s="466" t="s">
        <v>33</v>
      </c>
      <c r="S9" s="467">
        <v>14.2</v>
      </c>
      <c r="T9" s="46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69">
        <v>0</v>
      </c>
      <c r="Z9" s="470">
        <v>75</v>
      </c>
    </row>
    <row r="10" spans="2:29" ht="15" customHeight="1">
      <c r="B10" s="33" t="s">
        <v>9</v>
      </c>
      <c r="C10" s="366">
        <f>[3]Brewhouse!$A390</f>
        <v>0</v>
      </c>
      <c r="D10" s="279">
        <f>[3]Brewhouse!$AB390</f>
        <v>0</v>
      </c>
      <c r="E10" s="279">
        <f>[3]Brewhouse!$AG390</f>
        <v>0</v>
      </c>
      <c r="F10" s="278">
        <f>[3]Brewhouse!$V390</f>
        <v>0</v>
      </c>
      <c r="G10" s="279">
        <f>[3]Brewhouse!$AE390</f>
        <v>0</v>
      </c>
      <c r="H10" s="396"/>
      <c r="I10" s="368">
        <f>[3]Brewhouse!$AS390</f>
        <v>0</v>
      </c>
      <c r="J10" s="368">
        <f>[3]Brewhouse!$AT390</f>
        <v>0</v>
      </c>
      <c r="K10" s="281">
        <f>[3]Brewhouse!$Q390</f>
        <v>0</v>
      </c>
      <c r="L10" s="276">
        <f>[3]Brewhouse!$P390</f>
        <v>0</v>
      </c>
      <c r="M10" s="374">
        <f>[3]Brewhouse!$U390-[3]Brewhouse!$T390</f>
        <v>0</v>
      </c>
      <c r="N10" s="370">
        <f>[3]Brewhouse!$AW390</f>
        <v>0</v>
      </c>
      <c r="O10" s="419">
        <f>[3]Brewhouse!$AV390</f>
        <v>0</v>
      </c>
      <c r="P10" s="417"/>
      <c r="R10" s="277" t="str">
        <f t="shared" ref="R10:R24" si="0">B10</f>
        <v>STAG</v>
      </c>
      <c r="S10" s="471">
        <f t="shared" ref="S10:S24" si="1">VLOOKUP($B10,$R$3:$X$9,2,FALSE)</f>
        <v>11.6</v>
      </c>
      <c r="T10" s="471">
        <f t="shared" ref="T10:T24" si="2">VLOOKUP($B10,$R$3:$X$9,3,FALSE)</f>
        <v>12</v>
      </c>
      <c r="U10" s="297">
        <f t="shared" ref="U10:U24" si="3">VLOOKUP($B10,$R$3:$X$9,4,FALSE)</f>
        <v>0</v>
      </c>
      <c r="V10" s="297">
        <f t="shared" ref="V10:V24" si="4">VLOOKUP($B10,$R$3:$X$9,5,FALSE)</f>
        <v>0.118055555555556</v>
      </c>
      <c r="W10" s="297">
        <f t="shared" ref="W10:W24" si="5">VLOOKUP($B10,$R$3:$X$9,6,FALSE)</f>
        <v>0.22569444444444445</v>
      </c>
      <c r="X10" s="297">
        <f t="shared" ref="X10:X24" si="6">VLOOKUP($B10,$R$3:$X$9,7,FALSE)</f>
        <v>0.2638888888888889</v>
      </c>
      <c r="Y10" s="297">
        <f t="shared" ref="Y10:Y24" si="7">VLOOKUP($B10,$R$3:$Z$9,8,FALSE)</f>
        <v>0</v>
      </c>
      <c r="Z10" s="471">
        <f t="shared" ref="Z10:Z24" si="8">VLOOKUP($B10,$R$3:$Z$9,9,FALSE)</f>
        <v>60</v>
      </c>
    </row>
    <row r="11" spans="2:29" ht="15" customHeight="1">
      <c r="B11" s="33" t="s">
        <v>9</v>
      </c>
      <c r="C11" s="366">
        <f>[3]Brewhouse!$A391</f>
        <v>0</v>
      </c>
      <c r="D11" s="279">
        <f>[3]Brewhouse!$AB391</f>
        <v>0</v>
      </c>
      <c r="E11" s="279">
        <f>[3]Brewhouse!$AG391</f>
        <v>0</v>
      </c>
      <c r="F11" s="278">
        <f>[3]Brewhouse!$V391</f>
        <v>0</v>
      </c>
      <c r="G11" s="279">
        <f>[3]Brewhouse!$AE391</f>
        <v>0</v>
      </c>
      <c r="H11" s="396"/>
      <c r="I11" s="368">
        <f>[3]Brewhouse!$AS391</f>
        <v>0</v>
      </c>
      <c r="J11" s="368">
        <f>[3]Brewhouse!$AT391</f>
        <v>0</v>
      </c>
      <c r="K11" s="281">
        <f>[3]Brewhouse!$Q391</f>
        <v>0</v>
      </c>
      <c r="L11" s="276">
        <f>[3]Brewhouse!$P391</f>
        <v>0</v>
      </c>
      <c r="M11" s="374">
        <f>[3]Brewhouse!$U391-[3]Brewhouse!$T391</f>
        <v>0</v>
      </c>
      <c r="N11" s="370">
        <f>[3]Brewhouse!$AW391</f>
        <v>0</v>
      </c>
      <c r="O11" s="419">
        <f>[3]Brewhouse!$AV391</f>
        <v>0</v>
      </c>
      <c r="P11" s="417"/>
      <c r="R11" s="277" t="str">
        <f t="shared" si="0"/>
        <v>STAG</v>
      </c>
      <c r="S11" s="471">
        <f t="shared" si="1"/>
        <v>11.6</v>
      </c>
      <c r="T11" s="471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1">
        <f t="shared" si="8"/>
        <v>60</v>
      </c>
    </row>
    <row r="12" spans="2:29" ht="15" customHeight="1">
      <c r="B12" s="33" t="s">
        <v>9</v>
      </c>
      <c r="C12" s="366">
        <f>[3]Brewhouse!$A392</f>
        <v>0</v>
      </c>
      <c r="D12" s="279">
        <f>[3]Brewhouse!$AB392</f>
        <v>0</v>
      </c>
      <c r="E12" s="279">
        <f>[3]Brewhouse!$AG392</f>
        <v>0</v>
      </c>
      <c r="F12" s="278">
        <f>[3]Brewhouse!$V392</f>
        <v>0</v>
      </c>
      <c r="G12" s="279">
        <f>[3]Brewhouse!$AE392</f>
        <v>0</v>
      </c>
      <c r="H12" s="396"/>
      <c r="I12" s="368">
        <f>[3]Brewhouse!$AS392</f>
        <v>0</v>
      </c>
      <c r="J12" s="368">
        <f>[3]Brewhouse!$AT392</f>
        <v>0</v>
      </c>
      <c r="K12" s="281">
        <f>[3]Brewhouse!$Q392</f>
        <v>0</v>
      </c>
      <c r="L12" s="276">
        <f>[3]Brewhouse!$P392</f>
        <v>0</v>
      </c>
      <c r="M12" s="374">
        <f>[3]Brewhouse!$U392-[3]Brewhouse!$T392</f>
        <v>0</v>
      </c>
      <c r="N12" s="370">
        <f>[3]Brewhouse!$AW392</f>
        <v>0</v>
      </c>
      <c r="O12" s="419">
        <f>[3]Brewhouse!$AV392</f>
        <v>0</v>
      </c>
      <c r="P12" s="417"/>
      <c r="R12" s="277" t="str">
        <f t="shared" si="0"/>
        <v>STAG</v>
      </c>
      <c r="S12" s="471">
        <f t="shared" si="1"/>
        <v>11.6</v>
      </c>
      <c r="T12" s="471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1">
        <f t="shared" si="8"/>
        <v>60</v>
      </c>
    </row>
    <row r="13" spans="2:29" ht="15" customHeight="1">
      <c r="B13" s="33" t="s">
        <v>9</v>
      </c>
      <c r="C13" s="366">
        <f>[3]Brewhouse!$A393</f>
        <v>0</v>
      </c>
      <c r="D13" s="279">
        <f>[3]Brewhouse!$AB393</f>
        <v>0</v>
      </c>
      <c r="E13" s="279">
        <f>[3]Brewhouse!$AG393</f>
        <v>0</v>
      </c>
      <c r="F13" s="278">
        <f>[3]Brewhouse!$V393</f>
        <v>0</v>
      </c>
      <c r="G13" s="279">
        <f>[3]Brewhouse!$AE393</f>
        <v>0</v>
      </c>
      <c r="H13" s="396"/>
      <c r="I13" s="368">
        <f>[3]Brewhouse!$AS393</f>
        <v>0</v>
      </c>
      <c r="J13" s="368">
        <f>[3]Brewhouse!$AT393</f>
        <v>0</v>
      </c>
      <c r="K13" s="281">
        <f>[3]Brewhouse!$Q393</f>
        <v>0</v>
      </c>
      <c r="L13" s="276">
        <f>[3]Brewhouse!$P393</f>
        <v>0</v>
      </c>
      <c r="M13" s="374">
        <f>[3]Brewhouse!$U393-[3]Brewhouse!$T393</f>
        <v>0</v>
      </c>
      <c r="N13" s="370">
        <f>[3]Brewhouse!$AW393</f>
        <v>0</v>
      </c>
      <c r="O13" s="419">
        <f>[3]Brewhouse!$AV393</f>
        <v>0</v>
      </c>
      <c r="P13" s="417"/>
      <c r="R13" s="277" t="str">
        <f t="shared" si="0"/>
        <v>STAG</v>
      </c>
      <c r="S13" s="471">
        <f t="shared" si="1"/>
        <v>11.6</v>
      </c>
      <c r="T13" s="471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1">
        <f t="shared" si="8"/>
        <v>60</v>
      </c>
    </row>
    <row r="14" spans="2:29" ht="15" customHeight="1">
      <c r="B14" s="33" t="s">
        <v>9</v>
      </c>
      <c r="C14" s="366">
        <f>[3]Brewhouse!$A394</f>
        <v>0</v>
      </c>
      <c r="D14" s="279">
        <f>[3]Brewhouse!$AB394</f>
        <v>0</v>
      </c>
      <c r="E14" s="279">
        <f>[3]Brewhouse!$AG394</f>
        <v>0</v>
      </c>
      <c r="F14" s="278">
        <f>[3]Brewhouse!$V394</f>
        <v>0</v>
      </c>
      <c r="G14" s="279">
        <f>[3]Brewhouse!$AE394</f>
        <v>0</v>
      </c>
      <c r="H14" s="396"/>
      <c r="I14" s="368">
        <f>[3]Brewhouse!$AS394</f>
        <v>0</v>
      </c>
      <c r="J14" s="368">
        <f>[3]Brewhouse!$AT394</f>
        <v>0</v>
      </c>
      <c r="K14" s="281">
        <f>[3]Brewhouse!$Q394</f>
        <v>0</v>
      </c>
      <c r="L14" s="276">
        <f>[3]Brewhouse!$P394</f>
        <v>0</v>
      </c>
      <c r="M14" s="374">
        <f>[3]Brewhouse!$U394-[3]Brewhouse!$T394</f>
        <v>0</v>
      </c>
      <c r="N14" s="370">
        <f>[3]Brewhouse!$AW394</f>
        <v>0</v>
      </c>
      <c r="O14" s="419">
        <f>[3]Brewhouse!$AV394</f>
        <v>0</v>
      </c>
      <c r="P14" s="417"/>
      <c r="R14" s="277" t="str">
        <f t="shared" si="0"/>
        <v>STAG</v>
      </c>
      <c r="S14" s="471">
        <f t="shared" si="1"/>
        <v>11.6</v>
      </c>
      <c r="T14" s="471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1">
        <f t="shared" si="8"/>
        <v>60</v>
      </c>
    </row>
    <row r="15" spans="2:29" ht="15" customHeight="1">
      <c r="B15" s="33" t="s">
        <v>9</v>
      </c>
      <c r="C15" s="366">
        <f>[3]Brewhouse!$A395</f>
        <v>0</v>
      </c>
      <c r="D15" s="279">
        <f>[3]Brewhouse!$AB395</f>
        <v>0</v>
      </c>
      <c r="E15" s="279">
        <f>[3]Brewhouse!$AG395</f>
        <v>0</v>
      </c>
      <c r="F15" s="278">
        <f>[3]Brewhouse!$V395</f>
        <v>0</v>
      </c>
      <c r="G15" s="279">
        <f>[3]Brewhouse!$AE395</f>
        <v>0</v>
      </c>
      <c r="H15" s="396"/>
      <c r="I15" s="368">
        <f>[3]Brewhouse!$AS395</f>
        <v>0</v>
      </c>
      <c r="J15" s="368">
        <f>[3]Brewhouse!$AT395</f>
        <v>0</v>
      </c>
      <c r="K15" s="281">
        <f>[3]Brewhouse!$Q395</f>
        <v>0</v>
      </c>
      <c r="L15" s="276">
        <f>[3]Brewhouse!$P395</f>
        <v>0</v>
      </c>
      <c r="M15" s="374">
        <f>[3]Brewhouse!$U395-[3]Brewhouse!$T395</f>
        <v>0</v>
      </c>
      <c r="N15" s="370">
        <f>[3]Brewhouse!$AW395</f>
        <v>0</v>
      </c>
      <c r="O15" s="419">
        <f>[3]Brewhouse!$AV395</f>
        <v>0</v>
      </c>
      <c r="P15" s="417"/>
      <c r="R15" s="277" t="str">
        <f t="shared" si="0"/>
        <v>STAG</v>
      </c>
      <c r="S15" s="471">
        <f t="shared" si="1"/>
        <v>11.6</v>
      </c>
      <c r="T15" s="471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1">
        <f t="shared" si="8"/>
        <v>60</v>
      </c>
    </row>
    <row r="16" spans="2:29" ht="15" customHeight="1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419"/>
      <c r="P16" s="417"/>
      <c r="R16" s="277">
        <f t="shared" si="0"/>
        <v>0</v>
      </c>
      <c r="S16" s="471" t="e">
        <f t="shared" si="1"/>
        <v>#N/A</v>
      </c>
      <c r="T16" s="471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1" t="e">
        <f t="shared" si="8"/>
        <v>#N/A</v>
      </c>
    </row>
    <row r="17" spans="1:26" ht="1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419"/>
      <c r="P17" s="417"/>
      <c r="R17" s="277">
        <f t="shared" si="0"/>
        <v>0</v>
      </c>
      <c r="S17" s="471" t="e">
        <f t="shared" si="1"/>
        <v>#N/A</v>
      </c>
      <c r="T17" s="471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1" t="e">
        <f t="shared" si="8"/>
        <v>#N/A</v>
      </c>
    </row>
    <row r="18" spans="1:26" ht="1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419"/>
      <c r="P18" s="417"/>
      <c r="R18" s="277">
        <f t="shared" si="0"/>
        <v>0</v>
      </c>
      <c r="S18" s="471" t="e">
        <f t="shared" si="1"/>
        <v>#N/A</v>
      </c>
      <c r="T18" s="471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1" t="e">
        <f t="shared" si="8"/>
        <v>#N/A</v>
      </c>
    </row>
    <row r="19" spans="1:26" ht="1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419"/>
      <c r="P19" s="417"/>
      <c r="R19" s="277">
        <f t="shared" si="0"/>
        <v>0</v>
      </c>
      <c r="S19" s="471" t="e">
        <f t="shared" si="1"/>
        <v>#N/A</v>
      </c>
      <c r="T19" s="471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1" t="e">
        <f t="shared" si="8"/>
        <v>#N/A</v>
      </c>
    </row>
    <row r="20" spans="1:26" ht="1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419"/>
      <c r="P20" s="417"/>
      <c r="R20" s="277">
        <f t="shared" si="0"/>
        <v>0</v>
      </c>
      <c r="S20" s="471" t="e">
        <f t="shared" si="1"/>
        <v>#N/A</v>
      </c>
      <c r="T20" s="471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1" t="e">
        <f t="shared" si="8"/>
        <v>#N/A</v>
      </c>
    </row>
    <row r="21" spans="1:26" ht="15" hidden="1" customHeight="1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419"/>
      <c r="P21" s="417"/>
      <c r="R21" s="277">
        <f t="shared" si="0"/>
        <v>0</v>
      </c>
      <c r="S21" s="471" t="e">
        <f t="shared" si="1"/>
        <v>#N/A</v>
      </c>
      <c r="T21" s="471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1" t="e">
        <f t="shared" si="8"/>
        <v>#N/A</v>
      </c>
    </row>
    <row r="22" spans="1:26" ht="15" hidden="1" customHeight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419"/>
      <c r="P22" s="417"/>
      <c r="R22" s="277">
        <f t="shared" si="0"/>
        <v>0</v>
      </c>
      <c r="S22" s="471" t="e">
        <f t="shared" si="1"/>
        <v>#N/A</v>
      </c>
      <c r="T22" s="471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1" t="e">
        <f t="shared" si="8"/>
        <v>#N/A</v>
      </c>
    </row>
    <row r="23" spans="1:26" ht="1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419"/>
      <c r="P23" s="417"/>
      <c r="R23" s="277">
        <f t="shared" si="0"/>
        <v>0</v>
      </c>
      <c r="S23" s="471" t="e">
        <f t="shared" si="1"/>
        <v>#N/A</v>
      </c>
      <c r="T23" s="471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1" t="e">
        <f t="shared" si="8"/>
        <v>#N/A</v>
      </c>
    </row>
    <row r="24" spans="1:26" ht="15" hidden="1" customHeight="1">
      <c r="B24" s="36"/>
      <c r="C24" s="366"/>
      <c r="D24" s="279"/>
      <c r="E24" s="279"/>
      <c r="F24" s="278"/>
      <c r="G24" s="279"/>
      <c r="H24" s="396"/>
      <c r="I24" s="487"/>
      <c r="J24" s="487"/>
      <c r="K24" s="488"/>
      <c r="L24" s="276"/>
      <c r="M24" s="374"/>
      <c r="N24" s="370"/>
      <c r="O24" s="419"/>
      <c r="P24" s="417"/>
      <c r="R24" s="277">
        <f t="shared" si="0"/>
        <v>0</v>
      </c>
      <c r="S24" s="471" t="e">
        <f t="shared" si="1"/>
        <v>#N/A</v>
      </c>
      <c r="T24" s="471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1" t="e">
        <f t="shared" si="8"/>
        <v>#N/A</v>
      </c>
    </row>
    <row r="25" spans="1:26" ht="17.25" customHeight="1" thickBot="1">
      <c r="B25" s="358"/>
      <c r="C25" s="358"/>
      <c r="D25" s="358"/>
      <c r="E25" s="358"/>
      <c r="F25" s="294"/>
      <c r="G25" s="294"/>
      <c r="H25" s="348"/>
      <c r="I25" s="509"/>
      <c r="J25" s="509"/>
      <c r="K25" s="509"/>
      <c r="L25" s="509"/>
      <c r="M25" s="509"/>
      <c r="N25" s="509"/>
      <c r="O25" s="1"/>
      <c r="P25" s="12"/>
      <c r="R25" s="277">
        <f t="shared" ref="R25:R27" si="9">B25</f>
        <v>0</v>
      </c>
      <c r="S25" s="471" t="e">
        <f t="shared" ref="S25:S38" si="10">VLOOKUP($B25,$R$3:$X$9,2,FALSE)</f>
        <v>#N/A</v>
      </c>
      <c r="T25" s="471" t="e">
        <f t="shared" ref="T25:T38" si="11">VLOOKUP($B25,$R$3:$X$9,3,FALSE)</f>
        <v>#N/A</v>
      </c>
      <c r="U25" s="297" t="e">
        <f t="shared" ref="U25:U38" si="12">VLOOKUP($B25,$R$3:$X$9,4,FALSE)</f>
        <v>#N/A</v>
      </c>
      <c r="V25" s="297" t="e">
        <f t="shared" ref="V25:V38" si="13">VLOOKUP($B25,$R$3:$X$9,5,FALSE)</f>
        <v>#N/A</v>
      </c>
      <c r="W25" s="297" t="e">
        <f t="shared" ref="W25:W38" si="14">VLOOKUP($B25,$R$3:$X$9,6,FALSE)</f>
        <v>#N/A</v>
      </c>
      <c r="X25" s="297" t="e">
        <f t="shared" ref="X25:X38" si="15">VLOOKUP($B25,$R$3:$X$9,7,FALSE)</f>
        <v>#N/A</v>
      </c>
      <c r="Y25" s="297" t="e">
        <f t="shared" ref="Y25:Y38" si="16">VLOOKUP($B25,$R$3:$Z$9,8,FALSE)</f>
        <v>#N/A</v>
      </c>
      <c r="Z25" s="471" t="e">
        <f t="shared" ref="Z25:Z38" si="17">VLOOKUP($B25,$R$3:$Z$9,9,FALSE)</f>
        <v>#N/A</v>
      </c>
    </row>
    <row r="26" spans="1:26" ht="17.25" customHeight="1" thickBot="1">
      <c r="B26" s="482" t="s">
        <v>162</v>
      </c>
      <c r="C26" s="388"/>
      <c r="D26" s="510" t="s">
        <v>35</v>
      </c>
      <c r="E26" s="511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1" t="e">
        <f t="shared" si="10"/>
        <v>#N/A</v>
      </c>
      <c r="T26" s="471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1" t="e">
        <f t="shared" si="17"/>
        <v>#N/A</v>
      </c>
    </row>
    <row r="27" spans="1:26" ht="17.25" customHeight="1">
      <c r="A27" s="28"/>
      <c r="B27" s="512"/>
      <c r="C27" s="483"/>
      <c r="D27" s="515"/>
      <c r="E27" s="516"/>
      <c r="F27" s="294"/>
      <c r="G27" s="294"/>
      <c r="H27" s="348"/>
      <c r="I27" s="29" t="s">
        <v>6</v>
      </c>
      <c r="J27" s="323"/>
      <c r="K27" s="284"/>
      <c r="L27" s="305"/>
      <c r="M27" s="305">
        <f>AVERAGE([4]Brewhouse!$AU$42:$AU$123,[4]Brewhouse!$AU$125:$AU$188,[4]Brewhouse!$AU$198:$AU$290,[4]Brewhouse!$AU$292:$AU$370,[4]Brewhouse!$AU$372:$AU$439,[4]Brewhouse!$AU$441:$AU$497,[4]Brewhouse!$AU$499:$AU$519,[4]Brewhouse!$AU$521:$AU$593,[4]Brewhouse!$AU$595:$AU$694,[4]Brewhouse!$AU$696:$AU$787)</f>
        <v>98.331389115882018</v>
      </c>
      <c r="N27" s="30">
        <v>98</v>
      </c>
      <c r="O27" s="11"/>
      <c r="P27" s="31"/>
      <c r="R27" s="277">
        <f t="shared" si="9"/>
        <v>0</v>
      </c>
      <c r="S27" s="471" t="e">
        <f t="shared" si="10"/>
        <v>#N/A</v>
      </c>
      <c r="T27" s="471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1" t="e">
        <f t="shared" si="17"/>
        <v>#N/A</v>
      </c>
    </row>
    <row r="28" spans="1:26" ht="15" customHeight="1">
      <c r="A28" s="28"/>
      <c r="B28" s="513"/>
      <c r="C28" s="362"/>
      <c r="D28" s="517"/>
      <c r="E28" s="518"/>
      <c r="F28" s="294"/>
      <c r="G28" s="294"/>
      <c r="H28" s="348"/>
      <c r="I28" s="33" t="s">
        <v>9</v>
      </c>
      <c r="J28" s="323"/>
      <c r="K28" s="284"/>
      <c r="L28" s="302"/>
      <c r="M28" s="302">
        <f>AVERAGE([3]Brewhouse!$AS$52:$AS$81,[3]Brewhouse!$AS$83:$AS$124,[3]Brewhouse!$AS$134:$AS$177,[3]Brewhouse!$AS$22:$AS$179,[3]Brewhouse!$AS$214:$AS$249,[3]Brewhouse!$AS$252:$AS$293,[3]Brewhouse!$AS$295:$AS$325,[3]Brewhouse!$AS$327:$AS$361,[3]Brewhouse!$AS$363:$AS$388)</f>
        <v>98.302657811571549</v>
      </c>
      <c r="N28" s="30">
        <v>98</v>
      </c>
      <c r="O28" s="11"/>
      <c r="P28" s="31"/>
      <c r="R28" s="277">
        <f t="shared" ref="R28:R38" si="18">B28</f>
        <v>0</v>
      </c>
      <c r="S28" s="471" t="e">
        <f t="shared" si="10"/>
        <v>#N/A</v>
      </c>
      <c r="T28" s="471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1" t="e">
        <f t="shared" si="17"/>
        <v>#N/A</v>
      </c>
    </row>
    <row r="29" spans="1:26" ht="14.65" customHeight="1">
      <c r="A29" s="28"/>
      <c r="B29" s="513"/>
      <c r="C29" s="362"/>
      <c r="D29" s="519"/>
      <c r="E29" s="520"/>
      <c r="F29" s="294"/>
      <c r="G29" s="294"/>
      <c r="H29" s="348"/>
      <c r="I29" s="34" t="s">
        <v>12</v>
      </c>
      <c r="J29" s="323"/>
      <c r="K29" s="284"/>
      <c r="L29" s="302"/>
      <c r="M29" s="302">
        <f>AVERAGE([5]Brewhouse!$AU$16:$AU$23,[5]Brewhouse!$AU$25:$AU$32,[5]Brewhouse!$AU$34:$AU$41,[5]Brewhouse!$AU$43:$AU$60,[5]Brewhouse!$AU$62:$AU$69,[5]Brewhouse!$AU$71:$AU$88,[5]Brewhouse!$AU$90:$AU$97,[5]Brewhouse!$AU$99:$AU$106)</f>
        <v>96.498355980821032</v>
      </c>
      <c r="N29" s="30">
        <v>98</v>
      </c>
      <c r="O29" s="11"/>
      <c r="P29" s="31"/>
      <c r="R29" s="277">
        <f t="shared" si="18"/>
        <v>0</v>
      </c>
      <c r="S29" s="471" t="e">
        <f t="shared" si="10"/>
        <v>#N/A</v>
      </c>
      <c r="T29" s="471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1" t="e">
        <f t="shared" si="17"/>
        <v>#N/A</v>
      </c>
    </row>
    <row r="30" spans="1:26" ht="14.65" customHeight="1">
      <c r="A30" s="28"/>
      <c r="B30" s="513"/>
      <c r="C30" s="362"/>
      <c r="D30" s="521"/>
      <c r="E30" s="518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AVERAGE([6]Brewhouse!$AV$23:$AV$34,[6]Brewhouse!$AV$36,[6]Brewhouse!$AV$38:$AV$52,[6]Brewhouse!$AV$54:$AV$60,[6]Brewhouse!$AV$62:$AV$69,[6]Brewhouse!$AV$71:$AV$78,[6]Brewhouse!$AV$80:$AV$87,[6]Brewhouse!$AV$89:$AV$96,[6]Brewhouse!$AV$98:$AV$105)</f>
        <v>97.559028309263738</v>
      </c>
      <c r="N30" s="30">
        <v>98</v>
      </c>
      <c r="O30" s="11"/>
      <c r="P30" s="31"/>
      <c r="R30" s="277">
        <f t="shared" si="18"/>
        <v>0</v>
      </c>
      <c r="S30" s="471" t="e">
        <f t="shared" si="10"/>
        <v>#N/A</v>
      </c>
      <c r="T30" s="471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1" t="e">
        <f t="shared" si="17"/>
        <v>#N/A</v>
      </c>
    </row>
    <row r="31" spans="1:26" ht="14.65" customHeight="1">
      <c r="A31" s="28"/>
      <c r="B31" s="513"/>
      <c r="C31" s="362"/>
      <c r="D31" s="519"/>
      <c r="E31" s="520"/>
      <c r="F31" s="294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18"/>
        <v>0</v>
      </c>
      <c r="S31" s="471" t="e">
        <f t="shared" si="10"/>
        <v>#N/A</v>
      </c>
      <c r="T31" s="471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1" t="e">
        <f t="shared" si="17"/>
        <v>#N/A</v>
      </c>
    </row>
    <row r="32" spans="1:26" ht="14.65" customHeight="1">
      <c r="A32" s="28"/>
      <c r="B32" s="513"/>
      <c r="C32" s="362"/>
      <c r="D32" s="521"/>
      <c r="E32" s="518"/>
      <c r="F32" s="416"/>
      <c r="G32" s="294"/>
      <c r="H32" s="348"/>
      <c r="I32" s="36" t="s">
        <v>15</v>
      </c>
      <c r="J32" s="323"/>
      <c r="K32" s="284"/>
      <c r="L32" s="302"/>
      <c r="M32" s="302">
        <f>AVERAGE([7]Brewhouse!$AT$4:$AT$11,[7]Brewhouse!$AT$13:$AT$16,[7]Brewhouse!$AT$18:$AT$30)</f>
        <v>93.22262799886262</v>
      </c>
      <c r="N32" s="30">
        <v>98</v>
      </c>
      <c r="O32" s="11"/>
      <c r="P32" s="31"/>
      <c r="R32" s="277">
        <f t="shared" si="18"/>
        <v>0</v>
      </c>
      <c r="S32" s="471" t="e">
        <f t="shared" si="10"/>
        <v>#N/A</v>
      </c>
      <c r="T32" s="471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1" t="e">
        <f t="shared" si="17"/>
        <v>#N/A</v>
      </c>
    </row>
    <row r="33" spans="1:56" ht="14.65" customHeight="1">
      <c r="A33" s="28"/>
      <c r="B33" s="513"/>
      <c r="C33" s="362"/>
      <c r="D33" s="519"/>
      <c r="E33" s="520"/>
      <c r="F33" s="416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AVERAGE([8]Brewhouse!$AY$5:$AY$14,[8]Brewhouse!$AY$16:$AY$23,[8]Brewhouse!$AY$42,[8]Brewhouse!$AY$44:$AY$51,[8]Brewhouse!$AY$53:$AY$64,[8]Brewhouse!$AY$66:$AY$73,[8]Brewhouse!$AY$75:$AY$82,[8]Brewhouse!$AY$84:$AY$101,[8]Brewhouse!$AY$103:$AY$110)</f>
        <v>97.776555859703805</v>
      </c>
      <c r="N33" s="30">
        <v>98</v>
      </c>
      <c r="O33" s="11"/>
      <c r="P33" s="31" t="s">
        <v>41</v>
      </c>
      <c r="R33" s="277">
        <f t="shared" si="18"/>
        <v>0</v>
      </c>
      <c r="S33" s="471" t="e">
        <f t="shared" si="10"/>
        <v>#N/A</v>
      </c>
      <c r="T33" s="471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1" t="e">
        <f t="shared" si="17"/>
        <v>#N/A</v>
      </c>
    </row>
    <row r="34" spans="1:56" ht="14.65" customHeight="1">
      <c r="A34" s="28"/>
      <c r="B34" s="513"/>
      <c r="C34" s="362"/>
      <c r="D34" s="521"/>
      <c r="E34" s="518"/>
      <c r="F34" s="294"/>
      <c r="G34" s="294"/>
      <c r="H34" s="348"/>
      <c r="I34" s="410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8"/>
        <v>0</v>
      </c>
      <c r="S34" s="471" t="e">
        <f t="shared" si="10"/>
        <v>#N/A</v>
      </c>
      <c r="T34" s="471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1" t="e">
        <f t="shared" si="17"/>
        <v>#N/A</v>
      </c>
    </row>
    <row r="35" spans="1:56" ht="14.65" customHeight="1">
      <c r="A35" s="28"/>
      <c r="B35" s="513"/>
      <c r="C35" s="362"/>
      <c r="D35" s="519"/>
      <c r="E35" s="520"/>
      <c r="F35" s="294"/>
      <c r="G35" s="294"/>
      <c r="H35" s="348"/>
      <c r="I35" s="409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18"/>
        <v>0</v>
      </c>
      <c r="S35" s="471" t="e">
        <f t="shared" si="10"/>
        <v>#N/A</v>
      </c>
      <c r="T35" s="471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1" t="e">
        <f t="shared" si="17"/>
        <v>#N/A</v>
      </c>
      <c r="AA35" s="471"/>
    </row>
    <row r="36" spans="1:56" ht="15" customHeight="1" thickBot="1">
      <c r="A36" s="28"/>
      <c r="B36" s="513"/>
      <c r="C36" s="362"/>
      <c r="D36" s="521"/>
      <c r="E36" s="518"/>
      <c r="F36" s="294"/>
      <c r="G36" s="294"/>
      <c r="H36" s="348"/>
      <c r="I36" s="405" t="s">
        <v>156</v>
      </c>
      <c r="J36" s="327"/>
      <c r="K36" s="406"/>
      <c r="L36" s="407"/>
      <c r="M36" s="407"/>
      <c r="N36" s="408">
        <v>98</v>
      </c>
      <c r="O36" s="11"/>
      <c r="P36" s="31"/>
      <c r="R36" s="277">
        <f t="shared" si="18"/>
        <v>0</v>
      </c>
      <c r="S36" s="471" t="e">
        <f t="shared" si="10"/>
        <v>#N/A</v>
      </c>
      <c r="T36" s="471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1" t="e">
        <f t="shared" si="17"/>
        <v>#N/A</v>
      </c>
      <c r="AA36" s="471"/>
    </row>
    <row r="37" spans="1:56" ht="15" customHeight="1" thickBot="1">
      <c r="A37" s="28"/>
      <c r="B37" s="513"/>
      <c r="C37" s="349"/>
      <c r="D37" s="515"/>
      <c r="E37" s="516"/>
      <c r="F37" s="294"/>
      <c r="G37" s="294"/>
      <c r="H37" s="348"/>
      <c r="I37" s="1"/>
      <c r="J37" s="39"/>
      <c r="K37" s="403">
        <f>SUM(K27:K36)</f>
        <v>0</v>
      </c>
      <c r="L37" s="404" t="e">
        <f>((L27*K27)+(L28*K28)+(L29*K29)+(L30*K30)+(L31*K31)+(K34*L34)+(L32*K32)+(L33*K33)+(L36*K36))/(K37)</f>
        <v>#DIV/0!</v>
      </c>
      <c r="M37" s="404" t="e">
        <f>AVERAGE('[9]Jan30th-31st'!$L$42,'[10]Feb 27th-28th'!$L$45,'[11]Mar 31st'!$L$42,'[12]Apr 30th'!$L$41,'[13]May 29th '!$L$35,'[14]June 30th'!$L$32,[15]July31st!$L$36,'[16]Aug 31st'!$L$32,L37)</f>
        <v>#DIV/0!</v>
      </c>
      <c r="N37" s="40">
        <v>98</v>
      </c>
      <c r="O37" s="11"/>
      <c r="P37" s="31"/>
      <c r="R37" s="277">
        <f t="shared" si="18"/>
        <v>0</v>
      </c>
      <c r="S37" s="471" t="e">
        <f t="shared" si="10"/>
        <v>#N/A</v>
      </c>
      <c r="T37" s="471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1" t="e">
        <f t="shared" si="17"/>
        <v>#N/A</v>
      </c>
      <c r="AA37" s="471"/>
    </row>
    <row r="38" spans="1:56" ht="15.75" thickBot="1">
      <c r="B38" s="514"/>
      <c r="C38" s="350"/>
      <c r="D38" s="517"/>
      <c r="E38" s="518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18"/>
        <v>0</v>
      </c>
      <c r="S38" s="471" t="e">
        <f t="shared" si="10"/>
        <v>#N/A</v>
      </c>
      <c r="T38" s="471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1" t="e">
        <f t="shared" si="17"/>
        <v>#N/A</v>
      </c>
      <c r="AA38" s="471"/>
    </row>
    <row r="39" spans="1:56" ht="15.75" thickBot="1">
      <c r="B39" s="522"/>
      <c r="C39" s="362"/>
      <c r="D39" s="515"/>
      <c r="E39" s="516"/>
      <c r="F39" s="294"/>
      <c r="G39" s="42"/>
      <c r="H39" s="41"/>
      <c r="I39" s="42"/>
      <c r="J39" s="525" t="s">
        <v>129</v>
      </c>
      <c r="K39" s="525"/>
      <c r="L39" s="294"/>
      <c r="M39" s="294"/>
      <c r="N39" s="294"/>
      <c r="O39" s="294"/>
      <c r="P39" s="12"/>
    </row>
    <row r="40" spans="1:56" ht="15.75" thickBot="1">
      <c r="B40" s="523"/>
      <c r="C40" s="362"/>
      <c r="D40" s="517"/>
      <c r="E40" s="518"/>
      <c r="F40" s="294"/>
      <c r="G40" s="42"/>
      <c r="H40" s="42"/>
      <c r="I40" s="42"/>
      <c r="J40" s="292" t="s">
        <v>17</v>
      </c>
      <c r="K40" s="293"/>
      <c r="L40" s="526" t="s">
        <v>136</v>
      </c>
      <c r="M40" s="526"/>
      <c r="N40" s="527"/>
      <c r="O40" s="294"/>
      <c r="P40" s="12"/>
    </row>
    <row r="41" spans="1:56" ht="15" customHeight="1" thickBot="1">
      <c r="B41" s="523"/>
      <c r="C41" s="349"/>
      <c r="D41" s="519"/>
      <c r="E41" s="520"/>
      <c r="F41" s="294"/>
      <c r="G41" s="42"/>
      <c r="H41" s="42"/>
      <c r="I41" s="42"/>
      <c r="J41" s="287" t="s">
        <v>6</v>
      </c>
      <c r="K41" s="324"/>
      <c r="L41" s="472" t="s">
        <v>37</v>
      </c>
      <c r="M41" s="473" t="s">
        <v>38</v>
      </c>
      <c r="N41" s="473" t="s">
        <v>84</v>
      </c>
      <c r="O41" s="294"/>
      <c r="P41" s="12"/>
    </row>
    <row r="42" spans="1:56" ht="15.75" customHeight="1" thickBot="1">
      <c r="B42" s="523"/>
      <c r="C42" s="349"/>
      <c r="D42" s="521"/>
      <c r="E42" s="518"/>
      <c r="F42" s="294"/>
      <c r="G42" s="42"/>
      <c r="H42" s="42"/>
      <c r="I42" s="42"/>
      <c r="J42" s="345" t="s">
        <v>9</v>
      </c>
      <c r="K42" s="324"/>
      <c r="L42" s="484">
        <f>AVERAGE(K51)</f>
        <v>0</v>
      </c>
      <c r="M42" s="485">
        <f>AVERAGE('[9]Jan30th-31st'!$L$47,L42,'[10]Feb 26th '!$L$39,'[11]Mar 31st'!$L$47,'[12]Apr 30th'!$L$46,'[13]May 29th '!$L$40,'[14]June 30th'!$L$39,[15]July31st!$L$41,'[16]Aug 31st'!$L$37,'[46]Sept 30th'!$L$37)</f>
        <v>5.8735341470124078</v>
      </c>
      <c r="N42" s="415">
        <v>9.1999999999999993</v>
      </c>
      <c r="O42" s="294"/>
      <c r="P42" s="12"/>
    </row>
    <row r="43" spans="1:56" ht="15" customHeight="1">
      <c r="B43" s="523"/>
      <c r="C43" s="349"/>
      <c r="D43" s="519"/>
      <c r="E43" s="520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3"/>
      <c r="C44" s="349"/>
      <c r="D44" s="521"/>
      <c r="E44" s="518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3"/>
      <c r="C45" s="349"/>
      <c r="D45" s="519"/>
      <c r="E45" s="520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3"/>
      <c r="C46" s="349"/>
      <c r="D46" s="521"/>
      <c r="E46" s="518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3"/>
      <c r="C47" s="349"/>
      <c r="D47" s="519"/>
      <c r="E47" s="520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4"/>
      <c r="C48" s="350"/>
      <c r="D48" s="528"/>
      <c r="E48" s="529"/>
      <c r="F48" s="294" t="s">
        <v>165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2:57" ht="17.649999999999999" customHeight="1" thickBot="1">
      <c r="B49" s="312" t="s">
        <v>139</v>
      </c>
      <c r="C49" s="313"/>
      <c r="D49" s="530"/>
      <c r="E49" s="531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0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42"/>
      <c r="N52" s="315"/>
      <c r="P52" s="334"/>
    </row>
    <row r="53" spans="2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2:57" ht="15" customHeight="1" thickBot="1">
      <c r="B54" s="532" t="s">
        <v>17</v>
      </c>
      <c r="C54" s="532" t="s">
        <v>44</v>
      </c>
      <c r="D54" s="535" t="s">
        <v>45</v>
      </c>
      <c r="E54" s="500" t="s">
        <v>46</v>
      </c>
      <c r="F54" s="549" t="s">
        <v>47</v>
      </c>
      <c r="G54" s="544" t="s">
        <v>48</v>
      </c>
      <c r="H54" s="532" t="s">
        <v>49</v>
      </c>
      <c r="I54" s="532" t="s">
        <v>50</v>
      </c>
      <c r="J54" s="538" t="s">
        <v>28</v>
      </c>
      <c r="K54" s="498" t="s">
        <v>51</v>
      </c>
      <c r="L54" s="547" t="s">
        <v>52</v>
      </c>
      <c r="M54" s="538" t="s">
        <v>53</v>
      </c>
      <c r="N54" s="13"/>
      <c r="O54" s="13"/>
      <c r="P54" s="50"/>
    </row>
    <row r="55" spans="2:57" ht="28.5" customHeight="1" thickTop="1" thickBot="1">
      <c r="B55" s="533"/>
      <c r="C55" s="534"/>
      <c r="D55" s="536"/>
      <c r="E55" s="537"/>
      <c r="F55" s="550"/>
      <c r="G55" s="545"/>
      <c r="H55" s="533"/>
      <c r="I55" s="533"/>
      <c r="J55" s="539"/>
      <c r="K55" s="546"/>
      <c r="L55" s="548"/>
      <c r="M55" s="539"/>
      <c r="N55" s="13"/>
      <c r="O55" s="13"/>
      <c r="P55" s="50"/>
      <c r="Q55" s="355"/>
      <c r="AB55" s="474">
        <v>43474</v>
      </c>
      <c r="AC55" s="474">
        <v>43475</v>
      </c>
      <c r="AD55" s="474">
        <v>43476</v>
      </c>
      <c r="AE55" s="474">
        <v>43477</v>
      </c>
      <c r="AF55" s="474">
        <v>43478</v>
      </c>
      <c r="AG55" s="474">
        <v>43479</v>
      </c>
      <c r="AH55" s="474">
        <v>43480</v>
      </c>
      <c r="AI55" s="474">
        <v>43481</v>
      </c>
      <c r="AJ55" s="474">
        <v>43482</v>
      </c>
      <c r="AK55" s="474">
        <v>43483</v>
      </c>
      <c r="AL55" s="474">
        <v>43484</v>
      </c>
      <c r="AM55" s="474">
        <v>43485</v>
      </c>
      <c r="AN55" s="474">
        <v>43486</v>
      </c>
      <c r="AO55" s="474">
        <v>43487</v>
      </c>
      <c r="AP55" s="474">
        <v>43488</v>
      </c>
      <c r="AQ55" s="474">
        <v>43489</v>
      </c>
      <c r="AR55" s="474">
        <v>43490</v>
      </c>
      <c r="AS55" s="474">
        <v>43491</v>
      </c>
      <c r="AT55" s="474">
        <v>43492</v>
      </c>
      <c r="AU55" s="474">
        <v>43493</v>
      </c>
      <c r="AV55" s="474">
        <v>43494</v>
      </c>
      <c r="AW55" s="474">
        <v>43495</v>
      </c>
      <c r="AX55" s="474">
        <v>43496</v>
      </c>
    </row>
    <row r="56" spans="2:57" s="54" customFormat="1" ht="36.75" customHeight="1" thickBot="1">
      <c r="B56" s="490"/>
      <c r="C56" s="478"/>
      <c r="D56" s="444"/>
      <c r="E56" s="442"/>
      <c r="F56" s="443"/>
      <c r="G56" s="443"/>
      <c r="H56" s="457"/>
      <c r="I56" s="457"/>
      <c r="J56" s="447" t="s">
        <v>171</v>
      </c>
      <c r="K56" s="448"/>
      <c r="L56" s="456" t="e">
        <f>(((D56+E56)-G56)/(D56+E56))*100</f>
        <v>#DIV/0!</v>
      </c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[19]January_2019!L5</f>
        <v>0</v>
      </c>
      <c r="AC56" s="57">
        <f>[19]January_2019!M5</f>
        <v>0</v>
      </c>
      <c r="AD56" s="57">
        <f>[19]January_2019!N5</f>
        <v>0</v>
      </c>
      <c r="AE56" s="57">
        <f>[19]January_2019!O5</f>
        <v>0</v>
      </c>
      <c r="AF56" s="57">
        <f>[19]January_2019!P5</f>
        <v>0</v>
      </c>
      <c r="AG56" s="57">
        <f>[19]January_2019!Q5</f>
        <v>0</v>
      </c>
      <c r="AH56" s="57">
        <f>[19]January_2019!R5</f>
        <v>0</v>
      </c>
      <c r="AI56" s="57">
        <f>[19]January_2019!S5</f>
        <v>0</v>
      </c>
      <c r="AJ56" s="57">
        <f>[19]January_2019!T5</f>
        <v>0</v>
      </c>
      <c r="AK56" s="57">
        <f>[19]January_2019!U5</f>
        <v>0</v>
      </c>
      <c r="AL56" s="57">
        <f>[19]January_2019!V5</f>
        <v>0</v>
      </c>
      <c r="AM56" s="57">
        <f>[19]January_2019!W5</f>
        <v>0</v>
      </c>
      <c r="AN56" s="57">
        <f>[19]January_2019!X5</f>
        <v>0</v>
      </c>
      <c r="AO56" s="57">
        <f>[19]January_2019!Y5</f>
        <v>0</v>
      </c>
      <c r="AP56" s="57">
        <f>[19]January_2019!Z5</f>
        <v>0</v>
      </c>
      <c r="AQ56" s="57">
        <f>[19]January_2019!AA5</f>
        <v>0</v>
      </c>
      <c r="AR56" s="57">
        <f>[19]January_2019!AB5</f>
        <v>0</v>
      </c>
      <c r="AS56" s="57">
        <f>[19]January_2019!AC5</f>
        <v>0</v>
      </c>
      <c r="AT56" s="57">
        <f>[19]January_2019!AD5</f>
        <v>0</v>
      </c>
      <c r="AU56" s="57">
        <f>[19]January_2019!AE5</f>
        <v>0</v>
      </c>
      <c r="AV56" s="57">
        <f>[19]January_2019!AF5</f>
        <v>0</v>
      </c>
      <c r="AW56" s="57">
        <f>[19]January_2019!AG5</f>
        <v>0</v>
      </c>
      <c r="AX56" s="277">
        <f>[19]January_2019!AH5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4.25" hidden="1" customHeight="1" thickBot="1">
      <c r="B57" s="479"/>
      <c r="C57" s="478"/>
      <c r="D57" s="441"/>
      <c r="E57" s="442"/>
      <c r="F57" s="443"/>
      <c r="G57" s="444"/>
      <c r="H57" s="457"/>
      <c r="I57" s="457"/>
      <c r="J57" s="475"/>
      <c r="K57" s="448"/>
      <c r="L57" s="456"/>
      <c r="M57" s="454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[19]January_2019!L6</f>
        <v>0</v>
      </c>
      <c r="AC57" s="57">
        <f>[19]January_2019!M6</f>
        <v>0</v>
      </c>
      <c r="AD57" s="57">
        <f>[19]January_2019!N6</f>
        <v>0</v>
      </c>
      <c r="AE57" s="57">
        <f>[19]January_2019!O6</f>
        <v>0</v>
      </c>
      <c r="AF57" s="57">
        <f>[19]January_2019!P6</f>
        <v>0</v>
      </c>
      <c r="AG57" s="57">
        <f>[19]January_2019!Q6</f>
        <v>0</v>
      </c>
      <c r="AH57" s="57">
        <f>[19]January_2019!R6</f>
        <v>0</v>
      </c>
      <c r="AI57" s="57">
        <f>[19]January_2019!S6</f>
        <v>0</v>
      </c>
      <c r="AJ57" s="57">
        <f>[19]January_2019!T6</f>
        <v>0</v>
      </c>
      <c r="AK57" s="57">
        <f>[19]January_2019!U6</f>
        <v>0</v>
      </c>
      <c r="AL57" s="57">
        <f>[19]January_2019!V6</f>
        <v>0</v>
      </c>
      <c r="AM57" s="57">
        <f>[19]January_2019!W6</f>
        <v>0</v>
      </c>
      <c r="AN57" s="57">
        <f>[19]January_2019!X6</f>
        <v>0</v>
      </c>
      <c r="AO57" s="57">
        <f>[19]January_2019!Y6</f>
        <v>0</v>
      </c>
      <c r="AP57" s="57">
        <f>[19]January_2019!Z6</f>
        <v>0</v>
      </c>
      <c r="AQ57" s="57">
        <f>[19]January_2019!AA6</f>
        <v>0</v>
      </c>
      <c r="AR57" s="57">
        <f>[19]January_2019!AB6</f>
        <v>0</v>
      </c>
      <c r="AS57" s="57">
        <f>[19]January_2019!AC6</f>
        <v>0</v>
      </c>
      <c r="AT57" s="57">
        <f>[19]January_2019!AD6</f>
        <v>0</v>
      </c>
      <c r="AU57" s="57">
        <f>[19]January_2019!AE6</f>
        <v>0</v>
      </c>
      <c r="AV57" s="57">
        <f>[19]January_2019!AF6</f>
        <v>0</v>
      </c>
      <c r="AW57" s="57">
        <f>[19]January_2019!AG6</f>
        <v>0</v>
      </c>
      <c r="AX57" s="277">
        <f>[19]January_2019!AH6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89" t="str">
        <f>J42</f>
        <v>STAG</v>
      </c>
      <c r="C58" s="478">
        <v>46287</v>
      </c>
      <c r="D58" s="441">
        <f>[17]September_2026!$Y$13</f>
        <v>190.70000000000002</v>
      </c>
      <c r="E58" s="442"/>
      <c r="F58" s="443"/>
      <c r="G58" s="443">
        <f>[17]September_2026!$Y$17</f>
        <v>184.3</v>
      </c>
      <c r="H58" s="445"/>
      <c r="I58" s="445"/>
      <c r="J58" s="447" t="s">
        <v>169</v>
      </c>
      <c r="K58" s="448">
        <f>[18]September_2026!$Y$25</f>
        <v>0.64666666666666672</v>
      </c>
      <c r="L58" s="456">
        <f>(((D58+E58)-G58)/(D58+E58))*100</f>
        <v>3.3560566334556925</v>
      </c>
      <c r="M58" s="454" t="s">
        <v>170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[19]January_2019!L7</f>
        <v>285.8</v>
      </c>
      <c r="AC58" s="57">
        <f>[19]January_2019!M7</f>
        <v>508.1</v>
      </c>
      <c r="AD58" s="57">
        <f>[19]January_2019!N7</f>
        <v>0</v>
      </c>
      <c r="AE58" s="57">
        <f>[19]January_2019!O7</f>
        <v>0</v>
      </c>
      <c r="AF58" s="57">
        <f>[19]January_2019!P7</f>
        <v>109.56666666666666</v>
      </c>
      <c r="AG58" s="57">
        <f>[19]January_2019!Q7</f>
        <v>297.64999999999998</v>
      </c>
      <c r="AH58" s="57">
        <f>[19]January_2019!R7</f>
        <v>122.3</v>
      </c>
      <c r="AI58" s="57">
        <f>[19]January_2019!S7</f>
        <v>0</v>
      </c>
      <c r="AJ58" s="57">
        <f>[19]January_2019!T7</f>
        <v>294.7</v>
      </c>
      <c r="AK58" s="57">
        <f>[19]January_2019!U7</f>
        <v>280.5</v>
      </c>
      <c r="AL58" s="57">
        <f>[19]January_2019!V7</f>
        <v>0</v>
      </c>
      <c r="AM58" s="57">
        <f>[19]January_2019!W7</f>
        <v>0</v>
      </c>
      <c r="AN58" s="57">
        <f>[19]January_2019!X7</f>
        <v>188.25</v>
      </c>
      <c r="AO58" s="57">
        <f>[19]January_2019!Y7</f>
        <v>295.7</v>
      </c>
      <c r="AP58" s="57">
        <f>[19]January_2019!Z7</f>
        <v>257.8</v>
      </c>
      <c r="AQ58" s="57">
        <f>[19]January_2019!AA7</f>
        <v>291.2</v>
      </c>
      <c r="AR58" s="57">
        <f>[19]January_2019!AB7</f>
        <v>187</v>
      </c>
      <c r="AS58" s="57">
        <f>[19]January_2019!AC7</f>
        <v>0</v>
      </c>
      <c r="AT58" s="57">
        <f>[19]January_2019!AD7</f>
        <v>0</v>
      </c>
      <c r="AU58" s="57">
        <f>[19]January_2019!AE7</f>
        <v>485.1</v>
      </c>
      <c r="AV58" s="57">
        <f>[19]January_2019!AF7</f>
        <v>171.55</v>
      </c>
      <c r="AW58" s="57">
        <f>[19]January_2019!AG7</f>
        <v>423.8</v>
      </c>
      <c r="AX58" s="277">
        <f>[19]January_2019!AH7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8.600000000000001" hidden="1" customHeight="1" thickBot="1">
      <c r="B59" s="477"/>
      <c r="C59" s="429"/>
      <c r="D59" s="430"/>
      <c r="E59" s="431"/>
      <c r="F59" s="432"/>
      <c r="G59" s="433"/>
      <c r="H59" s="457"/>
      <c r="I59" s="457"/>
      <c r="J59" s="450"/>
      <c r="K59" s="435"/>
      <c r="L59" s="451"/>
      <c r="M59" s="420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38.65" hidden="1" customHeight="1" thickBot="1">
      <c r="B60" s="486"/>
      <c r="C60" s="478"/>
      <c r="D60" s="441"/>
      <c r="E60" s="442"/>
      <c r="F60" s="443"/>
      <c r="G60" s="444"/>
      <c r="H60" s="457"/>
      <c r="I60" s="457"/>
      <c r="J60" s="447"/>
      <c r="K60" s="458"/>
      <c r="L60" s="456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15" hidden="1">
      <c r="B61" s="452"/>
      <c r="C61" s="429"/>
      <c r="D61" s="430"/>
      <c r="E61" s="431"/>
      <c r="F61" s="432"/>
      <c r="G61" s="433"/>
      <c r="H61" s="434"/>
      <c r="I61" s="449"/>
      <c r="J61" s="450"/>
      <c r="K61" s="435"/>
      <c r="L61" s="451"/>
      <c r="M61" s="42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hidden="1" customHeight="1" thickBot="1">
      <c r="B62" s="480"/>
      <c r="C62" s="478"/>
      <c r="D62" s="441"/>
      <c r="E62" s="442"/>
      <c r="F62" s="443"/>
      <c r="G62" s="444"/>
      <c r="H62" s="445"/>
      <c r="I62" s="446"/>
      <c r="J62" s="447"/>
      <c r="K62" s="448"/>
      <c r="L62" s="456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s="54" customFormat="1" ht="16.5" hidden="1" customHeight="1" thickBot="1">
      <c r="B63" s="436"/>
      <c r="C63" s="422"/>
      <c r="D63" s="423"/>
      <c r="E63" s="424"/>
      <c r="F63" s="425"/>
      <c r="G63" s="426"/>
      <c r="H63" s="427"/>
      <c r="I63" s="437"/>
      <c r="J63" s="438"/>
      <c r="K63" s="428"/>
      <c r="L63" s="439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4"/>
      <c r="AC63" s="414"/>
      <c r="AD63" s="414"/>
      <c r="AE63" s="414"/>
      <c r="AF63" s="414"/>
      <c r="AG63" s="414"/>
      <c r="AH63" s="414"/>
      <c r="AI63" s="414"/>
      <c r="AJ63" s="414"/>
      <c r="AK63" s="414"/>
      <c r="AL63" s="414"/>
      <c r="AM63" s="414"/>
      <c r="AN63" s="414"/>
      <c r="AO63" s="414"/>
      <c r="AP63" s="414"/>
      <c r="AQ63" s="414"/>
      <c r="AR63" s="414"/>
      <c r="AS63" s="414"/>
      <c r="AT63" s="414"/>
      <c r="AU63" s="414"/>
      <c r="AV63" s="414"/>
      <c r="AW63" s="414"/>
    </row>
    <row r="64" spans="2:57" s="54" customFormat="1" ht="37.15" hidden="1" customHeight="1" thickBot="1">
      <c r="B64" s="455"/>
      <c r="C64" s="440"/>
      <c r="D64" s="441"/>
      <c r="E64" s="442"/>
      <c r="F64" s="443"/>
      <c r="G64" s="444"/>
      <c r="H64" s="445"/>
      <c r="I64" s="446"/>
      <c r="J64" s="447"/>
      <c r="K64" s="448"/>
      <c r="L64" s="456"/>
      <c r="M64" s="453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5"/>
      <c r="C65" s="429"/>
      <c r="D65" s="459"/>
      <c r="E65" s="460"/>
      <c r="F65" s="461"/>
      <c r="G65" s="459"/>
      <c r="H65" s="462"/>
      <c r="I65" s="462"/>
      <c r="J65" s="462"/>
      <c r="K65" s="463"/>
      <c r="L65" s="464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40" t="s">
        <v>55</v>
      </c>
      <c r="C67" s="541"/>
      <c r="D67" s="541"/>
      <c r="E67" s="541"/>
      <c r="F67" s="542"/>
      <c r="G67" s="540" t="s">
        <v>56</v>
      </c>
      <c r="H67" s="541"/>
      <c r="I67" s="541"/>
      <c r="J67" s="542"/>
      <c r="K67" s="540" t="s">
        <v>51</v>
      </c>
      <c r="L67" s="541"/>
      <c r="M67" s="541"/>
      <c r="N67" s="543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65"/>
      <c r="D69" s="76">
        <v>6.5070971580288672</v>
      </c>
      <c r="E69" s="76">
        <v>6.5170500907693674</v>
      </c>
      <c r="F69" s="66">
        <v>4.8</v>
      </c>
      <c r="G69" s="65"/>
      <c r="H69" s="476">
        <v>5.679232155505189</v>
      </c>
      <c r="I69" s="476">
        <v>6.5257109935981328</v>
      </c>
      <c r="J69" s="66">
        <v>4.8</v>
      </c>
      <c r="K69" s="67"/>
      <c r="L69" s="194">
        <v>0.63326855600539822</v>
      </c>
      <c r="M69" s="194">
        <v>0.53908627189124969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6.720758239391091</v>
      </c>
      <c r="E70" s="76">
        <v>5.8780358526209691</v>
      </c>
      <c r="F70" s="66">
        <v>4.8</v>
      </c>
      <c r="G70" s="65"/>
      <c r="H70" s="76">
        <v>5.7002127582026105</v>
      </c>
      <c r="I70" s="76">
        <v>5.9275658832823668</v>
      </c>
      <c r="J70" s="66">
        <v>4.8</v>
      </c>
      <c r="K70" s="67"/>
      <c r="L70" s="194">
        <v>0.55393918128654984</v>
      </c>
      <c r="M70" s="194">
        <v>0.6824652535868081</v>
      </c>
      <c r="N70" s="68">
        <v>1</v>
      </c>
      <c r="P70" s="69"/>
    </row>
    <row r="71" spans="2:57" ht="15">
      <c r="B71" s="34" t="s">
        <v>40</v>
      </c>
      <c r="C71" s="65"/>
      <c r="D71" s="76">
        <v>9.7338366703301844</v>
      </c>
      <c r="E71" s="76">
        <v>11.107064244881148</v>
      </c>
      <c r="F71" s="66">
        <v>5.5</v>
      </c>
      <c r="G71" s="65"/>
      <c r="H71" s="76">
        <v>11.452550281375911</v>
      </c>
      <c r="I71" s="76">
        <v>11.819732298933111</v>
      </c>
      <c r="J71" s="66">
        <v>5.5</v>
      </c>
      <c r="K71" s="67"/>
      <c r="L71" s="194"/>
      <c r="M71" s="194">
        <v>0.35370190356844494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4.8685538193023836</v>
      </c>
      <c r="F72" s="66">
        <v>3.3</v>
      </c>
      <c r="G72" s="65"/>
      <c r="H72" s="76"/>
      <c r="I72" s="76">
        <v>4.8702525342252114</v>
      </c>
      <c r="J72" s="66">
        <v>3.3</v>
      </c>
      <c r="K72" s="67"/>
      <c r="L72" s="194"/>
      <c r="M72" s="194">
        <v>0.77919298245614044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6.8855672629257718</v>
      </c>
      <c r="E74" s="76">
        <v>6.3233965672990236</v>
      </c>
      <c r="F74" s="70">
        <v>5.5</v>
      </c>
      <c r="G74" s="65"/>
      <c r="H74" s="76">
        <v>7.4264332958762713</v>
      </c>
      <c r="I74" s="76">
        <v>7.9667553186446929</v>
      </c>
      <c r="J74" s="66">
        <v>5.5</v>
      </c>
      <c r="K74" s="67"/>
      <c r="L74" s="194">
        <v>0.391812865497076</v>
      </c>
      <c r="M74" s="194">
        <v>0.5883625730994152</v>
      </c>
      <c r="N74" s="68">
        <v>1</v>
      </c>
      <c r="P74" s="69"/>
    </row>
    <row r="75" spans="2:57" ht="15">
      <c r="B75" s="37" t="s">
        <v>16</v>
      </c>
      <c r="C75" s="481"/>
      <c r="D75" s="76">
        <v>5.2023121387283027</v>
      </c>
      <c r="E75" s="76">
        <v>3.7763966125104478</v>
      </c>
      <c r="F75" s="66">
        <v>3.3</v>
      </c>
      <c r="G75" s="282"/>
      <c r="H75" s="76">
        <v>6.2321620883347197</v>
      </c>
      <c r="I75" s="76">
        <v>5.1096183510504902</v>
      </c>
      <c r="J75" s="66">
        <v>3.3</v>
      </c>
      <c r="K75" s="67"/>
      <c r="L75" s="194">
        <v>0.46035087719298251</v>
      </c>
      <c r="M75" s="194">
        <v>0.89057130004498408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3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6.6836994828523233</v>
      </c>
      <c r="E78" s="76">
        <v>6.3693119640806097</v>
      </c>
      <c r="F78" s="341">
        <v>5.5</v>
      </c>
      <c r="H78" s="76">
        <v>6.3202689998755295</v>
      </c>
      <c r="I78" s="76">
        <v>6.6537418159931665</v>
      </c>
      <c r="J78" s="341">
        <v>5.5</v>
      </c>
      <c r="L78" s="194">
        <v>0.57445348219032433</v>
      </c>
      <c r="M78" s="194">
        <v>0.59559710956710543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191" priority="117" operator="notBetween">
      <formula>#REF!</formula>
      <formula>#REF!</formula>
    </cfRule>
  </conditionalFormatting>
  <conditionalFormatting sqref="C53">
    <cfRule type="cellIs" dxfId="190" priority="199" stopIfTrue="1" operator="lessThan">
      <formula>96</formula>
    </cfRule>
    <cfRule type="cellIs" dxfId="189" priority="200" stopIfTrue="1" operator="greaterThan">
      <formula>100</formula>
    </cfRule>
  </conditionalFormatting>
  <conditionalFormatting sqref="C69:C70">
    <cfRule type="cellIs" dxfId="188" priority="80" stopIfTrue="1" operator="greaterThan">
      <formula>$F69</formula>
    </cfRule>
    <cfRule type="cellIs" dxfId="187" priority="81" stopIfTrue="1" operator="lessThanOrEqual">
      <formula>0</formula>
    </cfRule>
    <cfRule type="cellIs" dxfId="186" priority="82" stopIfTrue="1" operator="greaterThan">
      <formula>$F69</formula>
    </cfRule>
    <cfRule type="cellIs" dxfId="185" priority="83" stopIfTrue="1" operator="lessThanOrEqual">
      <formula>0</formula>
    </cfRule>
  </conditionalFormatting>
  <conditionalFormatting sqref="C71:C73 C75:C77">
    <cfRule type="cellIs" dxfId="184" priority="89" stopIfTrue="1" operator="greaterThan">
      <formula>$F74</formula>
    </cfRule>
  </conditionalFormatting>
  <conditionalFormatting sqref="C71:C73">
    <cfRule type="cellIs" dxfId="183" priority="90" stopIfTrue="1" operator="lessThanOrEqual">
      <formula>0</formula>
    </cfRule>
  </conditionalFormatting>
  <conditionalFormatting sqref="C74">
    <cfRule type="cellIs" dxfId="182" priority="201" stopIfTrue="1" operator="greaterThan">
      <formula>$F69</formula>
    </cfRule>
    <cfRule type="cellIs" dxfId="181" priority="202" stopIfTrue="1" operator="lessThanOrEqual">
      <formula>0</formula>
    </cfRule>
    <cfRule type="cellIs" dxfId="180" priority="203" stopIfTrue="1" operator="greaterThan">
      <formula>$F69</formula>
    </cfRule>
    <cfRule type="cellIs" dxfId="179" priority="204" stopIfTrue="1" operator="lessThanOrEqual">
      <formula>0</formula>
    </cfRule>
  </conditionalFormatting>
  <conditionalFormatting sqref="C75:C77">
    <cfRule type="cellIs" dxfId="178" priority="91" stopIfTrue="1" operator="lessThanOrEqual">
      <formula>0</formula>
    </cfRule>
  </conditionalFormatting>
  <conditionalFormatting sqref="C80:C84">
    <cfRule type="cellIs" dxfId="177" priority="191" stopIfTrue="1" operator="lessThanOrEqual">
      <formula>0</formula>
    </cfRule>
  </conditionalFormatting>
  <conditionalFormatting sqref="C81:C84">
    <cfRule type="cellIs" dxfId="176" priority="190" stopIfTrue="1" operator="greaterThan">
      <formula>$F$80</formula>
    </cfRule>
  </conditionalFormatting>
  <conditionalFormatting sqref="C86">
    <cfRule type="cellIs" dxfId="175" priority="192" stopIfTrue="1" operator="greaterThan">
      <formula>$F$80</formula>
    </cfRule>
    <cfRule type="cellIs" dxfId="174" priority="193" stopIfTrue="1" operator="lessThanOrEqual">
      <formula>0</formula>
    </cfRule>
  </conditionalFormatting>
  <conditionalFormatting sqref="C74:D74">
    <cfRule type="cellIs" dxfId="173" priority="78" stopIfTrue="1" operator="greaterThan">
      <formula>$J74</formula>
    </cfRule>
    <cfRule type="cellIs" dxfId="172" priority="79" stopIfTrue="1" operator="lessThanOrEqual">
      <formula>0</formula>
    </cfRule>
  </conditionalFormatting>
  <conditionalFormatting sqref="C80:D80 D82:D88">
    <cfRule type="cellIs" dxfId="171" priority="185" stopIfTrue="1" operator="greaterThan">
      <formula>4.5</formula>
    </cfRule>
  </conditionalFormatting>
  <conditionalFormatting sqref="D49:D50">
    <cfRule type="cellIs" dxfId="170" priority="118" operator="notBetween">
      <formula>#REF!</formula>
      <formula>#REF!</formula>
    </cfRule>
  </conditionalFormatting>
  <conditionalFormatting sqref="D69:D73 D75:D76">
    <cfRule type="cellIs" dxfId="169" priority="88" stopIfTrue="1" operator="lessThanOrEqual">
      <formula>0</formula>
    </cfRule>
  </conditionalFormatting>
  <conditionalFormatting sqref="D69:D73 D75:D78">
    <cfRule type="cellIs" dxfId="168" priority="84" stopIfTrue="1" operator="lessThanOrEqual">
      <formula>0</formula>
    </cfRule>
    <cfRule type="cellIs" dxfId="167" priority="85" stopIfTrue="1" operator="greaterThan">
      <formula>$F69</formula>
    </cfRule>
  </conditionalFormatting>
  <conditionalFormatting sqref="D77:D78">
    <cfRule type="cellIs" dxfId="166" priority="86" stopIfTrue="1" operator="lessThanOrEqual">
      <formula>0</formula>
    </cfRule>
  </conditionalFormatting>
  <conditionalFormatting sqref="D78">
    <cfRule type="cellIs" dxfId="165" priority="87" stopIfTrue="1" operator="lessThanOrEqual">
      <formula>0</formula>
    </cfRule>
  </conditionalFormatting>
  <conditionalFormatting sqref="D80 D82:D88">
    <cfRule type="cellIs" dxfId="164" priority="186" stopIfTrue="1" operator="lessThanOrEqual">
      <formula>0</formula>
    </cfRule>
  </conditionalFormatting>
  <conditionalFormatting sqref="D81">
    <cfRule type="cellIs" dxfId="163" priority="177" stopIfTrue="1" operator="greaterThan">
      <formula>$F$80</formula>
    </cfRule>
    <cfRule type="cellIs" dxfId="162" priority="178" stopIfTrue="1" operator="lessThanOrEqual">
      <formula>0</formula>
    </cfRule>
  </conditionalFormatting>
  <conditionalFormatting sqref="E10:E24">
    <cfRule type="cellIs" dxfId="161" priority="19" operator="lessThan">
      <formula>48</formula>
    </cfRule>
  </conditionalFormatting>
  <conditionalFormatting sqref="E52 E53:F53">
    <cfRule type="cellIs" dxfId="160" priority="182" stopIfTrue="1" operator="greaterThan">
      <formula>100</formula>
    </cfRule>
  </conditionalFormatting>
  <conditionalFormatting sqref="E53">
    <cfRule type="cellIs" dxfId="159" priority="179" stopIfTrue="1" operator="lessThan">
      <formula>96.8</formula>
    </cfRule>
    <cfRule type="cellIs" dxfId="158" priority="180" stopIfTrue="1" operator="greaterThan">
      <formula>100</formula>
    </cfRule>
  </conditionalFormatting>
  <conditionalFormatting sqref="E69:E77">
    <cfRule type="cellIs" dxfId="157" priority="51" stopIfTrue="1" operator="lessThanOrEqual">
      <formula>0</formula>
    </cfRule>
  </conditionalFormatting>
  <conditionalFormatting sqref="E69:E78">
    <cfRule type="cellIs" dxfId="156" priority="52" stopIfTrue="1" operator="greaterThan">
      <formula>$F69</formula>
    </cfRule>
    <cfRule type="cellIs" dxfId="155" priority="53" stopIfTrue="1" operator="lessThanOrEqual">
      <formula>0</formula>
    </cfRule>
  </conditionalFormatting>
  <conditionalFormatting sqref="E78">
    <cfRule type="cellIs" dxfId="154" priority="54" stopIfTrue="1" operator="lessThanOrEqual">
      <formula>0</formula>
    </cfRule>
  </conditionalFormatting>
  <conditionalFormatting sqref="E80:E88">
    <cfRule type="cellIs" dxfId="153" priority="171" stopIfTrue="1" operator="greaterThan">
      <formula>4.5</formula>
    </cfRule>
    <cfRule type="cellIs" dxfId="152" priority="172" stopIfTrue="1" operator="lessThanOrEqual">
      <formula>0</formula>
    </cfRule>
  </conditionalFormatting>
  <conditionalFormatting sqref="E53:F53 E52">
    <cfRule type="cellIs" dxfId="151" priority="181" stopIfTrue="1" operator="lessThan">
      <formula>96.5</formula>
    </cfRule>
  </conditionalFormatting>
  <conditionalFormatting sqref="F10:F24">
    <cfRule type="cellIs" dxfId="150" priority="23" operator="greaterThan">
      <formula>60</formula>
    </cfRule>
  </conditionalFormatting>
  <conditionalFormatting sqref="F53">
    <cfRule type="cellIs" dxfId="149" priority="197" stopIfTrue="1" operator="lessThan">
      <formula>96.8</formula>
    </cfRule>
    <cfRule type="cellIs" dxfId="148" priority="198" stopIfTrue="1" operator="greaterThan">
      <formula>100</formula>
    </cfRule>
  </conditionalFormatting>
  <conditionalFormatting sqref="G24">
    <cfRule type="expression" dxfId="147" priority="25">
      <formula>IF(+(IF(G24&lt;S24,0,IF(G24&gt;T24,0,1)))=0,1)</formula>
    </cfRule>
  </conditionalFormatting>
  <conditionalFormatting sqref="G69:G72 F78">
    <cfRule type="cellIs" dxfId="146" priority="60" stopIfTrue="1" operator="greaterThan">
      <formula>$F69</formula>
    </cfRule>
    <cfRule type="cellIs" dxfId="145" priority="61" stopIfTrue="1" operator="lessThanOrEqual">
      <formula>0</formula>
    </cfRule>
  </conditionalFormatting>
  <conditionalFormatting sqref="G71:G72">
    <cfRule type="cellIs" dxfId="144" priority="46" stopIfTrue="1" operator="greaterThan">
      <formula>$F71</formula>
    </cfRule>
    <cfRule type="cellIs" dxfId="143" priority="47" stopIfTrue="1" operator="lessThanOrEqual">
      <formula>0</formula>
    </cfRule>
  </conditionalFormatting>
  <conditionalFormatting sqref="G73:G77">
    <cfRule type="cellIs" dxfId="142" priority="62" stopIfTrue="1" operator="greaterThan">
      <formula>$J73</formula>
    </cfRule>
    <cfRule type="cellIs" dxfId="141" priority="63" stopIfTrue="1" operator="lessThanOrEqual">
      <formula>0</formula>
    </cfRule>
  </conditionalFormatting>
  <conditionalFormatting sqref="G74">
    <cfRule type="cellIs" dxfId="140" priority="205" stopIfTrue="1" operator="greaterThan">
      <formula>$F69</formula>
    </cfRule>
    <cfRule type="cellIs" dxfId="139" priority="206" stopIfTrue="1" operator="lessThanOrEqual">
      <formula>0</formula>
    </cfRule>
  </conditionalFormatting>
  <conditionalFormatting sqref="G82:G87 C85 C87">
    <cfRule type="cellIs" dxfId="138" priority="194" stopIfTrue="1" operator="greaterThan">
      <formula>4.5</formula>
    </cfRule>
    <cfRule type="cellIs" dxfId="137" priority="195" stopIfTrue="1" operator="lessThanOrEqual">
      <formula>0</formula>
    </cfRule>
  </conditionalFormatting>
  <conditionalFormatting sqref="G81:H81">
    <cfRule type="cellIs" dxfId="136" priority="175" stopIfTrue="1" operator="greaterThan">
      <formula>$F$80</formula>
    </cfRule>
    <cfRule type="cellIs" dxfId="135" priority="176" stopIfTrue="1" operator="lessThanOrEqual">
      <formula>0</formula>
    </cfRule>
  </conditionalFormatting>
  <conditionalFormatting sqref="H10:H24 M10:N23">
    <cfRule type="expression" dxfId="134" priority="20">
      <formula>IF(+(IF(H10&lt;#REF!,0,IF(H10&gt;#REF!,0,1)))=0,1)</formula>
    </cfRule>
  </conditionalFormatting>
  <conditionalFormatting sqref="H38:H39 H52">
    <cfRule type="cellIs" dxfId="133" priority="173" stopIfTrue="1" operator="greaterThan">
      <formula>0</formula>
    </cfRule>
  </conditionalFormatting>
  <conditionalFormatting sqref="H56">
    <cfRule type="cellIs" dxfId="132" priority="65" stopIfTrue="1" operator="lessThanOrEqual">
      <formula>0</formula>
    </cfRule>
    <cfRule type="cellIs" dxfId="131" priority="66" stopIfTrue="1" operator="greaterThan">
      <formula>$F$69</formula>
    </cfRule>
    <cfRule type="cellIs" dxfId="130" priority="74" stopIfTrue="1" operator="greaterThan">
      <formula>$F$72</formula>
    </cfRule>
    <cfRule type="cellIs" dxfId="129" priority="75" stopIfTrue="1" operator="lessThanOrEqual">
      <formula>0</formula>
    </cfRule>
    <cfRule type="cellIs" dxfId="128" priority="76" stopIfTrue="1" operator="greaterThan">
      <formula>$F$70</formula>
    </cfRule>
  </conditionalFormatting>
  <conditionalFormatting sqref="H56:H57">
    <cfRule type="cellIs" dxfId="127" priority="77" stopIfTrue="1" operator="lessThanOrEqual">
      <formula>0</formula>
    </cfRule>
  </conditionalFormatting>
  <conditionalFormatting sqref="H57 H59:H60">
    <cfRule type="cellIs" dxfId="126" priority="103" stopIfTrue="1" operator="lessThanOrEqual">
      <formula>0</formula>
    </cfRule>
  </conditionalFormatting>
  <conditionalFormatting sqref="H57">
    <cfRule type="cellIs" dxfId="125" priority="92" stopIfTrue="1" operator="greaterThan">
      <formula>$F$69</formula>
    </cfRule>
    <cfRule type="cellIs" dxfId="124" priority="100" stopIfTrue="1" operator="greaterThan">
      <formula>$F$72</formula>
    </cfRule>
    <cfRule type="cellIs" dxfId="123" priority="101" stopIfTrue="1" operator="lessThanOrEqual">
      <formula>0</formula>
    </cfRule>
    <cfRule type="cellIs" dxfId="122" priority="102" stopIfTrue="1" operator="greaterThan">
      <formula>$F$70</formula>
    </cfRule>
  </conditionalFormatting>
  <conditionalFormatting sqref="H58">
    <cfRule type="cellIs" dxfId="121" priority="32" stopIfTrue="1" operator="lessThanOrEqual">
      <formula>0</formula>
    </cfRule>
    <cfRule type="cellIs" dxfId="120" priority="33" stopIfTrue="1" operator="greaterThan">
      <formula>$F$71</formula>
    </cfRule>
    <cfRule type="cellIs" dxfId="119" priority="41" stopIfTrue="1" operator="greaterThan">
      <formula>$F$74</formula>
    </cfRule>
    <cfRule type="cellIs" dxfId="118" priority="42" stopIfTrue="1" operator="lessThanOrEqual">
      <formula>0</formula>
    </cfRule>
    <cfRule type="cellIs" dxfId="117" priority="43" stopIfTrue="1" operator="greaterThan">
      <formula>$F$72</formula>
    </cfRule>
    <cfRule type="cellIs" dxfId="116" priority="44" stopIfTrue="1" operator="lessThanOrEqual">
      <formula>0</formula>
    </cfRule>
  </conditionalFormatting>
  <conditionalFormatting sqref="H59:H60">
    <cfRule type="cellIs" dxfId="115" priority="105" stopIfTrue="1" operator="greaterThan">
      <formula>$F$69</formula>
    </cfRule>
    <cfRule type="cellIs" dxfId="114" priority="113" stopIfTrue="1" operator="greaterThan">
      <formula>$F$72</formula>
    </cfRule>
    <cfRule type="cellIs" dxfId="113" priority="114" stopIfTrue="1" operator="lessThanOrEqual">
      <formula>0</formula>
    </cfRule>
    <cfRule type="cellIs" dxfId="112" priority="115" stopIfTrue="1" operator="greaterThan">
      <formula>$F$70</formula>
    </cfRule>
    <cfRule type="cellIs" dxfId="111" priority="116" stopIfTrue="1" operator="lessThanOrEqual">
      <formula>0</formula>
    </cfRule>
  </conditionalFormatting>
  <conditionalFormatting sqref="H61:H62">
    <cfRule type="cellIs" dxfId="110" priority="140" stopIfTrue="1" operator="lessThanOrEqual">
      <formula>0</formula>
    </cfRule>
    <cfRule type="cellIs" dxfId="109" priority="141" stopIfTrue="1" operator="greaterThan">
      <formula>#REF!</formula>
    </cfRule>
    <cfRule type="cellIs" dxfId="108" priority="149" stopIfTrue="1" operator="greaterThan">
      <formula>#REF!</formula>
    </cfRule>
    <cfRule type="cellIs" dxfId="107" priority="150" stopIfTrue="1" operator="lessThanOrEqual">
      <formula>0</formula>
    </cfRule>
  </conditionalFormatting>
  <conditionalFormatting sqref="H63">
    <cfRule type="cellIs" dxfId="106" priority="152" stopIfTrue="1" operator="lessThanOrEqual">
      <formula>0</formula>
    </cfRule>
    <cfRule type="cellIs" dxfId="105" priority="153" stopIfTrue="1" operator="greaterThan">
      <formula>$F$37</formula>
    </cfRule>
    <cfRule type="cellIs" dxfId="104" priority="161" stopIfTrue="1" operator="greaterThan">
      <formula>$F$40</formula>
    </cfRule>
    <cfRule type="cellIs" dxfId="103" priority="162" stopIfTrue="1" operator="lessThanOrEqual">
      <formula>0</formula>
    </cfRule>
    <cfRule type="cellIs" dxfId="102" priority="163" stopIfTrue="1" operator="greaterThan">
      <formula>$F$38</formula>
    </cfRule>
    <cfRule type="cellIs" dxfId="101" priority="164" stopIfTrue="1" operator="lessThanOrEqual">
      <formula>0</formula>
    </cfRule>
  </conditionalFormatting>
  <conditionalFormatting sqref="H64:H65">
    <cfRule type="cellIs" dxfId="100" priority="128" stopIfTrue="1" operator="lessThanOrEqual">
      <formula>0</formula>
    </cfRule>
    <cfRule type="cellIs" dxfId="99" priority="129" stopIfTrue="1" operator="greaterThan">
      <formula>#REF!</formula>
    </cfRule>
    <cfRule type="cellIs" dxfId="98" priority="137" stopIfTrue="1" operator="greaterThan">
      <formula>#REF!</formula>
    </cfRule>
    <cfRule type="cellIs" dxfId="97" priority="138" stopIfTrue="1" operator="lessThanOrEqual">
      <formula>0</formula>
    </cfRule>
  </conditionalFormatting>
  <conditionalFormatting sqref="H80 H82:H88">
    <cfRule type="cellIs" dxfId="96" priority="187" stopIfTrue="1" operator="greaterThan">
      <formula>4.5</formula>
    </cfRule>
    <cfRule type="cellIs" dxfId="95" priority="188" stopIfTrue="1" operator="lessThanOrEqual">
      <formula>0</formula>
    </cfRule>
  </conditionalFormatting>
  <conditionalFormatting sqref="H56:I56">
    <cfRule type="cellIs" dxfId="94" priority="67" stopIfTrue="1" operator="lessThanOrEqual">
      <formula>0</formula>
    </cfRule>
  </conditionalFormatting>
  <conditionalFormatting sqref="H56:I57 H59:I60">
    <cfRule type="cellIs" dxfId="93" priority="64" stopIfTrue="1" operator="greaterThan">
      <formula>$F$71</formula>
    </cfRule>
  </conditionalFormatting>
  <conditionalFormatting sqref="H57:I57">
    <cfRule type="cellIs" dxfId="92" priority="93" stopIfTrue="1" operator="lessThanOrEqual">
      <formula>0</formula>
    </cfRule>
  </conditionalFormatting>
  <conditionalFormatting sqref="H58:I58">
    <cfRule type="cellIs" dxfId="91" priority="31" stopIfTrue="1" operator="greaterThan">
      <formula>$F$73</formula>
    </cfRule>
    <cfRule type="cellIs" dxfId="90" priority="34" stopIfTrue="1" operator="lessThanOrEqual">
      <formula>0</formula>
    </cfRule>
  </conditionalFormatting>
  <conditionalFormatting sqref="H59:I60">
    <cfRule type="cellIs" dxfId="89" priority="106" stopIfTrue="1" operator="lessThanOrEqual">
      <formula>0</formula>
    </cfRule>
  </conditionalFormatting>
  <conditionalFormatting sqref="H61:I62">
    <cfRule type="cellIs" dxfId="88" priority="139" stopIfTrue="1" operator="greaterThan">
      <formula>#REF!</formula>
    </cfRule>
    <cfRule type="cellIs" dxfId="87" priority="142" stopIfTrue="1" operator="lessThanOrEqual">
      <formula>0</formula>
    </cfRule>
    <cfRule type="cellIs" dxfId="86" priority="147" stopIfTrue="1" operator="greaterThan">
      <formula>#REF!</formula>
    </cfRule>
    <cfRule type="cellIs" dxfId="85" priority="148" stopIfTrue="1" operator="lessThanOrEqual">
      <formula>0</formula>
    </cfRule>
  </conditionalFormatting>
  <conditionalFormatting sqref="H63:I63">
    <cfRule type="cellIs" dxfId="84" priority="151" stopIfTrue="1" operator="greaterThan">
      <formula>$F$39</formula>
    </cfRule>
    <cfRule type="cellIs" dxfId="83" priority="154" stopIfTrue="1" operator="lessThanOrEqual">
      <formula>0</formula>
    </cfRule>
  </conditionalFormatting>
  <conditionalFormatting sqref="H64:I65">
    <cfRule type="cellIs" dxfId="82" priority="127" stopIfTrue="1" operator="greaterThan">
      <formula>#REF!</formula>
    </cfRule>
    <cfRule type="cellIs" dxfId="81" priority="130" stopIfTrue="1" operator="lessThanOrEqual">
      <formula>0</formula>
    </cfRule>
    <cfRule type="cellIs" dxfId="80" priority="135" stopIfTrue="1" operator="greaterThan">
      <formula>#REF!</formula>
    </cfRule>
    <cfRule type="cellIs" dxfId="79" priority="136" stopIfTrue="1" operator="lessThanOrEqual">
      <formula>0</formula>
    </cfRule>
  </conditionalFormatting>
  <conditionalFormatting sqref="H69:I76">
    <cfRule type="cellIs" dxfId="78" priority="49" stopIfTrue="1" operator="greaterThan">
      <formula>$J69</formula>
    </cfRule>
    <cfRule type="cellIs" dxfId="77" priority="50" stopIfTrue="1" operator="lessThanOrEqual">
      <formula>0</formula>
    </cfRule>
  </conditionalFormatting>
  <conditionalFormatting sqref="H77:I77">
    <cfRule type="cellIs" dxfId="76" priority="57" operator="greaterThan">
      <formula>5.3</formula>
    </cfRule>
  </conditionalFormatting>
  <conditionalFormatting sqref="H78:I78">
    <cfRule type="cellIs" dxfId="75" priority="55" stopIfTrue="1" operator="greaterThan">
      <formula>$J78</formula>
    </cfRule>
    <cfRule type="cellIs" dxfId="74" priority="56" stopIfTrue="1" operator="lessThanOrEqual">
      <formula>0</formula>
    </cfRule>
  </conditionalFormatting>
  <conditionalFormatting sqref="I56">
    <cfRule type="cellIs" dxfId="73" priority="68" stopIfTrue="1" operator="greaterThan">
      <formula>$F$69</formula>
    </cfRule>
    <cfRule type="cellIs" dxfId="72" priority="69" stopIfTrue="1" operator="lessThanOrEqual">
      <formula>0</formula>
    </cfRule>
    <cfRule type="cellIs" dxfId="71" priority="70" stopIfTrue="1" operator="greaterThan">
      <formula>$F$71</formula>
    </cfRule>
    <cfRule type="cellIs" dxfId="70" priority="71" stopIfTrue="1" operator="lessThanOrEqual">
      <formula>0</formula>
    </cfRule>
    <cfRule type="cellIs" dxfId="69" priority="72" stopIfTrue="1" operator="greaterThan">
      <formula>$F$69</formula>
    </cfRule>
    <cfRule type="cellIs" dxfId="68" priority="73" stopIfTrue="1" operator="lessThanOrEqual">
      <formula>0</formula>
    </cfRule>
  </conditionalFormatting>
  <conditionalFormatting sqref="I57">
    <cfRule type="cellIs" dxfId="67" priority="94" stopIfTrue="1" operator="greaterThan">
      <formula>$F$69</formula>
    </cfRule>
    <cfRule type="cellIs" dxfId="66" priority="95" stopIfTrue="1" operator="lessThanOrEqual">
      <formula>0</formula>
    </cfRule>
    <cfRule type="cellIs" dxfId="65" priority="96" stopIfTrue="1" operator="greaterThan">
      <formula>$F$71</formula>
    </cfRule>
    <cfRule type="cellIs" dxfId="64" priority="97" stopIfTrue="1" operator="lessThanOrEqual">
      <formula>0</formula>
    </cfRule>
    <cfRule type="cellIs" dxfId="63" priority="98" stopIfTrue="1" operator="greaterThan">
      <formula>$F$69</formula>
    </cfRule>
    <cfRule type="cellIs" dxfId="62" priority="99" stopIfTrue="1" operator="lessThanOrEqual">
      <formula>0</formula>
    </cfRule>
  </conditionalFormatting>
  <conditionalFormatting sqref="I58">
    <cfRule type="cellIs" dxfId="61" priority="35" stopIfTrue="1" operator="greaterThan">
      <formula>$F$71</formula>
    </cfRule>
    <cfRule type="cellIs" dxfId="60" priority="36" stopIfTrue="1" operator="lessThanOrEqual">
      <formula>0</formula>
    </cfRule>
    <cfRule type="cellIs" dxfId="59" priority="37" stopIfTrue="1" operator="greaterThan">
      <formula>$F$73</formula>
    </cfRule>
    <cfRule type="cellIs" dxfId="58" priority="38" stopIfTrue="1" operator="lessThanOrEqual">
      <formula>0</formula>
    </cfRule>
    <cfRule type="cellIs" dxfId="57" priority="39" stopIfTrue="1" operator="greaterThan">
      <formula>$F$71</formula>
    </cfRule>
    <cfRule type="cellIs" dxfId="56" priority="40" stopIfTrue="1" operator="lessThanOrEqual">
      <formula>0</formula>
    </cfRule>
  </conditionalFormatting>
  <conditionalFormatting sqref="I59:I60">
    <cfRule type="cellIs" dxfId="55" priority="107" stopIfTrue="1" operator="greaterThan">
      <formula>$F$69</formula>
    </cfRule>
    <cfRule type="cellIs" dxfId="54" priority="108" stopIfTrue="1" operator="lessThanOrEqual">
      <formula>0</formula>
    </cfRule>
    <cfRule type="cellIs" dxfId="53" priority="109" stopIfTrue="1" operator="greaterThan">
      <formula>$F$71</formula>
    </cfRule>
    <cfRule type="cellIs" dxfId="52" priority="110" stopIfTrue="1" operator="lessThanOrEqual">
      <formula>0</formula>
    </cfRule>
    <cfRule type="cellIs" dxfId="51" priority="111" stopIfTrue="1" operator="greaterThan">
      <formula>$F$69</formula>
    </cfRule>
    <cfRule type="cellIs" dxfId="50" priority="112" stopIfTrue="1" operator="lessThanOrEqual">
      <formula>0</formula>
    </cfRule>
  </conditionalFormatting>
  <conditionalFormatting sqref="I61:I62">
    <cfRule type="cellIs" dxfId="49" priority="143" stopIfTrue="1" operator="greaterThan">
      <formula>#REF!</formula>
    </cfRule>
    <cfRule type="cellIs" dxfId="48" priority="144" stopIfTrue="1" operator="lessThanOrEqual">
      <formula>0</formula>
    </cfRule>
    <cfRule type="cellIs" dxfId="47" priority="145" stopIfTrue="1" operator="greaterThan">
      <formula>#REF!</formula>
    </cfRule>
    <cfRule type="cellIs" dxfId="46" priority="146" stopIfTrue="1" operator="lessThanOrEqual">
      <formula>0</formula>
    </cfRule>
  </conditionalFormatting>
  <conditionalFormatting sqref="I63">
    <cfRule type="cellIs" dxfId="45" priority="155" stopIfTrue="1" operator="greaterThan">
      <formula>$F$37</formula>
    </cfRule>
    <cfRule type="cellIs" dxfId="44" priority="156" stopIfTrue="1" operator="lessThanOrEqual">
      <formula>0</formula>
    </cfRule>
    <cfRule type="cellIs" dxfId="43" priority="157" stopIfTrue="1" operator="greaterThan">
      <formula>$F$39</formula>
    </cfRule>
    <cfRule type="cellIs" dxfId="42" priority="158" stopIfTrue="1" operator="lessThanOrEqual">
      <formula>0</formula>
    </cfRule>
    <cfRule type="cellIs" dxfId="41" priority="159" stopIfTrue="1" operator="greaterThan">
      <formula>$F$37</formula>
    </cfRule>
    <cfRule type="cellIs" dxfId="40" priority="160" stopIfTrue="1" operator="lessThanOrEqual">
      <formula>0</formula>
    </cfRule>
  </conditionalFormatting>
  <conditionalFormatting sqref="I64:I65">
    <cfRule type="cellIs" dxfId="39" priority="131" stopIfTrue="1" operator="greaterThan">
      <formula>#REF!</formula>
    </cfRule>
    <cfRule type="cellIs" dxfId="38" priority="132" stopIfTrue="1" operator="lessThanOrEqual">
      <formula>0</formula>
    </cfRule>
    <cfRule type="cellIs" dxfId="37" priority="133" stopIfTrue="1" operator="greaterThan">
      <formula>#REF!</formula>
    </cfRule>
    <cfRule type="cellIs" dxfId="36" priority="134" stopIfTrue="1" operator="lessThanOrEqual">
      <formula>0</formula>
    </cfRule>
  </conditionalFormatting>
  <conditionalFormatting sqref="I80:I88">
    <cfRule type="cellIs" dxfId="35" priority="183" stopIfTrue="1" operator="greaterThan">
      <formula>4.5</formula>
    </cfRule>
    <cfRule type="cellIs" dxfId="34" priority="184" stopIfTrue="1" operator="lessThanOrEqual">
      <formula>0</formula>
    </cfRule>
  </conditionalFormatting>
  <conditionalFormatting sqref="I10:J24">
    <cfRule type="cellIs" dxfId="33" priority="13" operator="lessThan">
      <formula>97.9</formula>
    </cfRule>
  </conditionalFormatting>
  <conditionalFormatting sqref="J27:J29">
    <cfRule type="cellIs" dxfId="32" priority="30" operator="lessThan">
      <formula>97.95</formula>
    </cfRule>
  </conditionalFormatting>
  <conditionalFormatting sqref="J28:J31">
    <cfRule type="cellIs" dxfId="31" priority="165" operator="lessThan">
      <formula>97.4</formula>
    </cfRule>
  </conditionalFormatting>
  <conditionalFormatting sqref="J32:J33">
    <cfRule type="cellIs" dxfId="30" priority="166" operator="lessThan">
      <formula>98</formula>
    </cfRule>
  </conditionalFormatting>
  <conditionalFormatting sqref="J34:J35">
    <cfRule type="cellIs" dxfId="29" priority="167" stopIfTrue="1" operator="lessThan">
      <formula>96.8</formula>
    </cfRule>
    <cfRule type="cellIs" dxfId="28" priority="168" stopIfTrue="1" operator="greaterThan">
      <formula>100</formula>
    </cfRule>
  </conditionalFormatting>
  <conditionalFormatting sqref="J34:J36">
    <cfRule type="cellIs" dxfId="27" priority="169" operator="lessThan">
      <formula>98</formula>
    </cfRule>
  </conditionalFormatting>
  <conditionalFormatting sqref="J65">
    <cfRule type="cellIs" dxfId="26" priority="119" stopIfTrue="1" operator="greaterThan">
      <formula>#REF!</formula>
    </cfRule>
    <cfRule type="cellIs" dxfId="25" priority="120" stopIfTrue="1" operator="lessThanOrEqual">
      <formula>0</formula>
    </cfRule>
    <cfRule type="cellIs" dxfId="24" priority="121" stopIfTrue="1" operator="greaterThan">
      <formula>#REF!</formula>
    </cfRule>
    <cfRule type="cellIs" dxfId="23" priority="122" stopIfTrue="1" operator="lessThanOrEqual">
      <formula>0</formula>
    </cfRule>
    <cfRule type="cellIs" dxfId="22" priority="123" stopIfTrue="1" operator="greaterThan">
      <formula>#REF!</formula>
    </cfRule>
    <cfRule type="cellIs" dxfId="21" priority="124" stopIfTrue="1" operator="lessThanOrEqual">
      <formula>0</formula>
    </cfRule>
    <cfRule type="cellIs" dxfId="20" priority="125" stopIfTrue="1" operator="greaterThan">
      <formula>#REF!</formula>
    </cfRule>
    <cfRule type="cellIs" dxfId="19" priority="126" stopIfTrue="1" operator="lessThanOrEqual">
      <formula>0</formula>
    </cfRule>
  </conditionalFormatting>
  <conditionalFormatting sqref="J78">
    <cfRule type="cellIs" dxfId="18" priority="58" stopIfTrue="1" operator="greaterThan">
      <formula>$F78</formula>
    </cfRule>
    <cfRule type="cellIs" dxfId="17" priority="59" stopIfTrue="1" operator="lessThanOrEqual">
      <formula>0</formula>
    </cfRule>
  </conditionalFormatting>
  <conditionalFormatting sqref="K10:K24">
    <cfRule type="cellIs" dxfId="16" priority="14" operator="greaterThan">
      <formula>6</formula>
    </cfRule>
    <cfRule type="cellIs" dxfId="15" priority="15" operator="lessThan">
      <formula>4</formula>
    </cfRule>
    <cfRule type="cellIs" dxfId="14" priority="16" operator="greaterThan">
      <formula>6.4</formula>
    </cfRule>
  </conditionalFormatting>
  <conditionalFormatting sqref="K56:K65">
    <cfRule type="cellIs" dxfId="13" priority="104" stopIfTrue="1" operator="lessThan">
      <formula>100%</formula>
    </cfRule>
  </conditionalFormatting>
  <conditionalFormatting sqref="K69:K77">
    <cfRule type="cellIs" dxfId="12" priority="48" stopIfTrue="1" operator="lessThan">
      <formula>100%</formula>
    </cfRule>
  </conditionalFormatting>
  <conditionalFormatting sqref="K80:K85">
    <cfRule type="cellIs" dxfId="11" priority="189" stopIfTrue="1" operator="lessThan">
      <formula>100%</formula>
    </cfRule>
  </conditionalFormatting>
  <conditionalFormatting sqref="K87:K88">
    <cfRule type="cellIs" dxfId="10" priority="196" stopIfTrue="1" operator="lessThan">
      <formula>100%</formula>
    </cfRule>
  </conditionalFormatting>
  <conditionalFormatting sqref="L10:L24">
    <cfRule type="cellIs" dxfId="9" priority="17" operator="between">
      <formula>61</formula>
      <formula>65</formula>
    </cfRule>
    <cfRule type="cellIs" dxfId="8" priority="18" operator="greaterThan">
      <formula>65</formula>
    </cfRule>
  </conditionalFormatting>
  <conditionalFormatting sqref="L27:M38">
    <cfRule type="cellIs" dxfId="7" priority="29" operator="lessThan">
      <formula>97.95</formula>
    </cfRule>
  </conditionalFormatting>
  <conditionalFormatting sqref="L42:N42">
    <cfRule type="cellIs" dxfId="6" priority="27" operator="notEqual">
      <formula>#REF!</formula>
    </cfRule>
  </conditionalFormatting>
  <conditionalFormatting sqref="L69:N78">
    <cfRule type="cellIs" dxfId="5" priority="45" stopIfTrue="1" operator="lessThan">
      <formula>100%</formula>
    </cfRule>
  </conditionalFormatting>
  <conditionalFormatting sqref="L80:N88">
    <cfRule type="cellIs" dxfId="4" priority="174" stopIfTrue="1" operator="lessThan">
      <formula>100%</formula>
    </cfRule>
  </conditionalFormatting>
  <conditionalFormatting sqref="M24">
    <cfRule type="expression" dxfId="3" priority="24">
      <formula>IF(+(IF(M24&lt;U24,0,IF(M24&gt;V24,0,1)))=0,1)</formula>
    </cfRule>
  </conditionalFormatting>
  <conditionalFormatting sqref="G23">
    <cfRule type="expression" dxfId="2" priority="26">
      <formula>IF(+(IF(G23&lt;#REF!,0,IF(G23&gt;#REF!,0,1)))=0,1)</formula>
    </cfRule>
  </conditionalFormatting>
  <conditionalFormatting sqref="N10:N24">
    <cfRule type="expression" dxfId="1" priority="28">
      <formula>IF(+(IF(N10&lt;W10,0,IF(N10&gt;X10,0,1)))=0,1)</formula>
    </cfRule>
  </conditionalFormatting>
  <conditionalFormatting sqref="P6">
    <cfRule type="cellIs" dxfId="0" priority="170" operator="greaterThanOrEqual">
      <formula>19</formula>
    </cfRule>
  </conditionalFormatting>
  <dataValidations disablePrompts="1" count="1">
    <dataValidation type="list" allowBlank="1" showInputMessage="1" showErrorMessage="1" sqref="R8" xr:uid="{2D16EE64-042A-42B1-AB2D-EC5A5589427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4" workbookViewId="0">
      <selection activeCell="T74" sqref="T74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0" t="s">
        <v>58</v>
      </c>
      <c r="C2" s="610"/>
      <c r="D2" s="610"/>
      <c r="E2" s="610"/>
      <c r="F2" s="610"/>
      <c r="G2" s="610"/>
      <c r="H2" s="610"/>
      <c r="I2" s="610"/>
      <c r="J2" s="610"/>
      <c r="K2" s="610"/>
    </row>
    <row r="3" spans="2:14" ht="15.75" hidden="1" thickBot="1">
      <c r="B3" s="79"/>
    </row>
    <row r="4" spans="2:14" ht="13.5" hidden="1" thickBot="1">
      <c r="B4" s="78" t="s">
        <v>7</v>
      </c>
      <c r="C4" s="611">
        <v>41431</v>
      </c>
      <c r="D4" s="611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8" t="s">
        <v>17</v>
      </c>
      <c r="C8" s="594" t="s">
        <v>18</v>
      </c>
      <c r="D8" s="594" t="s">
        <v>59</v>
      </c>
      <c r="E8" s="80" t="s">
        <v>20</v>
      </c>
      <c r="F8" s="81" t="s">
        <v>21</v>
      </c>
      <c r="G8" s="594" t="s">
        <v>60</v>
      </c>
      <c r="H8" s="594" t="s">
        <v>61</v>
      </c>
      <c r="I8" s="614" t="s">
        <v>62</v>
      </c>
      <c r="J8" s="82" t="s">
        <v>25</v>
      </c>
      <c r="K8" s="604" t="s">
        <v>28</v>
      </c>
    </row>
    <row r="9" spans="2:14" ht="26.25" hidden="1" thickBot="1">
      <c r="B9" s="612"/>
      <c r="C9" s="613"/>
      <c r="D9" s="613"/>
      <c r="E9" s="83" t="s">
        <v>30</v>
      </c>
      <c r="F9" s="84" t="s">
        <v>63</v>
      </c>
      <c r="G9" s="613"/>
      <c r="H9" s="613"/>
      <c r="I9" s="615"/>
      <c r="J9" s="85" t="s">
        <v>32</v>
      </c>
      <c r="K9" s="616"/>
      <c r="L9" s="86"/>
      <c r="M9" s="86"/>
      <c r="N9" s="86"/>
    </row>
    <row r="10" spans="2:14" ht="13.5" hidden="1" thickBot="1">
      <c r="B10" s="87" t="s">
        <v>64</v>
      </c>
      <c r="C10" s="88" t="str">
        <f>[38]Brewhouse!A5359</f>
        <v>CA236</v>
      </c>
      <c r="D10" s="88">
        <f>[38]Brewhouse!B5359</f>
        <v>41437</v>
      </c>
      <c r="E10" s="89">
        <f>[38]Brewhouse!AG5359</f>
        <v>49.011000000000003</v>
      </c>
      <c r="F10" s="90">
        <f>[38]Brewhouse!T5359</f>
        <v>60</v>
      </c>
      <c r="G10" s="91">
        <f>[38]Brewhouse!I5359</f>
        <v>19.79</v>
      </c>
      <c r="H10" s="92">
        <f>[38]Brewhouse!AS5359</f>
        <v>94.981545664755075</v>
      </c>
      <c r="I10" s="92">
        <f>[38]Brewhouse!AT5359</f>
        <v>97.074072469002047</v>
      </c>
      <c r="J10" s="93">
        <f>[38]Brewhouse!S5359-[38]Brewhouse!R5359</f>
        <v>0.10694444444444451</v>
      </c>
      <c r="K10" s="94"/>
      <c r="N10" s="95"/>
    </row>
    <row r="11" spans="2:14" ht="13.5" hidden="1" thickBot="1">
      <c r="B11" s="96"/>
      <c r="C11" s="88" t="str">
        <f>[38]Brewhouse!A5360</f>
        <v>CA237</v>
      </c>
      <c r="D11" s="88">
        <f>[38]Brewhouse!B5360</f>
        <v>41437</v>
      </c>
      <c r="E11" s="89">
        <f>[38]Brewhouse!AG5360</f>
        <v>48.531999999999996</v>
      </c>
      <c r="F11" s="90">
        <f>[38]Brewhouse!T5360</f>
        <v>68</v>
      </c>
      <c r="G11" s="91">
        <f>[38]Brewhouse!I5360</f>
        <v>17.7</v>
      </c>
      <c r="H11" s="92">
        <f>[38]Brewhouse!AS5360</f>
        <v>94.053260986347809</v>
      </c>
      <c r="I11" s="92">
        <f>[38]Brewhouse!AT5360</f>
        <v>96.1253368644918</v>
      </c>
      <c r="J11" s="93">
        <f>[38]Brewhouse!S5360-[38]Brewhouse!R5360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[38]Brewhouse!A5361</f>
        <v>CA238</v>
      </c>
      <c r="D12" s="88">
        <f>[38]Brewhouse!B5361</f>
        <v>41437</v>
      </c>
      <c r="E12" s="89">
        <f>[38]Brewhouse!AG5361</f>
        <v>50.466999999999999</v>
      </c>
      <c r="F12" s="90">
        <f>[38]Brewhouse!T5361</f>
        <v>61</v>
      </c>
      <c r="G12" s="91">
        <f>[38]Brewhouse!I5361</f>
        <v>19.7</v>
      </c>
      <c r="H12" s="92">
        <f>[38]Brewhouse!AS5361</f>
        <v>96.931393272913695</v>
      </c>
      <c r="I12" s="92">
        <f>[38]Brewhouse!AT5361</f>
        <v>99.066876931102286</v>
      </c>
      <c r="J12" s="93">
        <f>[38]Brewhouse!S5361-[38]Brewhouse!R5361</f>
        <v>0.10208333333333341</v>
      </c>
      <c r="K12" s="98"/>
    </row>
    <row r="13" spans="2:14" ht="13.5" hidden="1" thickBot="1">
      <c r="B13" s="99"/>
      <c r="C13" s="88" t="str">
        <f>[38]Brewhouse!A5362</f>
        <v>CA239</v>
      </c>
      <c r="D13" s="88">
        <f>[38]Brewhouse!B5362</f>
        <v>41437</v>
      </c>
      <c r="E13" s="89">
        <f>[38]Brewhouse!AG5362</f>
        <v>49.374000000000002</v>
      </c>
      <c r="F13" s="90">
        <f>[38]Brewhouse!T5362</f>
        <v>62</v>
      </c>
      <c r="G13" s="91">
        <f>[38]Brewhouse!I5362</f>
        <v>19</v>
      </c>
      <c r="H13" s="92">
        <f>[38]Brewhouse!AS5362</f>
        <v>95.68502653795305</v>
      </c>
      <c r="I13" s="92">
        <f>[38]Brewhouse!AT5362</f>
        <v>97.793051643192499</v>
      </c>
      <c r="J13" s="93">
        <f>[38]Brewhouse!S5362-[38]Brewhouse!R5362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2" t="s">
        <v>69</v>
      </c>
      <c r="G21" s="603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[38]Brewhouse!N5359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[38]Brewhouse!N5360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[38]Brewhouse!N5361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[38]Brewhouse!N5362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AVERAGE([38]Brewhouse!$AS$5347:$AS$5362)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AVERAGE([39]Brewhouse!$AQ$641:$AQ$644)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AVERAGE([40]Brewhouse!$AU$708:$AU$711)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AVERAGE([41]Brewhouse!$AY$943:$AY$946)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8" t="s">
        <v>17</v>
      </c>
      <c r="C43" s="594" t="s">
        <v>18</v>
      </c>
      <c r="D43" s="594" t="s">
        <v>44</v>
      </c>
      <c r="E43" s="594" t="s">
        <v>79</v>
      </c>
      <c r="F43" s="594" t="s">
        <v>51</v>
      </c>
      <c r="G43" s="594" t="s">
        <v>48</v>
      </c>
      <c r="H43" s="596" t="s">
        <v>28</v>
      </c>
      <c r="I43" s="597"/>
      <c r="J43" s="597"/>
      <c r="K43" s="604" t="s">
        <v>27</v>
      </c>
    </row>
    <row r="44" spans="2:15" ht="15.75" hidden="1" customHeight="1" thickBot="1">
      <c r="B44" s="609"/>
      <c r="C44" s="595"/>
      <c r="D44" s="595"/>
      <c r="E44" s="595"/>
      <c r="F44" s="595"/>
      <c r="G44" s="595"/>
      <c r="H44" s="598"/>
      <c r="I44" s="599"/>
      <c r="J44" s="599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0"/>
      <c r="I46" s="601"/>
      <c r="J46" s="60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0"/>
      <c r="I47" s="601"/>
      <c r="J47" s="60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0"/>
      <c r="I48" s="601"/>
      <c r="J48" s="60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2"/>
      <c r="I49" s="593"/>
      <c r="J49" s="593"/>
      <c r="K49" s="172"/>
    </row>
    <row r="50" spans="2:11" ht="13.5" hidden="1" thickBot="1">
      <c r="B50" s="173"/>
      <c r="C50" s="160"/>
      <c r="E50" s="168"/>
      <c r="F50" s="168"/>
      <c r="G50" s="145"/>
      <c r="H50" s="592"/>
      <c r="I50" s="593"/>
      <c r="J50" s="593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2"/>
      <c r="I51" s="593"/>
      <c r="J51" s="593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3"/>
      <c r="I52" s="584"/>
      <c r="J52" s="584"/>
      <c r="K52" s="183"/>
    </row>
    <row r="53" spans="2:11" ht="13.5" thickBot="1">
      <c r="B53" s="184"/>
      <c r="C53" s="117"/>
      <c r="D53" s="585" t="s">
        <v>80</v>
      </c>
      <c r="E53" s="585"/>
      <c r="F53" s="585"/>
      <c r="G53" s="585"/>
      <c r="H53" s="585"/>
      <c r="I53" s="585"/>
      <c r="J53" s="585"/>
      <c r="K53" s="185"/>
    </row>
    <row r="54" spans="2:11" ht="13.5" thickBot="1">
      <c r="B54" s="586" t="s">
        <v>55</v>
      </c>
      <c r="C54" s="587"/>
      <c r="D54" s="587"/>
      <c r="E54" s="588"/>
      <c r="F54" s="586" t="s">
        <v>56</v>
      </c>
      <c r="G54" s="587"/>
      <c r="H54" s="588"/>
      <c r="I54" s="589" t="s">
        <v>81</v>
      </c>
      <c r="J54" s="590"/>
      <c r="K54" s="591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 t="e">
        <f>[47]MTD!$E5</f>
        <v>#DIV/0!</v>
      </c>
      <c r="E56" s="192">
        <v>5</v>
      </c>
      <c r="F56" s="191"/>
      <c r="G56" s="76" t="e">
        <f>[17]October_2026!$AN3</f>
        <v>#DIV/0!</v>
      </c>
      <c r="H56" s="192">
        <v>5</v>
      </c>
      <c r="I56" s="193"/>
      <c r="J56" s="194" t="e">
        <f>[18]October_2026!$AN13</f>
        <v>#DIV/0!</v>
      </c>
      <c r="K56" s="195">
        <v>1</v>
      </c>
    </row>
    <row r="57" spans="2:11" ht="15">
      <c r="B57" s="33" t="s">
        <v>72</v>
      </c>
      <c r="C57" s="191"/>
      <c r="D57" s="76" t="e">
        <f>[47]MTD!$E6</f>
        <v>#DIV/0!</v>
      </c>
      <c r="E57" s="192">
        <v>5</v>
      </c>
      <c r="F57" s="191"/>
      <c r="G57" s="76" t="e">
        <f>[17]October_2026!$AN4</f>
        <v>#DIV/0!</v>
      </c>
      <c r="H57" s="192">
        <v>5</v>
      </c>
      <c r="I57" s="196"/>
      <c r="J57" s="194" t="e">
        <f>[18]October_2026!$AN14</f>
        <v>#DIV/0!</v>
      </c>
      <c r="K57" s="195">
        <v>1</v>
      </c>
    </row>
    <row r="58" spans="2:11" ht="15">
      <c r="B58" s="34" t="s">
        <v>73</v>
      </c>
      <c r="C58" s="191"/>
      <c r="D58" s="76" t="e">
        <f>[47]MTD!$E7</f>
        <v>#DIV/0!</v>
      </c>
      <c r="E58" s="192">
        <v>5</v>
      </c>
      <c r="F58" s="191"/>
      <c r="G58" s="76" t="e">
        <f>[17]October_2026!$AN5</f>
        <v>#DIV/0!</v>
      </c>
      <c r="H58" s="192">
        <v>5</v>
      </c>
      <c r="I58" s="196"/>
      <c r="J58" s="194" t="e">
        <f>[18]October_2026!$AN15</f>
        <v>#DIV/0!</v>
      </c>
      <c r="K58" s="195">
        <v>1</v>
      </c>
    </row>
    <row r="59" spans="2:11" ht="15">
      <c r="B59" s="197" t="s">
        <v>74</v>
      </c>
      <c r="C59" s="191"/>
      <c r="D59" s="76" t="e">
        <f>[47]MTD!$E8</f>
        <v>#DIV/0!</v>
      </c>
      <c r="E59" s="192">
        <v>3.5</v>
      </c>
      <c r="F59" s="191"/>
      <c r="G59" s="76" t="e">
        <f>[17]October_2026!$AN6</f>
        <v>#DIV/0!</v>
      </c>
      <c r="H59" s="192">
        <v>3.5</v>
      </c>
      <c r="I59" s="196"/>
      <c r="J59" s="194" t="e">
        <f>[18]October_2026!$AN16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[47]MTD!$E9</f>
        <v>#DIV/0!</v>
      </c>
      <c r="E60" s="192">
        <v>3.5</v>
      </c>
      <c r="F60" s="198"/>
      <c r="G60" s="76" t="e">
        <f>[17]October_2026!$AN7</f>
        <v>#DIV/0!</v>
      </c>
      <c r="H60" s="192">
        <v>3.5</v>
      </c>
      <c r="I60" s="196"/>
      <c r="J60" s="194" t="e">
        <f>[18]October_2026!$AN17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[47]MTD!$E10</f>
        <v>#DIV/0!</v>
      </c>
      <c r="E61" s="200">
        <v>5</v>
      </c>
      <c r="F61" s="191"/>
      <c r="G61" s="76" t="e">
        <f>[17]October_2026!$AN8</f>
        <v>#DIV/0!</v>
      </c>
      <c r="H61" s="200">
        <v>5</v>
      </c>
      <c r="I61" s="196"/>
      <c r="J61" s="194" t="e">
        <f>[18]October_2026!$AN18</f>
        <v>#DIV/0!</v>
      </c>
      <c r="K61" s="195">
        <v>1</v>
      </c>
    </row>
    <row r="62" spans="2:11" ht="15">
      <c r="B62" s="201" t="s">
        <v>82</v>
      </c>
      <c r="C62" s="202"/>
      <c r="D62" s="76" t="e">
        <f>[47]MTD!$E11</f>
        <v>#DIV/0!</v>
      </c>
      <c r="E62" s="200">
        <v>3.3</v>
      </c>
      <c r="F62" s="202"/>
      <c r="G62" s="76" t="e">
        <f>[17]October_2026!$AN9</f>
        <v>#DIV/0!</v>
      </c>
      <c r="H62" s="200">
        <v>3.3</v>
      </c>
      <c r="I62" s="203"/>
      <c r="J62" s="194" t="e">
        <f>[18]October_2026!$AN19</f>
        <v>#DIV/0!</v>
      </c>
      <c r="K62" s="204">
        <v>1</v>
      </c>
    </row>
    <row r="63" spans="2:11" ht="15.75" thickBot="1">
      <c r="B63" s="38" t="s">
        <v>128</v>
      </c>
      <c r="C63" s="205"/>
      <c r="D63" s="76" t="e">
        <f>[47]MTD!$E12</f>
        <v>#DIV/0!</v>
      </c>
      <c r="E63" s="206">
        <v>3.5</v>
      </c>
      <c r="F63" s="205"/>
      <c r="G63" s="76" t="e">
        <f>[17]October_2026!$AN10</f>
        <v>#DIV/0!</v>
      </c>
      <c r="H63" s="206">
        <v>3.5</v>
      </c>
      <c r="I63" s="207"/>
      <c r="J63" s="194" t="e">
        <f>[18]October_2026!$AN20</f>
        <v>#DIV/0!</v>
      </c>
      <c r="K63" s="208">
        <v>1</v>
      </c>
    </row>
    <row r="64" spans="2:11" ht="15.75" thickBot="1">
      <c r="B64" s="412" t="s">
        <v>159</v>
      </c>
      <c r="C64" s="198"/>
      <c r="D64" s="76" t="e">
        <f>[47]MTD!$E13</f>
        <v>#DIV/0!</v>
      </c>
      <c r="E64" s="192">
        <v>5</v>
      </c>
      <c r="F64" s="198"/>
      <c r="G64" s="76" t="e">
        <f>[17]October_2026!$AN11</f>
        <v>#DIV/0!</v>
      </c>
      <c r="H64" s="192">
        <v>5</v>
      </c>
      <c r="I64" s="411"/>
      <c r="J64" s="194">
        <f>[18]October_2026!$AN21</f>
        <v>0</v>
      </c>
      <c r="K64" s="208">
        <v>1</v>
      </c>
    </row>
    <row r="65" spans="2:11">
      <c r="B65" s="209"/>
      <c r="C65" s="210"/>
      <c r="D65" s="76" t="e">
        <f>[47]MTD!$E14</f>
        <v>#DIV/0!</v>
      </c>
      <c r="E65" s="210"/>
      <c r="F65" s="210"/>
      <c r="G65" s="76" t="e">
        <f>[17]October_2026!$AN12</f>
        <v>#DIV/0!</v>
      </c>
      <c r="H65" s="211"/>
      <c r="I65" s="212"/>
      <c r="J65" s="194" t="e">
        <f>[18]October_2026!$AN22</f>
        <v>#DIV/0!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3" zoomScale="115" zoomScaleNormal="115" workbookViewId="0">
      <selection activeCell="G56" sqref="G56:G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0" t="s">
        <v>58</v>
      </c>
      <c r="C2" s="610"/>
      <c r="D2" s="610"/>
      <c r="E2" s="610"/>
      <c r="F2" s="610"/>
      <c r="G2" s="610"/>
      <c r="H2" s="610"/>
      <c r="I2" s="610"/>
      <c r="J2" s="610"/>
      <c r="K2" s="610"/>
    </row>
    <row r="3" spans="2:14" ht="15.75" hidden="1" thickBot="1">
      <c r="B3" s="79"/>
    </row>
    <row r="4" spans="2:14" ht="13.5" hidden="1" thickBot="1">
      <c r="B4" s="78" t="s">
        <v>7</v>
      </c>
      <c r="C4" s="611">
        <v>41431</v>
      </c>
      <c r="D4" s="611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08" t="s">
        <v>17</v>
      </c>
      <c r="C8" s="594" t="s">
        <v>18</v>
      </c>
      <c r="D8" s="594" t="s">
        <v>59</v>
      </c>
      <c r="E8" s="80" t="s">
        <v>20</v>
      </c>
      <c r="F8" s="81" t="s">
        <v>21</v>
      </c>
      <c r="G8" s="594" t="s">
        <v>60</v>
      </c>
      <c r="H8" s="594" t="s">
        <v>61</v>
      </c>
      <c r="I8" s="614" t="s">
        <v>62</v>
      </c>
      <c r="J8" s="82" t="s">
        <v>25</v>
      </c>
      <c r="K8" s="604" t="s">
        <v>28</v>
      </c>
    </row>
    <row r="9" spans="2:14" ht="26.25" hidden="1" thickBot="1">
      <c r="B9" s="612"/>
      <c r="C9" s="613"/>
      <c r="D9" s="613"/>
      <c r="E9" s="83" t="s">
        <v>30</v>
      </c>
      <c r="F9" s="84" t="s">
        <v>63</v>
      </c>
      <c r="G9" s="613"/>
      <c r="H9" s="613"/>
      <c r="I9" s="615"/>
      <c r="J9" s="85" t="s">
        <v>32</v>
      </c>
      <c r="K9" s="616"/>
      <c r="L9" s="86"/>
      <c r="M9" s="86"/>
      <c r="N9" s="86"/>
    </row>
    <row r="10" spans="2:14" ht="13.5" hidden="1" thickBot="1">
      <c r="B10" s="87" t="s">
        <v>64</v>
      </c>
      <c r="C10" s="88" t="str">
        <f>[38]Brewhouse!A5359</f>
        <v>CA236</v>
      </c>
      <c r="D10" s="88">
        <f>[38]Brewhouse!B5359</f>
        <v>41437</v>
      </c>
      <c r="E10" s="89">
        <f>[38]Brewhouse!AG5359</f>
        <v>49.011000000000003</v>
      </c>
      <c r="F10" s="90">
        <f>[38]Brewhouse!T5359</f>
        <v>60</v>
      </c>
      <c r="G10" s="91">
        <f>[38]Brewhouse!I5359</f>
        <v>19.79</v>
      </c>
      <c r="H10" s="92">
        <f>[38]Brewhouse!AS5359</f>
        <v>94.981545664755075</v>
      </c>
      <c r="I10" s="92">
        <f>[38]Brewhouse!AT5359</f>
        <v>97.074072469002047</v>
      </c>
      <c r="J10" s="93">
        <f>[38]Brewhouse!S5359-[38]Brewhouse!R5359</f>
        <v>0.10694444444444451</v>
      </c>
      <c r="K10" s="94"/>
      <c r="N10" s="95"/>
    </row>
    <row r="11" spans="2:14" ht="13.5" hidden="1" thickBot="1">
      <c r="B11" s="96"/>
      <c r="C11" s="88" t="str">
        <f>[38]Brewhouse!A5360</f>
        <v>CA237</v>
      </c>
      <c r="D11" s="88">
        <f>[38]Brewhouse!B5360</f>
        <v>41437</v>
      </c>
      <c r="E11" s="89">
        <f>[38]Brewhouse!AG5360</f>
        <v>48.531999999999996</v>
      </c>
      <c r="F11" s="90">
        <f>[38]Brewhouse!T5360</f>
        <v>68</v>
      </c>
      <c r="G11" s="91">
        <f>[38]Brewhouse!I5360</f>
        <v>17.7</v>
      </c>
      <c r="H11" s="92">
        <f>[38]Brewhouse!AS5360</f>
        <v>94.053260986347809</v>
      </c>
      <c r="I11" s="92">
        <f>[38]Brewhouse!AT5360</f>
        <v>96.1253368644918</v>
      </c>
      <c r="J11" s="93">
        <f>[38]Brewhouse!S5360-[38]Brewhouse!R5360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[38]Brewhouse!A5361</f>
        <v>CA238</v>
      </c>
      <c r="D12" s="88">
        <f>[38]Brewhouse!B5361</f>
        <v>41437</v>
      </c>
      <c r="E12" s="89">
        <f>[38]Brewhouse!AG5361</f>
        <v>50.466999999999999</v>
      </c>
      <c r="F12" s="90">
        <f>[38]Brewhouse!T5361</f>
        <v>61</v>
      </c>
      <c r="G12" s="91">
        <f>[38]Brewhouse!I5361</f>
        <v>19.7</v>
      </c>
      <c r="H12" s="92">
        <f>[38]Brewhouse!AS5361</f>
        <v>96.931393272913695</v>
      </c>
      <c r="I12" s="92">
        <f>[38]Brewhouse!AT5361</f>
        <v>99.066876931102286</v>
      </c>
      <c r="J12" s="93">
        <f>[38]Brewhouse!S5361-[38]Brewhouse!R5361</f>
        <v>0.10208333333333341</v>
      </c>
      <c r="K12" s="98"/>
    </row>
    <row r="13" spans="2:14" ht="13.5" hidden="1" thickBot="1">
      <c r="B13" s="99"/>
      <c r="C13" s="88" t="str">
        <f>[38]Brewhouse!A5362</f>
        <v>CA239</v>
      </c>
      <c r="D13" s="88">
        <f>[38]Brewhouse!B5362</f>
        <v>41437</v>
      </c>
      <c r="E13" s="89">
        <f>[38]Brewhouse!AG5362</f>
        <v>49.374000000000002</v>
      </c>
      <c r="F13" s="90">
        <f>[38]Brewhouse!T5362</f>
        <v>62</v>
      </c>
      <c r="G13" s="91">
        <f>[38]Brewhouse!I5362</f>
        <v>19</v>
      </c>
      <c r="H13" s="92">
        <f>[38]Brewhouse!AS5362</f>
        <v>95.68502653795305</v>
      </c>
      <c r="I13" s="92">
        <f>[38]Brewhouse!AT5362</f>
        <v>97.793051643192499</v>
      </c>
      <c r="J13" s="93">
        <f>[38]Brewhouse!S5362-[38]Brewhouse!R5362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02" t="s">
        <v>69</v>
      </c>
      <c r="G21" s="603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[38]Brewhouse!N5359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[38]Brewhouse!N5360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[38]Brewhouse!N5361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[38]Brewhouse!N5362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AVERAGE([38]Brewhouse!$AS$5347:$AS$5362)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AVERAGE([39]Brewhouse!$AQ$641:$AQ$644)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AVERAGE([40]Brewhouse!$AU$708:$AU$711)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AVERAGE([41]Brewhouse!$AY$943:$AY$946)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08" t="s">
        <v>17</v>
      </c>
      <c r="C43" s="594" t="s">
        <v>18</v>
      </c>
      <c r="D43" s="594" t="s">
        <v>44</v>
      </c>
      <c r="E43" s="594" t="s">
        <v>79</v>
      </c>
      <c r="F43" s="594" t="s">
        <v>51</v>
      </c>
      <c r="G43" s="594" t="s">
        <v>48</v>
      </c>
      <c r="H43" s="596" t="s">
        <v>28</v>
      </c>
      <c r="I43" s="597"/>
      <c r="J43" s="597"/>
      <c r="K43" s="604" t="s">
        <v>27</v>
      </c>
    </row>
    <row r="44" spans="2:15" ht="15.75" hidden="1" customHeight="1" thickBot="1">
      <c r="B44" s="609"/>
      <c r="C44" s="595"/>
      <c r="D44" s="595"/>
      <c r="E44" s="595"/>
      <c r="F44" s="595"/>
      <c r="G44" s="595"/>
      <c r="H44" s="598"/>
      <c r="I44" s="599"/>
      <c r="J44" s="599"/>
      <c r="K44" s="60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06"/>
      <c r="I45" s="607"/>
      <c r="J45" s="607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0"/>
      <c r="I46" s="601"/>
      <c r="J46" s="601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0"/>
      <c r="I47" s="601"/>
      <c r="J47" s="601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0"/>
      <c r="I48" s="601"/>
      <c r="J48" s="601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592"/>
      <c r="I49" s="593"/>
      <c r="J49" s="593"/>
      <c r="K49" s="172"/>
    </row>
    <row r="50" spans="2:11" ht="13.5" hidden="1" thickBot="1">
      <c r="B50" s="173"/>
      <c r="C50" s="160"/>
      <c r="E50" s="168"/>
      <c r="F50" s="168"/>
      <c r="G50" s="145"/>
      <c r="H50" s="592"/>
      <c r="I50" s="593"/>
      <c r="J50" s="593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592"/>
      <c r="I51" s="593"/>
      <c r="J51" s="593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83"/>
      <c r="I52" s="584"/>
      <c r="J52" s="584"/>
      <c r="K52" s="183"/>
    </row>
    <row r="53" spans="2:11" ht="13.5" thickBot="1">
      <c r="B53" s="184"/>
      <c r="C53" s="117"/>
      <c r="D53" s="585" t="s">
        <v>80</v>
      </c>
      <c r="E53" s="585"/>
      <c r="F53" s="585"/>
      <c r="G53" s="585"/>
      <c r="H53" s="585"/>
      <c r="I53" s="585"/>
      <c r="J53" s="585"/>
      <c r="K53" s="185"/>
    </row>
    <row r="54" spans="2:11" ht="13.5" thickBot="1">
      <c r="B54" s="586" t="s">
        <v>55</v>
      </c>
      <c r="C54" s="587"/>
      <c r="D54" s="587"/>
      <c r="E54" s="588"/>
      <c r="F54" s="586" t="s">
        <v>56</v>
      </c>
      <c r="G54" s="587"/>
      <c r="H54" s="588"/>
      <c r="I54" s="589" t="s">
        <v>81</v>
      </c>
      <c r="J54" s="590"/>
      <c r="K54" s="591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'[47]YTD 2026'!$E5</f>
        <v>6.4321307508289749</v>
      </c>
      <c r="E56" s="192">
        <v>5</v>
      </c>
      <c r="F56" s="191"/>
      <c r="G56" s="76">
        <f>[17]October_2026!$AQ3</f>
        <v>6.5257109935981328</v>
      </c>
      <c r="H56" s="192">
        <v>5</v>
      </c>
      <c r="I56" s="193"/>
      <c r="J56" s="194">
        <f>[18]September_2026!$AP13</f>
        <v>0.53908627189124969</v>
      </c>
      <c r="K56" s="195">
        <v>1</v>
      </c>
    </row>
    <row r="57" spans="2:11" ht="15">
      <c r="B57" s="33" t="s">
        <v>72</v>
      </c>
      <c r="C57" s="191"/>
      <c r="D57" s="76">
        <f>'[42]YTD 2026'!$E6</f>
        <v>6.0345293824252026</v>
      </c>
      <c r="E57" s="192">
        <v>5</v>
      </c>
      <c r="F57" s="191"/>
      <c r="G57" s="76">
        <f>[17]October_2026!$AQ4</f>
        <v>5.9275658832823668</v>
      </c>
      <c r="H57" s="192">
        <v>5</v>
      </c>
      <c r="I57" s="196"/>
      <c r="J57" s="194">
        <f>[18]September_2026!$AP14</f>
        <v>0.6824652535868081</v>
      </c>
      <c r="K57" s="195">
        <v>1</v>
      </c>
    </row>
    <row r="58" spans="2:11" ht="15">
      <c r="B58" s="34" t="s">
        <v>73</v>
      </c>
      <c r="C58" s="191"/>
      <c r="D58" s="76">
        <f>'[42]YTD 2026'!$E7</f>
        <v>10.912862882586603</v>
      </c>
      <c r="E58" s="192">
        <v>5</v>
      </c>
      <c r="F58" s="191"/>
      <c r="G58" s="76">
        <f>[17]October_2026!$AQ5</f>
        <v>11.819732298933111</v>
      </c>
      <c r="H58" s="192">
        <v>5</v>
      </c>
      <c r="I58" s="196"/>
      <c r="J58" s="194">
        <f>[18]September_2026!$AP15</f>
        <v>0.35370190356844494</v>
      </c>
      <c r="K58" s="195">
        <v>1</v>
      </c>
    </row>
    <row r="59" spans="2:11" ht="15">
      <c r="B59" s="197" t="s">
        <v>74</v>
      </c>
      <c r="C59" s="191"/>
      <c r="D59" s="76">
        <f>'[42]YTD 2026'!$E8</f>
        <v>4.8433372666231218</v>
      </c>
      <c r="E59" s="192">
        <v>3.5</v>
      </c>
      <c r="F59" s="191"/>
      <c r="G59" s="76">
        <f>[17]October_2026!$AQ6</f>
        <v>4.8702525342252114</v>
      </c>
      <c r="H59" s="192">
        <v>3.5</v>
      </c>
      <c r="I59" s="196"/>
      <c r="J59" s="194">
        <f>[18]September_2026!$AP16</f>
        <v>0.77919298245614044</v>
      </c>
      <c r="K59" s="195">
        <v>1</v>
      </c>
    </row>
    <row r="60" spans="2:11" ht="15.75" thickBot="1">
      <c r="B60" s="38" t="s">
        <v>160</v>
      </c>
      <c r="C60" s="191"/>
      <c r="D60" s="76" t="e">
        <f>'[42]YTD 2026'!$E9</f>
        <v>#DIV/0!</v>
      </c>
      <c r="E60" s="192">
        <v>3.5</v>
      </c>
      <c r="F60" s="198"/>
      <c r="G60" s="76" t="e">
        <f>[17]October_2026!$AQ7</f>
        <v>#DIV/0!</v>
      </c>
      <c r="H60" s="192">
        <v>3.5</v>
      </c>
      <c r="I60" s="196"/>
      <c r="J60" s="194" t="e">
        <f>[18]September_2026!$AP17</f>
        <v>#DIV/0!</v>
      </c>
      <c r="K60" s="195">
        <v>1</v>
      </c>
    </row>
    <row r="61" spans="2:11" ht="15">
      <c r="B61" s="199" t="s">
        <v>76</v>
      </c>
      <c r="C61" s="191"/>
      <c r="D61" s="76">
        <f>'[42]YTD 2026'!$E10</f>
        <v>6.3233965672990236</v>
      </c>
      <c r="E61" s="200">
        <v>5</v>
      </c>
      <c r="F61" s="191"/>
      <c r="G61" s="76">
        <f>[17]October_2026!$AQ8</f>
        <v>7.9667553186446929</v>
      </c>
      <c r="H61" s="200">
        <v>5</v>
      </c>
      <c r="I61" s="196"/>
      <c r="J61" s="194">
        <f>[18]September_2026!$AP18</f>
        <v>0.5883625730994152</v>
      </c>
      <c r="K61" s="195">
        <v>1</v>
      </c>
    </row>
    <row r="62" spans="2:11" ht="15">
      <c r="B62" s="201" t="s">
        <v>82</v>
      </c>
      <c r="C62" s="202"/>
      <c r="D62" s="76">
        <f>'[42]YTD 2026'!$E11</f>
        <v>3.9973372218347856</v>
      </c>
      <c r="E62" s="200">
        <v>3.3</v>
      </c>
      <c r="F62" s="202"/>
      <c r="G62" s="76">
        <f>[17]October_2026!$AQ9</f>
        <v>5.1096183510504902</v>
      </c>
      <c r="H62" s="200">
        <v>3.3</v>
      </c>
      <c r="I62" s="203"/>
      <c r="J62" s="194">
        <f>[18]September_2026!$AP19</f>
        <v>0.89057130004498408</v>
      </c>
      <c r="K62" s="204">
        <v>1</v>
      </c>
    </row>
    <row r="63" spans="2:11" ht="15.75" thickBot="1">
      <c r="B63" s="38" t="s">
        <v>128</v>
      </c>
      <c r="C63" s="205"/>
      <c r="D63" s="76" t="e">
        <f>'[42]YTD 2026'!$E12</f>
        <v>#DIV/0!</v>
      </c>
      <c r="E63" s="206">
        <v>3.5</v>
      </c>
      <c r="F63" s="205"/>
      <c r="G63" s="76" t="e">
        <f>[17]October_2026!$AQ10</f>
        <v>#DIV/0!</v>
      </c>
      <c r="H63" s="206">
        <v>3.5</v>
      </c>
      <c r="I63" s="207"/>
      <c r="J63" s="194" t="e">
        <f>[18]September_2026!$AP20</f>
        <v>#DIV/0!</v>
      </c>
      <c r="K63" s="208">
        <v>1</v>
      </c>
    </row>
    <row r="64" spans="2:11" ht="15.75" thickBot="1">
      <c r="B64" s="412" t="s">
        <v>159</v>
      </c>
      <c r="C64" s="205"/>
      <c r="D64" s="76" t="e">
        <f>'[42]YTD 2026'!$E13</f>
        <v>#DIV/0!</v>
      </c>
      <c r="E64" s="206">
        <v>5</v>
      </c>
      <c r="F64" s="205"/>
      <c r="G64" s="76" t="e">
        <f>[17]October_2026!$AQ11</f>
        <v>#DIV/0!</v>
      </c>
      <c r="H64" s="206">
        <v>5</v>
      </c>
      <c r="I64" s="207"/>
      <c r="J64" s="194" t="e">
        <f>[18]September_2026!$AP21</f>
        <v>#DIV/0!</v>
      </c>
      <c r="K64" s="208">
        <v>1</v>
      </c>
    </row>
    <row r="65" spans="2:11">
      <c r="B65" s="209"/>
      <c r="C65" s="210"/>
      <c r="D65" s="76">
        <f>'[42]YTD 2026'!$E14</f>
        <v>6.362317810863849</v>
      </c>
      <c r="E65" s="210"/>
      <c r="F65" s="210"/>
      <c r="G65" s="76">
        <f>[17]October_2026!$AQ12</f>
        <v>6.6537418159931665</v>
      </c>
      <c r="H65" s="211"/>
      <c r="I65" s="212"/>
      <c r="J65" s="194">
        <f>[18]September_2026!$AP22</f>
        <v>0.59559710956710543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17" t="s">
        <v>34</v>
      </c>
      <c r="C2" s="617"/>
      <c r="D2" s="617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17" t="s">
        <v>100</v>
      </c>
      <c r="C14" s="617"/>
      <c r="D14" s="617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17" t="s">
        <v>101</v>
      </c>
      <c r="C27" s="617"/>
      <c r="D27" s="617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19" t="s">
        <v>102</v>
      </c>
      <c r="D3" s="620"/>
      <c r="E3" s="621">
        <f ca="1">TODAY()</f>
        <v>46296</v>
      </c>
      <c r="F3" s="621"/>
      <c r="G3" s="62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2" t="s">
        <v>143</v>
      </c>
      <c r="D14" s="622"/>
      <c r="E14" s="622"/>
      <c r="F14" s="622"/>
      <c r="G14" s="622"/>
      <c r="H14" s="622"/>
    </row>
    <row r="15" spans="3:23" ht="15" customHeight="1">
      <c r="C15" s="622"/>
      <c r="D15" s="622"/>
      <c r="E15" s="622"/>
      <c r="F15" s="622"/>
      <c r="G15" s="622"/>
      <c r="H15" s="622"/>
    </row>
    <row r="16" spans="3:23" ht="15" customHeight="1">
      <c r="C16" s="622"/>
      <c r="D16" s="622"/>
      <c r="E16" s="622"/>
      <c r="F16" s="622"/>
      <c r="G16" s="622"/>
      <c r="H16" s="622"/>
    </row>
    <row r="17" spans="3:8" ht="15" customHeight="1">
      <c r="C17" s="622"/>
      <c r="D17" s="622"/>
      <c r="E17" s="622"/>
      <c r="F17" s="622"/>
      <c r="G17" s="622"/>
      <c r="H17" s="622"/>
    </row>
    <row r="18" spans="3:8" ht="15" customHeight="1">
      <c r="C18" s="622"/>
      <c r="D18" s="622"/>
      <c r="E18" s="622"/>
      <c r="F18" s="622"/>
      <c r="G18" s="622"/>
      <c r="H18" s="622"/>
    </row>
    <row r="19" spans="3:8" ht="15" customHeight="1">
      <c r="C19" s="622"/>
      <c r="D19" s="622"/>
      <c r="E19" s="622"/>
      <c r="F19" s="622"/>
      <c r="G19" s="622"/>
      <c r="H19" s="622"/>
    </row>
    <row r="20" spans="3:8" ht="15" customHeight="1">
      <c r="C20" s="622"/>
      <c r="D20" s="622"/>
      <c r="E20" s="622"/>
      <c r="F20" s="622"/>
      <c r="G20" s="622"/>
      <c r="H20" s="622"/>
    </row>
    <row r="21" spans="3:8" ht="15" customHeight="1">
      <c r="C21" s="622"/>
      <c r="D21" s="622"/>
      <c r="E21" s="622"/>
      <c r="F21" s="622"/>
      <c r="G21" s="622"/>
      <c r="H21" s="622"/>
    </row>
    <row r="22" spans="3:8" ht="15" customHeight="1">
      <c r="C22" s="622"/>
      <c r="D22" s="622"/>
      <c r="E22" s="622"/>
      <c r="F22" s="622"/>
      <c r="G22" s="622"/>
      <c r="H22" s="622"/>
    </row>
    <row r="23" spans="3:8" ht="15" customHeight="1">
      <c r="C23" s="622"/>
      <c r="D23" s="622"/>
      <c r="E23" s="622"/>
      <c r="F23" s="622"/>
      <c r="G23" s="622"/>
      <c r="H23" s="622"/>
    </row>
    <row r="24" spans="3:8" ht="15" customHeight="1">
      <c r="C24" s="622"/>
      <c r="D24" s="622"/>
      <c r="E24" s="622"/>
      <c r="F24" s="622"/>
      <c r="G24" s="622"/>
      <c r="H24" s="622"/>
    </row>
    <row r="25" spans="3:8" ht="15" customHeight="1">
      <c r="C25" s="622"/>
      <c r="D25" s="622"/>
      <c r="E25" s="622"/>
      <c r="F25" s="622"/>
      <c r="G25" s="622"/>
      <c r="H25" s="622"/>
    </row>
    <row r="26" spans="3:8" ht="15" customHeight="1">
      <c r="C26" s="622"/>
      <c r="D26" s="622"/>
      <c r="E26" s="622"/>
      <c r="F26" s="622"/>
      <c r="G26" s="622"/>
      <c r="H26" s="622"/>
    </row>
    <row r="27" spans="3:8" ht="15" customHeight="1">
      <c r="C27" s="622"/>
      <c r="D27" s="622"/>
      <c r="E27" s="622"/>
      <c r="F27" s="622"/>
      <c r="G27" s="622"/>
      <c r="H27" s="622"/>
    </row>
    <row r="28" spans="3:8" ht="15" customHeight="1">
      <c r="C28" s="622"/>
      <c r="D28" s="622"/>
      <c r="E28" s="622"/>
      <c r="F28" s="622"/>
      <c r="G28" s="622"/>
      <c r="H28" s="622"/>
    </row>
    <row r="29" spans="3:8" ht="15" customHeight="1">
      <c r="C29" s="622"/>
      <c r="D29" s="622"/>
      <c r="E29" s="622"/>
      <c r="F29" s="622"/>
      <c r="G29" s="622"/>
      <c r="H29" s="622"/>
    </row>
    <row r="30" spans="3:8" ht="15" customHeight="1">
      <c r="C30" s="622"/>
      <c r="D30" s="622"/>
      <c r="E30" s="622"/>
      <c r="F30" s="622"/>
      <c r="G30" s="622"/>
      <c r="H30" s="622"/>
    </row>
    <row r="31" spans="3:8" ht="15" customHeight="1">
      <c r="C31" s="622"/>
      <c r="D31" s="622"/>
      <c r="E31" s="622"/>
      <c r="F31" s="622"/>
      <c r="G31" s="622"/>
      <c r="H31" s="622"/>
    </row>
    <row r="36" spans="2:17" ht="15" customHeight="1"/>
    <row r="37" spans="2:17" ht="15" customHeight="1"/>
    <row r="38" spans="2:17" ht="30.75" customHeight="1" thickBot="1">
      <c r="C38" s="623" t="s">
        <v>109</v>
      </c>
      <c r="D38" s="623"/>
      <c r="E38" s="623"/>
      <c r="F38" s="624">
        <f ca="1">TODAY()</f>
        <v>46296</v>
      </c>
      <c r="G38" s="624"/>
      <c r="H38" s="624"/>
      <c r="I38" s="624"/>
      <c r="J38" s="625" t="s">
        <v>110</v>
      </c>
      <c r="K38" s="625"/>
      <c r="L38" s="625"/>
      <c r="M38" s="625"/>
      <c r="N38" s="625"/>
      <c r="O38" s="625"/>
      <c r="P38" s="625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'[43]Brewer Performance'!D40</f>
        <v>96.507822129582451</v>
      </c>
      <c r="E40" s="259">
        <f>AVERAGE('[44]Feb. 1'!I12:I13,'[44]Feb. 2'!I11:I14,[44]Feb.4!I13,[44]Feb.8!I14:I16,[44]Feb.9!I14,[44]Feb.9!I17:I18,[44]Feb10!I13:I16,[44]Feb14!I17,[44]Feb14!I15:I17,[44]Feb17!I10,[44]Feb17!I19:I21,'[44]Feb 21'!I10:I12,'[44]Feb 22'!I11:I13,'[44]Feb 23'!I14:I16,'[44]Feb 24'!I10:I12,'[44]Feb 25'!I13:I15,'[44]Feb 28'!I15:I18)</f>
        <v>98.284801217583563</v>
      </c>
      <c r="F40" s="259">
        <v>98.226686244092193</v>
      </c>
      <c r="G40" s="259">
        <v>98.210530202427222</v>
      </c>
      <c r="H40" s="259">
        <f>'[45]Brewer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'[43]Brewer Performance'!D41</f>
        <v>97.99738587335284</v>
      </c>
      <c r="E41" s="259">
        <f>AVERAGE('[44]Feb. 1'!I10:I11,'[44]Feb. 2'!I10,[44]Feb.3!I11:I13,[44]Feb.4!I10:I12,[44]Feb.8!I10,[44]Feb.8!I13,[44]Feb.9!I10:I13,[44]Feb10!I10:I12,[44]Feb11!I11:I13,[44]Feb14!I13:I14,[44]Feb17!I16:I18,[44]Feb18!I13:I15,'[44]Feb 21'!I17:I19,'[44]Feb 22'!I10,'[44]Feb 22'!I20:I22,'[44]Feb 23'!I10:I11,'[44]Feb 23'!I21,'[44]Feb 25'!I10:I12,'[44]Feb 28'!I11:I14)</f>
        <v>97.918121549662388</v>
      </c>
      <c r="F41" s="259">
        <v>98.070081368185257</v>
      </c>
      <c r="G41" s="259">
        <v>97.79453968977019</v>
      </c>
      <c r="H41" s="259">
        <f>'[45]Brewer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'[43]Brewer Performance'!D43</f>
        <v>98.304611060419475</v>
      </c>
      <c r="E44" s="259">
        <f>AVERAGE('[44]Feb. 2'!I15,[44]Feb.3!I10,[44]Feb.4!I16:I17,[44]Feb.8!I19:I21,[44]Feb.9!I19:I20,[44]Feb10!I17:I18,[44]Feb11!I10,[44]Feb14!I10:I12,[44]Feb17!I11:I13,[44]Feb18!I10:I12,'[44]Feb 21'!I13,'[44]Feb 21'!I16,'[44]Feb 22'!I16:I19,'[44]Feb 23'!I17:I20,'[44]Feb 24'!I15:I18,'[44]Feb 25'!I16:I17,'[44]Feb 28'!I10,'[44]Feb 28'!I19:I20)</f>
        <v>97.289162940824014</v>
      </c>
      <c r="F44" s="259">
        <v>98.163642226187022</v>
      </c>
      <c r="G44" s="259">
        <v>97.964054285784258</v>
      </c>
      <c r="H44" s="259">
        <f>'[45]Brewer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'[43]Brewer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'[43]Brewer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18" t="s">
        <v>123</v>
      </c>
      <c r="C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  <c r="P48" s="618"/>
      <c r="Q48" s="618"/>
    </row>
    <row r="49" spans="2:17" ht="15" customHeight="1">
      <c r="B49" s="618"/>
      <c r="C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  <c r="P49" s="618"/>
      <c r="Q49" s="618"/>
    </row>
    <row r="50" spans="2:17" ht="15" customHeight="1"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</row>
    <row r="51" spans="2:17" ht="15" customHeight="1"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</row>
    <row r="52" spans="2:17" ht="15" customHeight="1">
      <c r="B52" s="618"/>
      <c r="C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  <c r="P52" s="618"/>
      <c r="Q52" s="618"/>
    </row>
    <row r="53" spans="2:17" ht="15" customHeight="1">
      <c r="B53" s="618"/>
      <c r="C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  <c r="P53" s="618"/>
      <c r="Q53" s="618"/>
    </row>
    <row r="54" spans="2:17" ht="15" customHeight="1">
      <c r="B54" s="618"/>
      <c r="C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  <c r="P54" s="618"/>
      <c r="Q54" s="618"/>
    </row>
    <row r="55" spans="2:17" ht="15" customHeight="1"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  <c r="P55" s="618"/>
      <c r="Q55" s="618"/>
    </row>
    <row r="56" spans="2:17" ht="15" customHeight="1"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  <c r="P56" s="618"/>
      <c r="Q56" s="618"/>
    </row>
    <row r="57" spans="2:17" ht="15" customHeight="1">
      <c r="B57" s="618"/>
      <c r="C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  <c r="P57" s="618"/>
      <c r="Q57" s="618"/>
    </row>
    <row r="58" spans="2:17" ht="15" customHeight="1">
      <c r="B58" s="618"/>
      <c r="C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  <c r="P58" s="618"/>
      <c r="Q58" s="618"/>
    </row>
    <row r="59" spans="2:17" ht="15" customHeight="1"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</row>
    <row r="60" spans="2:17" ht="15" customHeight="1">
      <c r="B60" s="618"/>
      <c r="C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  <c r="P60" s="618"/>
      <c r="Q60" s="618"/>
    </row>
    <row r="61" spans="2:17" ht="15" customHeight="1">
      <c r="B61" s="618"/>
      <c r="C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  <c r="P61" s="618"/>
      <c r="Q61" s="618"/>
    </row>
    <row r="62" spans="2:17" ht="15" customHeight="1">
      <c r="B62" s="618"/>
      <c r="C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  <c r="P62" s="618"/>
      <c r="Q62" s="618"/>
    </row>
    <row r="63" spans="2:17" ht="15" customHeight="1">
      <c r="B63" s="618"/>
      <c r="C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  <c r="P63" s="618"/>
      <c r="Q63" s="618"/>
    </row>
    <row r="64" spans="2:17" ht="15" customHeight="1">
      <c r="B64" s="618"/>
      <c r="C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  <c r="P64" s="618"/>
      <c r="Q64" s="618"/>
    </row>
    <row r="65" spans="2:17" ht="15" customHeight="1"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</row>
    <row r="66" spans="2:17" ht="15" customHeight="1">
      <c r="B66" s="618"/>
      <c r="C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  <c r="P66" s="618"/>
      <c r="Q66" s="618"/>
    </row>
    <row r="67" spans="2:17" ht="15" customHeight="1">
      <c r="B67" s="618"/>
      <c r="C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  <c r="P67" s="618"/>
      <c r="Q67" s="618"/>
    </row>
    <row r="68" spans="2:17" ht="15" customHeight="1">
      <c r="B68" s="618"/>
      <c r="C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  <c r="P68" s="618"/>
      <c r="Q68" s="618"/>
    </row>
    <row r="69" spans="2:17" ht="15" customHeight="1"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  <c r="P69" s="618"/>
      <c r="Q69" s="618"/>
    </row>
    <row r="70" spans="2:17" ht="15" customHeight="1">
      <c r="B70" s="618"/>
      <c r="C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  <c r="P70" s="618"/>
      <c r="Q70" s="618"/>
    </row>
    <row r="71" spans="2:17" ht="15" customHeight="1"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</row>
    <row r="72" spans="2:17" ht="15" customHeight="1">
      <c r="B72" s="618"/>
      <c r="C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  <c r="P72" s="618"/>
      <c r="Q72" s="618"/>
    </row>
    <row r="73" spans="2:17" ht="15" customHeight="1">
      <c r="B73" s="618"/>
      <c r="C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  <c r="P73" s="618"/>
      <c r="Q73" s="618"/>
    </row>
    <row r="74" spans="2:17" ht="15" customHeight="1">
      <c r="B74" s="618"/>
      <c r="C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</row>
    <row r="75" spans="2:17" ht="15" customHeight="1">
      <c r="B75" s="618"/>
      <c r="C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</row>
    <row r="76" spans="2:17">
      <c r="B76" s="618"/>
      <c r="C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Dec 18th</vt:lpstr>
      <vt:lpstr>Oct 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2026-10-01T17:45:56Z</dcterms:modified>
</cp:coreProperties>
</file>