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fileSharing readOnlyRecommended="1" userName="Kaylil Baptiste" algorithmName="SHA-512" hashValue="KNos3WBgDF34RJR9v3PlpLIeDW2KSykL+0u3OHNSSbHS5XL6nHgqFFfalEeuGCLXepEufBDkGrRcZm3qZcfMSQ==" saltValue="nLunM/TERM7w6KdLn1P1mA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Forsyth\Bottling Reports '26\"/>
    </mc:Choice>
  </mc:AlternateContent>
  <xr:revisionPtr revIDLastSave="0" documentId="13_ncr:10001_{638B6436-AD82-4B13-B189-CAD55F8F95D4}" xr6:coauthVersionLast="47" xr6:coauthVersionMax="47" xr10:uidLastSave="{00000000-0000-0000-0000-000000000000}"/>
  <bookViews>
    <workbookView xWindow="-120" yWindow="-120" windowWidth="29040" windowHeight="15720" firstSheet="6" activeTab="9" xr2:uid="{00000000-000D-0000-FFFF-FFFF00000000}"/>
  </bookViews>
  <sheets>
    <sheet name="January_2026" sheetId="109" r:id="rId1"/>
    <sheet name="February_2026" sheetId="110" r:id="rId2"/>
    <sheet name="March_2026" sheetId="111" r:id="rId3"/>
    <sheet name="April_2026 " sheetId="121" r:id="rId4"/>
    <sheet name="May_2026" sheetId="113" r:id="rId5"/>
    <sheet name="June_2026" sheetId="122" r:id="rId6"/>
    <sheet name="July_2026" sheetId="115" r:id="rId7"/>
    <sheet name="August_2026" sheetId="116" r:id="rId8"/>
    <sheet name="September_206" sheetId="117" r:id="rId9"/>
    <sheet name="October_2026" sheetId="118" r:id="rId10"/>
    <sheet name="November_2026" sheetId="119" r:id="rId11"/>
    <sheet name="December_2026" sheetId="120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Fill" hidden="1">#REF!</definedName>
    <definedName name="_xlnm._FilterDatabase" localSheetId="3" hidden="1">'April_2026 '!$B$5:$Q$53</definedName>
    <definedName name="_xlnm._FilterDatabase" localSheetId="7" hidden="1">August_2026!$B$7:$V$59</definedName>
    <definedName name="_xlnm._FilterDatabase" localSheetId="11" hidden="1">December_2026!$B$5:$P$62</definedName>
    <definedName name="_xlnm._FilterDatabase" localSheetId="1" hidden="1">February_2026!$B$5:$R$65</definedName>
    <definedName name="_xlnm._FilterDatabase" localSheetId="0" hidden="1">January_2026!$B$5:$S$72</definedName>
    <definedName name="_xlnm._FilterDatabase" localSheetId="6" hidden="1">July_2026!$B$5:$Q$62</definedName>
    <definedName name="_xlnm._FilterDatabase" localSheetId="5" hidden="1">June_2026!$B$5:$Q$59</definedName>
    <definedName name="_xlnm._FilterDatabase" localSheetId="2" hidden="1">March_2026!$B$5:$R$64</definedName>
    <definedName name="_xlnm._FilterDatabase" localSheetId="4" hidden="1">May_2026!$B$5:$R$65</definedName>
    <definedName name="_xlnm._FilterDatabase" localSheetId="10" hidden="1">November_2026!$B$5:$Q$57</definedName>
    <definedName name="_xlnm._FilterDatabase" localSheetId="9" hidden="1">October_2026!$B$5:$R$63</definedName>
    <definedName name="_xlnm._FilterDatabase" localSheetId="8" hidden="1">September_206!$B$5:$R$56</definedName>
    <definedName name="Apr">[1]April!$A$1:$Q$35</definedName>
    <definedName name="Aug">[1]Aug!$A$1:$Q$35</definedName>
    <definedName name="Category">#REF!</definedName>
    <definedName name="Classification">#REF!</definedName>
    <definedName name="CO2MOR">#REF!</definedName>
    <definedName name="Company">#REF!</definedName>
    <definedName name="Date">#REF!</definedName>
    <definedName name="Dec">[1]Dec!$A$1:$Q$35</definedName>
    <definedName name="elc.beer">[2]Electricity!#REF!</definedName>
    <definedName name="Elec.beer">[2]Electricity!#REF!</definedName>
    <definedName name="elec.malt">[2]Electricity!#REF!</definedName>
    <definedName name="elec.oth">[2]Electricity!#REF!</definedName>
    <definedName name="ELECMOR">#REF!</definedName>
    <definedName name="EV__DECIMALSYMBOL__" hidden="1">"."</definedName>
    <definedName name="EV__LASTREFTIME__" hidden="1">39758.7170023148</definedName>
    <definedName name="EV__LOCKEDCVW__DETAILEDACTUALS" hidden="1">"CURGFO,GLOBALENTITY,TOTREVGENPRODMBOED,TotalOperatorInd,2001.TOTAL,PERIODIC,"</definedName>
    <definedName name="EV__LOCKEDCVW__GFO_PI" hidden="1">"CURGFO,GLOBALENTITY,TOTREVGENPRODMBOED,TotalOperatorInd,2001.TOTAL,PERIODIC,"</definedName>
    <definedName name="EV__LOCKEDCVW__LA_GFO_PI" hidden="1">"CURGFO,BPTTBU,GFOVOLPARENT,TotalOperatorInd,2008.TOTAL,PERIODIC,"</definedName>
    <definedName name="EV__LOCKEDCVW__LA_PLAN" hidden="1">"BPTTOPSPU,TotalOperatorInd,GFOVOLPARENT,NYPLAN,2009.TOTAL,PERIODIC,"</definedName>
    <definedName name="EV__LOCKEDCVW__OPEX" hidden="1">"CURGFO,BPTTBU,TOTREVGENPRODMBOED,NET,TotalOperatorInd,USD,2001.TOTAL,PERIODIC,"</definedName>
    <definedName name="EV__LOCKEDCVW__OPEX_PLAN" hidden="1">"BPTTBU,NET,TotalOperatorInd,TOTREVGENPRODMBOED,REBASEDPLAN,USD,2001.TOTAL,PERIODIC,"</definedName>
    <definedName name="EV__LOCKEDCVW__PLAN" hidden="1">"GLOBALENTITY,TotalOperatorInd,TOTREVGENPRODMBOED,REBASEDPLAN,2001.TOTAL,PERIODIC,"</definedName>
    <definedName name="EV__LOCKEDCVW__RATE" hidden="1">"CURGFO,USD,AVG,RateInput,2001.TOTAL,WTDAVG,"</definedName>
    <definedName name="EV__LOCKSTATUS__" hidden="1">2</definedName>
    <definedName name="Feb">[1]Feb!$A$1:$Q$35</definedName>
    <definedName name="FS_Area">#REF!</definedName>
    <definedName name="FUELMOR">#REF!</definedName>
    <definedName name="H20MOR">#REF!</definedName>
    <definedName name="IT">#REF!</definedName>
    <definedName name="Jan">'[1] Jan'!$A$1:$Q$35</definedName>
    <definedName name="July">[1]July!$A$1:$Q$35</definedName>
    <definedName name="June">[1]June!$A$1:$Q$35</definedName>
    <definedName name="Mar">[1]Mar!$A$1:$Q$35</definedName>
    <definedName name="May">[1]May!$A$1:$Q$35</definedName>
    <definedName name="MS">#REF!</definedName>
    <definedName name="Nov">[1]Nov!$A$1:$Q$35</definedName>
    <definedName name="Oct">[1]Oct!$A$1:$Q$35</definedName>
    <definedName name="_xlnm.Print_Area" localSheetId="3">'April_2026 '!$B$1:$R$59</definedName>
    <definedName name="_xlnm.Print_Area" localSheetId="7">August_2026!$B$1:$R$62</definedName>
    <definedName name="_xlnm.Print_Area" localSheetId="11">December_2026!$B$1:$S$65</definedName>
    <definedName name="_xlnm.Print_Area" localSheetId="1">February_2026!$B$1:$R$68</definedName>
    <definedName name="_xlnm.Print_Area" localSheetId="0">January_2026!$B$1:$S$70</definedName>
    <definedName name="_xlnm.Print_Area" localSheetId="6">July_2026!$B$1:$R$65</definedName>
    <definedName name="_xlnm.Print_Area" localSheetId="5">June_2026!$B$1:$R$62</definedName>
    <definedName name="_xlnm.Print_Area" localSheetId="2">March_2026!$B$1:$R$67</definedName>
    <definedName name="_xlnm.Print_Area" localSheetId="4">May_2026!$B$1:$U$68</definedName>
    <definedName name="_xlnm.Print_Area" localSheetId="10">November_2026!$B$1:$R$67</definedName>
    <definedName name="_xlnm.Print_Area" localSheetId="9">October_2026!$B$1:$R$69</definedName>
    <definedName name="_xlnm.Print_Area" localSheetId="8">September_206!$B$1:$R$59</definedName>
    <definedName name="RATIOS">#REF!</definedName>
    <definedName name="Reporting_body">#REF!</definedName>
    <definedName name="Risk">#REF!</definedName>
    <definedName name="Sector">#REF!</definedName>
    <definedName name="Sept">[1]Sept!$A$1:$Q$35</definedName>
    <definedName name="Status">#REF!</definedName>
    <definedName name="Summary">#REF!</definedName>
    <definedName name="TOTALM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8" i="117" l="1"/>
  <c r="S47" i="117"/>
  <c r="J47" i="117" l="1"/>
  <c r="K47" i="117"/>
  <c r="K48" i="117"/>
  <c r="J48" i="117"/>
  <c r="J46" i="117" l="1"/>
  <c r="K46" i="117"/>
  <c r="Q46" i="117"/>
  <c r="S46" i="117"/>
  <c r="S45" i="117"/>
  <c r="J45" i="117" l="1"/>
  <c r="J44" i="117"/>
  <c r="J43" i="117"/>
  <c r="F45" i="117" l="1"/>
  <c r="F46" i="117"/>
  <c r="F47" i="117"/>
  <c r="F48" i="117"/>
  <c r="F49" i="117"/>
  <c r="F50" i="117"/>
  <c r="F51" i="117"/>
  <c r="F52" i="117"/>
  <c r="H47" i="117" l="1"/>
  <c r="N44" i="117"/>
  <c r="J41" i="117" l="1"/>
  <c r="J42" i="117"/>
  <c r="J40" i="117"/>
  <c r="Q44" i="117"/>
  <c r="F42" i="117"/>
  <c r="F43" i="117"/>
  <c r="S44" i="117"/>
  <c r="Q43" i="117" l="1"/>
  <c r="S43" i="117"/>
  <c r="S42" i="117"/>
  <c r="J30" i="117" l="1"/>
  <c r="N41" i="117"/>
  <c r="Q41" i="117"/>
  <c r="S41" i="117" l="1"/>
  <c r="J38" i="117" l="1"/>
  <c r="Q40" i="117"/>
  <c r="S40" i="117"/>
  <c r="S38" i="117" l="1"/>
  <c r="Q37" i="117" l="1"/>
  <c r="K36" i="117"/>
  <c r="J36" i="117"/>
  <c r="S36" i="117"/>
  <c r="P36" i="117" l="1"/>
  <c r="N36" i="117"/>
  <c r="J23" i="117"/>
  <c r="J18" i="117"/>
  <c r="J19" i="117"/>
  <c r="J17" i="117"/>
  <c r="J10" i="117"/>
  <c r="Q36" i="117"/>
  <c r="Q35" i="117"/>
  <c r="Q34" i="117"/>
  <c r="Q33" i="117"/>
  <c r="Q32" i="117"/>
  <c r="N30" i="117"/>
  <c r="N31" i="117"/>
  <c r="J31" i="117"/>
  <c r="K34" i="117"/>
  <c r="K32" i="117"/>
  <c r="J32" i="117"/>
  <c r="J34" i="117"/>
  <c r="S34" i="117"/>
  <c r="S32" i="117"/>
  <c r="S31" i="117"/>
  <c r="Q30" i="117" l="1"/>
  <c r="Q29" i="117"/>
  <c r="S30" i="117" l="1"/>
  <c r="S29" i="117"/>
  <c r="S28" i="117"/>
  <c r="N29" i="117" l="1"/>
  <c r="J29" i="117"/>
  <c r="J25" i="117" l="1"/>
  <c r="J26" i="117"/>
  <c r="Q27" i="117"/>
  <c r="I26" i="117"/>
  <c r="J27" i="117"/>
  <c r="N26" i="117"/>
  <c r="S26" i="117"/>
  <c r="N23" i="117" l="1"/>
  <c r="Q25" i="117"/>
  <c r="N22" i="117"/>
  <c r="N25" i="117"/>
  <c r="S22" i="117"/>
  <c r="S23" i="117"/>
  <c r="S24" i="117"/>
  <c r="S25" i="117"/>
  <c r="J24" i="117" l="1"/>
  <c r="Q23" i="117"/>
  <c r="S21" i="117"/>
  <c r="J22" i="117" l="1"/>
  <c r="Q21" i="117" l="1"/>
  <c r="S20" i="117"/>
  <c r="J21" i="117" l="1"/>
  <c r="J20" i="117"/>
  <c r="N20" i="117"/>
  <c r="S19" i="117"/>
  <c r="Q18" i="117" l="1"/>
  <c r="S18" i="117" l="1"/>
  <c r="N18" i="117"/>
  <c r="S17" i="117"/>
  <c r="S16" i="117" l="1"/>
  <c r="S14" i="117"/>
  <c r="S13" i="117"/>
  <c r="S12" i="117"/>
  <c r="S11" i="117"/>
  <c r="S10" i="117"/>
  <c r="S9" i="117"/>
  <c r="S8" i="117"/>
  <c r="S54" i="117" l="1"/>
  <c r="Q17" i="117"/>
  <c r="Q16" i="117" l="1"/>
  <c r="Q15" i="117" l="1"/>
  <c r="Q14" i="117"/>
  <c r="Q13" i="117"/>
  <c r="N14" i="117"/>
  <c r="J14" i="117"/>
  <c r="Q12" i="117"/>
  <c r="Q11" i="117"/>
  <c r="Q10" i="117"/>
  <c r="K10" i="117"/>
  <c r="J9" i="117"/>
  <c r="N11" i="117"/>
  <c r="N10" i="117"/>
  <c r="J42" i="116" l="1"/>
  <c r="J41" i="116"/>
  <c r="J40" i="116"/>
  <c r="J39" i="116"/>
  <c r="Q9" i="117"/>
  <c r="J8" i="117"/>
  <c r="N8" i="117"/>
  <c r="J36" i="116" l="1"/>
  <c r="N44" i="116" l="1"/>
  <c r="S44" i="116"/>
  <c r="J44" i="116" l="1"/>
  <c r="J43" i="116"/>
  <c r="K44" i="116"/>
  <c r="Q43" i="116" l="1"/>
  <c r="Q42" i="116"/>
  <c r="Q41" i="116"/>
  <c r="S43" i="116"/>
  <c r="S41" i="116"/>
  <c r="S40" i="116"/>
  <c r="N41" i="116" l="1"/>
  <c r="K43" i="116"/>
  <c r="S39" i="116"/>
  <c r="S38" i="116"/>
  <c r="S37" i="116"/>
  <c r="Q39" i="116" l="1"/>
  <c r="Q38" i="116"/>
  <c r="N37" i="116"/>
  <c r="J37" i="116"/>
  <c r="Q36" i="116" l="1"/>
  <c r="S36" i="116"/>
  <c r="S35" i="116"/>
  <c r="N35" i="116" l="1"/>
  <c r="J35" i="116"/>
  <c r="J34" i="116"/>
  <c r="F34" i="116"/>
  <c r="F32" i="116"/>
  <c r="F33" i="116"/>
  <c r="Q34" i="116"/>
  <c r="N33" i="116"/>
  <c r="S31" i="116"/>
  <c r="S33" i="116"/>
  <c r="J33" i="116" l="1"/>
  <c r="J31" i="116" l="1"/>
  <c r="J32" i="116"/>
  <c r="Q31" i="116"/>
  <c r="Q32" i="116"/>
  <c r="N31" i="116"/>
  <c r="J20" i="116" l="1"/>
  <c r="S28" i="116"/>
  <c r="S26" i="116"/>
  <c r="J29" i="116" l="1"/>
  <c r="Q28" i="116" l="1"/>
  <c r="Q26" i="116"/>
  <c r="J27" i="116"/>
  <c r="J26" i="116"/>
  <c r="K27" i="116"/>
  <c r="L27" i="116" l="1"/>
  <c r="Q24" i="116"/>
  <c r="S24" i="116"/>
  <c r="J24" i="116"/>
  <c r="K24" i="116"/>
  <c r="P24" i="116" l="1"/>
  <c r="L24" i="116"/>
  <c r="Q22" i="116" l="1"/>
  <c r="N22" i="116" l="1"/>
  <c r="J22" i="116"/>
  <c r="K22" i="116"/>
  <c r="P22" i="116" s="1"/>
  <c r="J21" i="116"/>
  <c r="S20" i="116"/>
  <c r="S22" i="116"/>
  <c r="Q20" i="116" l="1"/>
  <c r="N20" i="116" l="1"/>
  <c r="J17" i="116" l="1"/>
  <c r="J19" i="116"/>
  <c r="Q17" i="116"/>
  <c r="S17" i="116"/>
  <c r="K17" i="116"/>
  <c r="P17" i="116" s="1"/>
  <c r="J16" i="116"/>
  <c r="S16" i="116" l="1"/>
  <c r="J15" i="116" l="1"/>
  <c r="N16" i="116"/>
  <c r="S14" i="116" l="1"/>
  <c r="Q14" i="116" l="1"/>
  <c r="J14" i="116"/>
  <c r="N14" i="116"/>
  <c r="J12" i="116" l="1"/>
  <c r="J10" i="116"/>
  <c r="J9" i="116"/>
  <c r="J13" i="116" l="1"/>
  <c r="Q37" i="109"/>
  <c r="Q50" i="109"/>
  <c r="Q45" i="110"/>
  <c r="S13" i="116" l="1"/>
  <c r="S10" i="116"/>
  <c r="K13" i="116"/>
  <c r="K12" i="116"/>
  <c r="K11" i="116"/>
  <c r="J11" i="116" l="1"/>
  <c r="H64" i="116"/>
  <c r="Q10" i="116" l="1"/>
  <c r="S9" i="116"/>
  <c r="S8" i="116"/>
  <c r="K9" i="116"/>
  <c r="N9" i="116"/>
  <c r="S57" i="116" l="1"/>
  <c r="Q8" i="116"/>
  <c r="J51" i="115"/>
  <c r="J50" i="115"/>
  <c r="J18" i="115" l="1"/>
  <c r="J34" i="115"/>
  <c r="N8" i="116"/>
  <c r="J8" i="116"/>
  <c r="N59" i="115"/>
  <c r="J57" i="115" l="1"/>
  <c r="J30" i="115"/>
  <c r="J53" i="115" l="1"/>
  <c r="O60" i="115" l="1"/>
  <c r="E60" i="115"/>
  <c r="G60" i="115"/>
  <c r="Q60" i="115" l="1"/>
  <c r="J33" i="115"/>
  <c r="J32" i="115"/>
  <c r="J28" i="115"/>
  <c r="J59" i="115"/>
  <c r="K59" i="115"/>
  <c r="Q59" i="115" l="1"/>
  <c r="S59" i="115"/>
  <c r="J58" i="115" l="1"/>
  <c r="S57" i="115"/>
  <c r="S56" i="115"/>
  <c r="Q58" i="115" l="1"/>
  <c r="Q57" i="115"/>
  <c r="Q56" i="115"/>
  <c r="N57" i="115"/>
  <c r="K58" i="115"/>
  <c r="K57" i="115"/>
  <c r="P59" i="115"/>
  <c r="P58" i="115" l="1"/>
  <c r="P57" i="115"/>
  <c r="J56" i="115"/>
  <c r="J55" i="115"/>
  <c r="K56" i="115"/>
  <c r="J13" i="115"/>
  <c r="P56" i="115" l="1"/>
  <c r="J31" i="115"/>
  <c r="L56" i="115" l="1"/>
  <c r="L57" i="115"/>
  <c r="L58" i="115"/>
  <c r="L59" i="115"/>
  <c r="K55" i="115"/>
  <c r="S55" i="115"/>
  <c r="S53" i="115"/>
  <c r="L55" i="115" l="1"/>
  <c r="P55" i="115"/>
  <c r="Q55" i="115" l="1"/>
  <c r="Q54" i="115"/>
  <c r="K53" i="115"/>
  <c r="J10" i="115" l="1"/>
  <c r="J9" i="115"/>
  <c r="J17" i="115"/>
  <c r="J12" i="115"/>
  <c r="Q52" i="115"/>
  <c r="Q51" i="115"/>
  <c r="N51" i="115"/>
  <c r="S52" i="115"/>
  <c r="S51" i="115"/>
  <c r="K51" i="115" l="1"/>
  <c r="J39" i="115" l="1"/>
  <c r="Q50" i="115"/>
  <c r="I50" i="115"/>
  <c r="I60" i="115" s="1"/>
  <c r="K50" i="115"/>
  <c r="Q49" i="115"/>
  <c r="Q48" i="115"/>
  <c r="Q47" i="115"/>
  <c r="Q45" i="115"/>
  <c r="S50" i="115"/>
  <c r="P50" i="115" l="1"/>
  <c r="N50" i="115"/>
  <c r="S48" i="115" l="1"/>
  <c r="N48" i="115" l="1"/>
  <c r="J48" i="115"/>
  <c r="S46" i="115" l="1"/>
  <c r="N45" i="115" l="1"/>
  <c r="J46" i="115"/>
  <c r="S44" i="115" l="1"/>
  <c r="Q44" i="115" l="1"/>
  <c r="F38" i="115"/>
  <c r="F45" i="115"/>
  <c r="F49" i="115"/>
  <c r="J44" i="115"/>
  <c r="Q46" i="115" l="1"/>
  <c r="Q53" i="115"/>
  <c r="Q43" i="115"/>
  <c r="Q42" i="115"/>
  <c r="J42" i="115"/>
  <c r="K42" i="115"/>
  <c r="N42" i="115"/>
  <c r="S42" i="115"/>
  <c r="J43" i="115"/>
  <c r="K43" i="115"/>
  <c r="S43" i="115"/>
  <c r="K44" i="115"/>
  <c r="J40" i="115"/>
  <c r="L42" i="115" l="1"/>
  <c r="L43" i="115"/>
  <c r="L44" i="115"/>
  <c r="P44" i="115"/>
  <c r="P42" i="115"/>
  <c r="P43" i="115"/>
  <c r="K41" i="115"/>
  <c r="Q37" i="115" l="1"/>
  <c r="Q36" i="115"/>
  <c r="Q35" i="115"/>
  <c r="Q34" i="115"/>
  <c r="Q39" i="115"/>
  <c r="N39" i="115"/>
  <c r="S39" i="115"/>
  <c r="K39" i="115" l="1"/>
  <c r="J15" i="115" l="1"/>
  <c r="S37" i="115"/>
  <c r="J37" i="115" l="1"/>
  <c r="S34" i="115" l="1"/>
  <c r="S33" i="115"/>
  <c r="K34" i="115"/>
  <c r="S32" i="115" l="1"/>
  <c r="S31" i="115"/>
  <c r="Q33" i="115" l="1"/>
  <c r="Q32" i="115"/>
  <c r="Q31" i="115"/>
  <c r="N31" i="115"/>
  <c r="Q30" i="115" l="1"/>
  <c r="S30" i="115"/>
  <c r="N30" i="115" l="1"/>
  <c r="K30" i="115"/>
  <c r="J29" i="115"/>
  <c r="Q28" i="115" l="1"/>
  <c r="S28" i="115"/>
  <c r="N28" i="115" l="1"/>
  <c r="K28" i="115"/>
  <c r="J27" i="115"/>
  <c r="Q26" i="115" l="1"/>
  <c r="S27" i="115"/>
  <c r="S26" i="115"/>
  <c r="N26" i="115" l="1"/>
  <c r="J26" i="115"/>
  <c r="S24" i="115" l="1"/>
  <c r="S23" i="115"/>
  <c r="N24" i="115" l="1"/>
  <c r="N23" i="115"/>
  <c r="Q25" i="115"/>
  <c r="Q24" i="115"/>
  <c r="Q23" i="115"/>
  <c r="K24" i="115"/>
  <c r="J24" i="115"/>
  <c r="J23" i="115"/>
  <c r="J21" i="115" l="1"/>
  <c r="Q22" i="115" l="1"/>
  <c r="Q21" i="115"/>
  <c r="Q20" i="115"/>
  <c r="Q18" i="115"/>
  <c r="K19" i="115"/>
  <c r="K21" i="115"/>
  <c r="S21" i="115"/>
  <c r="S19" i="115"/>
  <c r="S18" i="115"/>
  <c r="N18" i="115" l="1"/>
  <c r="N16" i="115" l="1"/>
  <c r="S17" i="115"/>
  <c r="S16" i="115"/>
  <c r="J16" i="115" l="1"/>
  <c r="N15" i="115" l="1"/>
  <c r="S15" i="115" l="1"/>
  <c r="Q16" i="115" l="1"/>
  <c r="Q15" i="115"/>
  <c r="S14" i="115" l="1"/>
  <c r="S13" i="115"/>
  <c r="Q13" i="115" l="1"/>
  <c r="J14" i="115" l="1"/>
  <c r="N13" i="115"/>
  <c r="S12" i="115" l="1"/>
  <c r="S10" i="115"/>
  <c r="S9" i="115"/>
  <c r="S8" i="115"/>
  <c r="S60" i="115" l="1"/>
  <c r="S68" i="115"/>
  <c r="Q12" i="115"/>
  <c r="Q11" i="115"/>
  <c r="Q10" i="115"/>
  <c r="N10" i="115"/>
  <c r="Q14" i="115"/>
  <c r="Q17" i="115"/>
  <c r="Q19" i="115"/>
  <c r="K11" i="115"/>
  <c r="K10" i="115"/>
  <c r="K9" i="115"/>
  <c r="Q27" i="115" l="1"/>
  <c r="Q29" i="115"/>
  <c r="Q9" i="115"/>
  <c r="Q8" i="115"/>
  <c r="N8" i="115"/>
  <c r="J8" i="115"/>
  <c r="J60" i="115" l="1"/>
  <c r="S30" i="122"/>
  <c r="S29" i="122"/>
  <c r="Q30" i="122" l="1"/>
  <c r="J30" i="122"/>
  <c r="J29" i="122"/>
  <c r="N30" i="122"/>
  <c r="J17" i="122" l="1"/>
  <c r="Q28" i="122"/>
  <c r="Q27" i="122"/>
  <c r="S28" i="122"/>
  <c r="S27" i="122"/>
  <c r="S26" i="122"/>
  <c r="J27" i="122" l="1"/>
  <c r="J26" i="122"/>
  <c r="Q25" i="122"/>
  <c r="S25" i="122"/>
  <c r="S24" i="122"/>
  <c r="S22" i="122"/>
  <c r="N24" i="122" l="1"/>
  <c r="J25" i="122"/>
  <c r="J24" i="122"/>
  <c r="F34" i="117" l="1"/>
  <c r="F36" i="117"/>
  <c r="F37" i="117"/>
  <c r="F40" i="117"/>
  <c r="J22" i="122"/>
  <c r="Q21" i="122"/>
  <c r="Q20" i="122"/>
  <c r="Q19" i="122"/>
  <c r="S20" i="122" l="1"/>
  <c r="S19" i="122"/>
  <c r="F41" i="117" l="1"/>
  <c r="F38" i="117"/>
  <c r="F39" i="117"/>
  <c r="J20" i="122"/>
  <c r="K20" i="122"/>
  <c r="J19" i="122"/>
  <c r="N19" i="122"/>
  <c r="H39" i="117" l="1"/>
  <c r="S17" i="122"/>
  <c r="S16" i="122"/>
  <c r="Q16" i="122" l="1"/>
  <c r="K17" i="122"/>
  <c r="Q17" i="122"/>
  <c r="N16" i="122"/>
  <c r="J16" i="122"/>
  <c r="J15" i="122"/>
  <c r="S14" i="122" l="1"/>
  <c r="S13" i="122"/>
  <c r="S11" i="122"/>
  <c r="S10" i="122"/>
  <c r="S9" i="122"/>
  <c r="S63" i="122"/>
  <c r="Q15" i="122"/>
  <c r="Q14" i="122"/>
  <c r="S57" i="122" l="1"/>
  <c r="J9" i="122"/>
  <c r="J13" i="122" l="1"/>
  <c r="K12" i="122"/>
  <c r="J12" i="122"/>
  <c r="Q12" i="122"/>
  <c r="J8" i="122"/>
  <c r="N11" i="122"/>
  <c r="K9" i="122"/>
  <c r="K10" i="122"/>
  <c r="K11" i="122"/>
  <c r="J11" i="122"/>
  <c r="J10" i="122"/>
  <c r="K13" i="122"/>
  <c r="K14" i="122"/>
  <c r="K15" i="122"/>
  <c r="K16" i="122"/>
  <c r="K18" i="122"/>
  <c r="K19" i="122"/>
  <c r="K22" i="122"/>
  <c r="K23" i="122"/>
  <c r="K24" i="122"/>
  <c r="K25" i="122"/>
  <c r="K26" i="122"/>
  <c r="K27" i="122"/>
  <c r="K28" i="122"/>
  <c r="K29" i="122"/>
  <c r="K30" i="122"/>
  <c r="K31" i="122"/>
  <c r="K32" i="122"/>
  <c r="K33" i="122"/>
  <c r="K34" i="122"/>
  <c r="K35" i="122"/>
  <c r="K36" i="122"/>
  <c r="K37" i="122"/>
  <c r="K38" i="122"/>
  <c r="K39" i="122"/>
  <c r="K40" i="122"/>
  <c r="P40" i="122" s="1"/>
  <c r="K41" i="122"/>
  <c r="P41" i="122" s="1"/>
  <c r="K42" i="122"/>
  <c r="P42" i="122" s="1"/>
  <c r="K43" i="122"/>
  <c r="P43" i="122" s="1"/>
  <c r="K44" i="122"/>
  <c r="P44" i="122" s="1"/>
  <c r="K45" i="122"/>
  <c r="P45" i="122" s="1"/>
  <c r="K46" i="122"/>
  <c r="P46" i="122" s="1"/>
  <c r="K47" i="122"/>
  <c r="P47" i="122" s="1"/>
  <c r="K48" i="122"/>
  <c r="K49" i="122"/>
  <c r="K50" i="122"/>
  <c r="K51" i="122"/>
  <c r="K52" i="122"/>
  <c r="K53" i="122"/>
  <c r="K54" i="122"/>
  <c r="K55" i="122"/>
  <c r="K56" i="122"/>
  <c r="K8" i="122"/>
  <c r="K57" i="122" l="1"/>
  <c r="Q10" i="122"/>
  <c r="Q9" i="122"/>
  <c r="Q8" i="122"/>
  <c r="P13" i="122" l="1"/>
  <c r="Q13" i="122"/>
  <c r="P14" i="122"/>
  <c r="P15" i="122"/>
  <c r="P16" i="122"/>
  <c r="P17" i="122"/>
  <c r="P18" i="122"/>
  <c r="Q18" i="122"/>
  <c r="P19" i="122"/>
  <c r="P20" i="122"/>
  <c r="P22" i="122"/>
  <c r="Q22" i="122"/>
  <c r="P23" i="122"/>
  <c r="Q23" i="122"/>
  <c r="P24" i="122"/>
  <c r="Q24" i="122"/>
  <c r="P25" i="122"/>
  <c r="P26" i="122"/>
  <c r="Q26" i="122"/>
  <c r="P27" i="122"/>
  <c r="P28" i="122"/>
  <c r="L8" i="122"/>
  <c r="P8" i="122"/>
  <c r="Q42" i="118" l="1"/>
  <c r="Q8" i="117"/>
  <c r="Q9" i="120" l="1"/>
  <c r="Q10" i="120"/>
  <c r="Q11" i="120"/>
  <c r="Q12" i="120"/>
  <c r="Q13" i="120"/>
  <c r="Q14" i="120"/>
  <c r="Q15" i="120"/>
  <c r="Q16" i="120"/>
  <c r="Q17" i="120"/>
  <c r="Q18" i="120"/>
  <c r="Q19" i="120"/>
  <c r="Q20" i="120"/>
  <c r="Q21" i="120"/>
  <c r="Q22" i="120"/>
  <c r="Q23" i="120"/>
  <c r="Q24" i="120"/>
  <c r="Q25" i="120"/>
  <c r="Q26" i="120"/>
  <c r="Q27" i="120"/>
  <c r="Q28" i="120"/>
  <c r="Q29" i="120"/>
  <c r="Q30" i="120"/>
  <c r="Q31" i="120"/>
  <c r="Q32" i="120"/>
  <c r="Q33" i="120"/>
  <c r="Q34" i="120"/>
  <c r="Q35" i="120"/>
  <c r="Q36" i="120"/>
  <c r="Q37" i="120"/>
  <c r="Q38" i="120"/>
  <c r="Q39" i="120"/>
  <c r="Q40" i="120"/>
  <c r="Q41" i="120"/>
  <c r="Q42" i="120"/>
  <c r="Q43" i="120"/>
  <c r="Q44" i="120"/>
  <c r="Q45" i="120"/>
  <c r="Q46" i="120"/>
  <c r="Q47" i="120"/>
  <c r="Q48" i="120"/>
  <c r="Q49" i="120"/>
  <c r="Q50" i="120"/>
  <c r="Q51" i="120"/>
  <c r="Q8" i="120"/>
  <c r="Q9" i="119"/>
  <c r="Q10" i="119"/>
  <c r="Q11" i="119"/>
  <c r="Q12" i="119"/>
  <c r="Q13" i="119"/>
  <c r="Q14" i="119"/>
  <c r="Q15" i="119"/>
  <c r="Q16" i="119"/>
  <c r="Q17" i="119"/>
  <c r="Q18" i="119"/>
  <c r="Q19" i="119"/>
  <c r="Q20" i="119"/>
  <c r="Q21" i="119"/>
  <c r="Q22" i="119"/>
  <c r="Q23" i="119"/>
  <c r="Q24" i="119"/>
  <c r="Q25" i="119"/>
  <c r="Q26" i="119"/>
  <c r="Q27" i="119"/>
  <c r="Q28" i="119"/>
  <c r="Q29" i="119"/>
  <c r="Q30" i="119"/>
  <c r="Q31" i="119"/>
  <c r="Q32" i="119"/>
  <c r="Q33" i="119"/>
  <c r="Q34" i="119"/>
  <c r="Q35" i="119"/>
  <c r="Q36" i="119"/>
  <c r="Q37" i="119"/>
  <c r="Q38" i="119"/>
  <c r="Q39" i="119"/>
  <c r="Q40" i="119"/>
  <c r="Q41" i="119"/>
  <c r="Q42" i="119"/>
  <c r="Q43" i="119"/>
  <c r="Q44" i="119"/>
  <c r="Q45" i="119"/>
  <c r="Q46" i="119"/>
  <c r="Q47" i="119"/>
  <c r="Q48" i="119"/>
  <c r="Q49" i="119"/>
  <c r="Q50" i="119"/>
  <c r="Q51" i="119"/>
  <c r="Q52" i="119"/>
  <c r="Q53" i="119"/>
  <c r="Q54" i="119"/>
  <c r="Q55" i="119"/>
  <c r="Q56" i="119"/>
  <c r="Q57" i="119"/>
  <c r="Q8" i="119"/>
  <c r="Q14" i="118"/>
  <c r="Q15" i="118"/>
  <c r="Q16" i="118"/>
  <c r="Q17" i="118"/>
  <c r="Q18" i="118"/>
  <c r="Q19" i="118"/>
  <c r="Q20" i="118"/>
  <c r="Q21" i="118"/>
  <c r="Q22" i="118"/>
  <c r="Q23" i="118"/>
  <c r="Q24" i="118"/>
  <c r="Q25" i="118"/>
  <c r="Q26" i="118"/>
  <c r="Q27" i="118"/>
  <c r="Q28" i="118"/>
  <c r="Q29" i="118"/>
  <c r="Q30" i="118"/>
  <c r="Q31" i="118"/>
  <c r="Q32" i="118"/>
  <c r="Q33" i="118"/>
  <c r="Q34" i="118"/>
  <c r="Q35" i="118"/>
  <c r="Q36" i="118"/>
  <c r="Q37" i="118"/>
  <c r="Q38" i="118"/>
  <c r="Q39" i="118"/>
  <c r="Q40" i="118"/>
  <c r="Q41" i="118"/>
  <c r="Q43" i="118"/>
  <c r="Q44" i="118"/>
  <c r="Q45" i="118"/>
  <c r="Q46" i="118"/>
  <c r="Q47" i="118"/>
  <c r="Q48" i="118"/>
  <c r="Q49" i="118"/>
  <c r="Q50" i="118"/>
  <c r="Q51" i="118"/>
  <c r="Q52" i="118"/>
  <c r="Q53" i="118"/>
  <c r="Q54" i="118"/>
  <c r="Q55" i="118"/>
  <c r="Q56" i="118"/>
  <c r="Q57" i="118"/>
  <c r="Q58" i="118"/>
  <c r="Q59" i="118"/>
  <c r="Q60" i="118"/>
  <c r="Q61" i="118"/>
  <c r="Q62" i="118"/>
  <c r="Q63" i="118"/>
  <c r="Q13" i="118"/>
  <c r="Q19" i="117"/>
  <c r="Q20" i="117"/>
  <c r="Q22" i="117"/>
  <c r="Q24" i="117"/>
  <c r="Q26" i="117"/>
  <c r="Q28" i="117"/>
  <c r="Q31" i="117"/>
  <c r="Q38" i="117"/>
  <c r="Q39" i="117"/>
  <c r="Q42" i="117"/>
  <c r="Q45" i="117"/>
  <c r="Q47" i="117"/>
  <c r="Q49" i="117"/>
  <c r="Q50" i="117"/>
  <c r="Q51" i="117"/>
  <c r="Q52" i="117"/>
  <c r="Q53" i="117"/>
  <c r="Q9" i="116"/>
  <c r="Q13" i="116"/>
  <c r="Q16" i="116"/>
  <c r="Q30" i="116"/>
  <c r="Q33" i="116"/>
  <c r="Q35" i="116"/>
  <c r="Q37" i="116"/>
  <c r="Q40" i="116"/>
  <c r="Q44" i="116"/>
  <c r="Q45" i="116"/>
  <c r="Q46" i="116"/>
  <c r="Q47" i="116"/>
  <c r="Q48" i="116"/>
  <c r="Q49" i="116"/>
  <c r="Q50" i="116"/>
  <c r="Q51" i="116"/>
  <c r="Q52" i="116"/>
  <c r="Q53" i="116"/>
  <c r="Q54" i="116"/>
  <c r="Q55" i="116"/>
  <c r="Q56" i="116"/>
  <c r="K10" i="116"/>
  <c r="L12" i="116"/>
  <c r="K14" i="116"/>
  <c r="K15" i="116"/>
  <c r="L15" i="116" s="1"/>
  <c r="K16" i="116"/>
  <c r="K19" i="116"/>
  <c r="K20" i="116"/>
  <c r="L20" i="116" s="1"/>
  <c r="K21" i="116"/>
  <c r="L22" i="116"/>
  <c r="K26" i="116"/>
  <c r="K29" i="116"/>
  <c r="K30" i="116"/>
  <c r="K31" i="116"/>
  <c r="K32" i="116"/>
  <c r="L32" i="116" s="1"/>
  <c r="K33" i="116"/>
  <c r="L33" i="116" s="1"/>
  <c r="K34" i="116"/>
  <c r="K35" i="116"/>
  <c r="K36" i="116"/>
  <c r="L36" i="116" s="1"/>
  <c r="K37" i="116"/>
  <c r="K38" i="116"/>
  <c r="K39" i="116"/>
  <c r="K40" i="116"/>
  <c r="K41" i="116"/>
  <c r="L41" i="116" s="1"/>
  <c r="K42" i="116"/>
  <c r="L42" i="116" s="1"/>
  <c r="K45" i="116"/>
  <c r="K46" i="116"/>
  <c r="K47" i="116"/>
  <c r="L47" i="116" s="1"/>
  <c r="K48" i="116"/>
  <c r="K49" i="116"/>
  <c r="L10" i="117"/>
  <c r="L11" i="117"/>
  <c r="L12" i="117"/>
  <c r="K13" i="117"/>
  <c r="L13" i="117" s="1"/>
  <c r="K14" i="117"/>
  <c r="L14" i="117" s="1"/>
  <c r="K15" i="117"/>
  <c r="L15" i="117" s="1"/>
  <c r="K16" i="117"/>
  <c r="L16" i="117" s="1"/>
  <c r="K17" i="117"/>
  <c r="L17" i="117" s="1"/>
  <c r="K18" i="117"/>
  <c r="L18" i="117" s="1"/>
  <c r="K19" i="117"/>
  <c r="L19" i="117" s="1"/>
  <c r="K20" i="117"/>
  <c r="L20" i="117" s="1"/>
  <c r="K21" i="117"/>
  <c r="L21" i="117" s="1"/>
  <c r="K22" i="117"/>
  <c r="L22" i="117" s="1"/>
  <c r="K23" i="117"/>
  <c r="L23" i="117" s="1"/>
  <c r="K24" i="117"/>
  <c r="L24" i="117" s="1"/>
  <c r="K25" i="117"/>
  <c r="L25" i="117" s="1"/>
  <c r="K26" i="117"/>
  <c r="L26" i="117" s="1"/>
  <c r="K27" i="117"/>
  <c r="L27" i="117" s="1"/>
  <c r="K28" i="117"/>
  <c r="L28" i="117" s="1"/>
  <c r="K29" i="117"/>
  <c r="L29" i="117" s="1"/>
  <c r="K30" i="117"/>
  <c r="L30" i="117" s="1"/>
  <c r="K31" i="117"/>
  <c r="L31" i="117" s="1"/>
  <c r="L32" i="117"/>
  <c r="L34" i="117"/>
  <c r="L36" i="117"/>
  <c r="L37" i="117"/>
  <c r="K38" i="117"/>
  <c r="L38" i="117" s="1"/>
  <c r="K39" i="117"/>
  <c r="L39" i="117" s="1"/>
  <c r="K40" i="117"/>
  <c r="L40" i="117" s="1"/>
  <c r="K41" i="117"/>
  <c r="L41" i="117" s="1"/>
  <c r="K42" i="117"/>
  <c r="L42" i="117" s="1"/>
  <c r="K43" i="117"/>
  <c r="L43" i="117" s="1"/>
  <c r="K44" i="117"/>
  <c r="L44" i="117" s="1"/>
  <c r="K45" i="117"/>
  <c r="L45" i="117" s="1"/>
  <c r="L46" i="117"/>
  <c r="L47" i="117"/>
  <c r="L48" i="117"/>
  <c r="K8" i="118"/>
  <c r="L8" i="118" s="1"/>
  <c r="K9" i="118"/>
  <c r="K10" i="118"/>
  <c r="K11" i="118"/>
  <c r="K12" i="118"/>
  <c r="K13" i="118"/>
  <c r="P13" i="118" s="1"/>
  <c r="L13" i="118"/>
  <c r="K14" i="118"/>
  <c r="P14" i="118" s="1"/>
  <c r="L14" i="118"/>
  <c r="K35" i="118"/>
  <c r="K36" i="118"/>
  <c r="K37" i="118"/>
  <c r="K38" i="118"/>
  <c r="P38" i="118" s="1"/>
  <c r="L38" i="118"/>
  <c r="K39" i="118"/>
  <c r="K40" i="118"/>
  <c r="P40" i="118" s="1"/>
  <c r="L40" i="118"/>
  <c r="K41" i="118"/>
  <c r="P41" i="118" s="1"/>
  <c r="K42" i="118"/>
  <c r="P42" i="118" s="1"/>
  <c r="K43" i="118"/>
  <c r="K44" i="118"/>
  <c r="K45" i="118"/>
  <c r="P45" i="118" s="1"/>
  <c r="L45" i="118"/>
  <c r="K46" i="118"/>
  <c r="P46" i="118" s="1"/>
  <c r="K47" i="118"/>
  <c r="P47" i="118" s="1"/>
  <c r="K48" i="118"/>
  <c r="P48" i="118" s="1"/>
  <c r="L48" i="118"/>
  <c r="K49" i="118"/>
  <c r="P49" i="118" s="1"/>
  <c r="L49" i="118"/>
  <c r="K50" i="118"/>
  <c r="P50" i="118" s="1"/>
  <c r="L50" i="118"/>
  <c r="K51" i="118"/>
  <c r="K52" i="118"/>
  <c r="K53" i="118"/>
  <c r="K54" i="118"/>
  <c r="P54" i="118" s="1"/>
  <c r="L54" i="118"/>
  <c r="K55" i="118"/>
  <c r="K56" i="118"/>
  <c r="K57" i="118"/>
  <c r="K58" i="118"/>
  <c r="P58" i="118" s="1"/>
  <c r="L58" i="118"/>
  <c r="M40" i="119"/>
  <c r="M50" i="119"/>
  <c r="K10" i="119"/>
  <c r="L10" i="119" s="1"/>
  <c r="K11" i="119"/>
  <c r="L11" i="119" s="1"/>
  <c r="K12" i="119"/>
  <c r="L12" i="119" s="1"/>
  <c r="K13" i="119"/>
  <c r="L13" i="119" s="1"/>
  <c r="K14" i="119"/>
  <c r="L14" i="119" s="1"/>
  <c r="K15" i="119"/>
  <c r="L15" i="119" s="1"/>
  <c r="K16" i="119"/>
  <c r="L16" i="119" s="1"/>
  <c r="K17" i="119"/>
  <c r="L17" i="119" s="1"/>
  <c r="K18" i="119"/>
  <c r="L18" i="119" s="1"/>
  <c r="K19" i="119"/>
  <c r="L19" i="119" s="1"/>
  <c r="K20" i="119"/>
  <c r="L20" i="119" s="1"/>
  <c r="K21" i="119"/>
  <c r="L21" i="119" s="1"/>
  <c r="K22" i="119"/>
  <c r="L22" i="119" s="1"/>
  <c r="K23" i="119"/>
  <c r="L23" i="119" s="1"/>
  <c r="K24" i="119"/>
  <c r="L24" i="119" s="1"/>
  <c r="K25" i="119"/>
  <c r="L25" i="119" s="1"/>
  <c r="K26" i="119"/>
  <c r="L26" i="119" s="1"/>
  <c r="K27" i="119"/>
  <c r="L27" i="119"/>
  <c r="K28" i="119"/>
  <c r="L28" i="119" s="1"/>
  <c r="K29" i="119"/>
  <c r="L29" i="119" s="1"/>
  <c r="K30" i="119"/>
  <c r="L30" i="119" s="1"/>
  <c r="K31" i="119"/>
  <c r="L31" i="119" s="1"/>
  <c r="K32" i="119"/>
  <c r="L32" i="119" s="1"/>
  <c r="K33" i="119"/>
  <c r="L33" i="119" s="1"/>
  <c r="K34" i="119"/>
  <c r="L34" i="119" s="1"/>
  <c r="K35" i="119"/>
  <c r="L35" i="119" s="1"/>
  <c r="K36" i="119"/>
  <c r="K37" i="119"/>
  <c r="K38" i="119"/>
  <c r="K39" i="119"/>
  <c r="L39" i="119" s="1"/>
  <c r="K40" i="119"/>
  <c r="L40" i="119" s="1"/>
  <c r="K41" i="119"/>
  <c r="L41" i="119"/>
  <c r="K42" i="119"/>
  <c r="L42" i="119" s="1"/>
  <c r="H49" i="119"/>
  <c r="H50" i="119"/>
  <c r="K27" i="120"/>
  <c r="L27" i="120" s="1"/>
  <c r="K28" i="120"/>
  <c r="L28" i="120" s="1"/>
  <c r="K29" i="120"/>
  <c r="L29" i="120"/>
  <c r="K30" i="120"/>
  <c r="L30" i="120" s="1"/>
  <c r="K31" i="120"/>
  <c r="L31" i="120"/>
  <c r="K32" i="120"/>
  <c r="L32" i="120" s="1"/>
  <c r="K33" i="120"/>
  <c r="L33" i="120" s="1"/>
  <c r="K34" i="120"/>
  <c r="L34" i="120" s="1"/>
  <c r="K35" i="120"/>
  <c r="L35" i="120" s="1"/>
  <c r="K36" i="120"/>
  <c r="L36" i="120"/>
  <c r="K37" i="120"/>
  <c r="L37" i="120" s="1"/>
  <c r="K38" i="120"/>
  <c r="L38" i="120" s="1"/>
  <c r="K39" i="120"/>
  <c r="L39" i="120" s="1"/>
  <c r="K40" i="120"/>
  <c r="L40" i="120" s="1"/>
  <c r="K41" i="120"/>
  <c r="L41" i="120" s="1"/>
  <c r="K9" i="120"/>
  <c r="K10" i="120"/>
  <c r="P10" i="120" s="1"/>
  <c r="L10" i="120"/>
  <c r="K11" i="120"/>
  <c r="K12" i="120"/>
  <c r="K13" i="120"/>
  <c r="K14" i="120"/>
  <c r="K15" i="120"/>
  <c r="P15" i="120" s="1"/>
  <c r="K16" i="120"/>
  <c r="K17" i="120"/>
  <c r="P17" i="120" s="1"/>
  <c r="K18" i="120"/>
  <c r="P18" i="120" s="1"/>
  <c r="L18" i="120"/>
  <c r="K19" i="120"/>
  <c r="P19" i="120" s="1"/>
  <c r="K20" i="120"/>
  <c r="K21" i="120"/>
  <c r="K22" i="120"/>
  <c r="K23" i="120"/>
  <c r="K24" i="120"/>
  <c r="K25" i="120"/>
  <c r="K26" i="120"/>
  <c r="F52" i="120"/>
  <c r="F53" i="120"/>
  <c r="F54" i="120"/>
  <c r="F55" i="120"/>
  <c r="F56" i="120"/>
  <c r="F57" i="120"/>
  <c r="F58" i="120"/>
  <c r="F59" i="120"/>
  <c r="L15" i="120" l="1"/>
  <c r="L42" i="118"/>
  <c r="L19" i="120"/>
  <c r="L41" i="118"/>
  <c r="L47" i="118"/>
  <c r="L17" i="120"/>
  <c r="L46" i="118"/>
  <c r="P22" i="120"/>
  <c r="L22" i="120"/>
  <c r="P25" i="120"/>
  <c r="L25" i="120"/>
  <c r="L14" i="116"/>
  <c r="L10" i="116"/>
  <c r="J38" i="116"/>
  <c r="P39" i="118"/>
  <c r="L39" i="118"/>
  <c r="P43" i="118"/>
  <c r="L43" i="118"/>
  <c r="P44" i="118"/>
  <c r="L44" i="118"/>
  <c r="P51" i="118"/>
  <c r="L51" i="118"/>
  <c r="L16" i="116"/>
  <c r="P56" i="118"/>
  <c r="L56" i="118"/>
  <c r="P57" i="118"/>
  <c r="L57" i="118"/>
  <c r="P36" i="119"/>
  <c r="L36" i="119"/>
  <c r="P11" i="118"/>
  <c r="L11" i="118"/>
  <c r="P12" i="118"/>
  <c r="L12" i="118"/>
  <c r="P9" i="118"/>
  <c r="L9" i="118"/>
  <c r="L37" i="119"/>
  <c r="P37" i="119"/>
  <c r="L38" i="119"/>
  <c r="P38" i="119"/>
  <c r="P10" i="118"/>
  <c r="L10" i="118"/>
  <c r="P35" i="118"/>
  <c r="L35" i="118"/>
  <c r="P37" i="118"/>
  <c r="L37" i="118"/>
  <c r="P52" i="118"/>
  <c r="L52" i="118"/>
  <c r="P53" i="118"/>
  <c r="L53" i="118"/>
  <c r="P55" i="118"/>
  <c r="L55" i="118"/>
  <c r="P12" i="120"/>
  <c r="L12" i="120"/>
  <c r="P14" i="120"/>
  <c r="L14" i="120"/>
  <c r="P21" i="120"/>
  <c r="L21" i="120"/>
  <c r="P36" i="118"/>
  <c r="L36" i="118"/>
  <c r="P9" i="120"/>
  <c r="L9" i="120"/>
  <c r="P11" i="120"/>
  <c r="L11" i="120"/>
  <c r="L13" i="120"/>
  <c r="P13" i="120"/>
  <c r="L16" i="120"/>
  <c r="P16" i="120"/>
  <c r="P20" i="120"/>
  <c r="L20" i="120"/>
  <c r="P23" i="120"/>
  <c r="L23" i="120"/>
  <c r="P24" i="120"/>
  <c r="L24" i="120"/>
  <c r="P26" i="120"/>
  <c r="L26" i="120"/>
  <c r="P36" i="120"/>
  <c r="L17" i="116"/>
  <c r="P33" i="120"/>
  <c r="L13" i="116"/>
  <c r="L44" i="116"/>
  <c r="L46" i="116"/>
  <c r="P34" i="120"/>
  <c r="P35" i="120"/>
  <c r="P37" i="120"/>
  <c r="L9" i="116"/>
  <c r="L11" i="116"/>
  <c r="L21" i="116"/>
  <c r="L34" i="116"/>
  <c r="L39" i="116"/>
  <c r="L43" i="116"/>
  <c r="L49" i="116"/>
  <c r="L29" i="116"/>
  <c r="P38" i="120"/>
  <c r="P39" i="120"/>
  <c r="P40" i="120"/>
  <c r="P41" i="120"/>
  <c r="L31" i="116"/>
  <c r="L35" i="116"/>
  <c r="L37" i="116"/>
  <c r="L48" i="116"/>
  <c r="P19" i="116"/>
  <c r="P20" i="116"/>
  <c r="P21" i="116"/>
  <c r="P26" i="116"/>
  <c r="P27" i="116"/>
  <c r="P29" i="116"/>
  <c r="P30" i="116"/>
  <c r="P31" i="116"/>
  <c r="P32" i="116"/>
  <c r="P33" i="116"/>
  <c r="P34" i="116"/>
  <c r="P35" i="116"/>
  <c r="P36" i="116"/>
  <c r="P37" i="116"/>
  <c r="P38" i="116"/>
  <c r="P39" i="116"/>
  <c r="P40" i="116"/>
  <c r="P41" i="116"/>
  <c r="P42" i="116"/>
  <c r="P43" i="116"/>
  <c r="P44" i="116"/>
  <c r="P45" i="116"/>
  <c r="P46" i="116"/>
  <c r="L19" i="116"/>
  <c r="L26" i="116"/>
  <c r="L30" i="116"/>
  <c r="L40" i="116"/>
  <c r="L45" i="116"/>
  <c r="P10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P34" i="117"/>
  <c r="P38" i="117"/>
  <c r="P39" i="117"/>
  <c r="P40" i="117"/>
  <c r="P41" i="117"/>
  <c r="P42" i="117"/>
  <c r="P43" i="117"/>
  <c r="P44" i="117"/>
  <c r="P45" i="117"/>
  <c r="P46" i="117"/>
  <c r="P47" i="117"/>
  <c r="P48" i="117"/>
  <c r="P39" i="119"/>
  <c r="P40" i="119"/>
  <c r="P41" i="119"/>
  <c r="P42" i="119"/>
  <c r="P10" i="119"/>
  <c r="P11" i="119"/>
  <c r="P12" i="119"/>
  <c r="P13" i="119"/>
  <c r="P14" i="119"/>
  <c r="P15" i="119"/>
  <c r="P16" i="119"/>
  <c r="P17" i="119"/>
  <c r="P18" i="119"/>
  <c r="P19" i="119"/>
  <c r="P20" i="119"/>
  <c r="P21" i="119"/>
  <c r="P22" i="119"/>
  <c r="P23" i="119"/>
  <c r="P24" i="119"/>
  <c r="P25" i="119"/>
  <c r="P26" i="119"/>
  <c r="P27" i="119"/>
  <c r="P28" i="119"/>
  <c r="P29" i="119"/>
  <c r="P30" i="119"/>
  <c r="P31" i="119"/>
  <c r="P32" i="119"/>
  <c r="P33" i="119"/>
  <c r="P34" i="119"/>
  <c r="P35" i="119"/>
  <c r="P27" i="120"/>
  <c r="F26" i="117"/>
  <c r="F27" i="117"/>
  <c r="F28" i="117"/>
  <c r="F29" i="117"/>
  <c r="F30" i="117"/>
  <c r="H34" i="117"/>
  <c r="H35" i="117"/>
  <c r="H36" i="117"/>
  <c r="H37" i="117"/>
  <c r="H38" i="117"/>
  <c r="H40" i="117"/>
  <c r="H41" i="117"/>
  <c r="H42" i="117"/>
  <c r="H43" i="117"/>
  <c r="H45" i="117"/>
  <c r="H46" i="117"/>
  <c r="H48" i="117"/>
  <c r="F9" i="118"/>
  <c r="F10" i="118"/>
  <c r="F11" i="118"/>
  <c r="F12" i="118"/>
  <c r="F13" i="118"/>
  <c r="F14" i="118"/>
  <c r="F15" i="118"/>
  <c r="F16" i="118"/>
  <c r="F17" i="118"/>
  <c r="F18" i="118"/>
  <c r="F19" i="118"/>
  <c r="F20" i="118"/>
  <c r="F21" i="118"/>
  <c r="F22" i="118"/>
  <c r="F23" i="118"/>
  <c r="F24" i="118"/>
  <c r="F25" i="118"/>
  <c r="F26" i="118"/>
  <c r="F27" i="118"/>
  <c r="F28" i="118"/>
  <c r="F29" i="118"/>
  <c r="F30" i="118"/>
  <c r="F31" i="118"/>
  <c r="F32" i="118"/>
  <c r="F33" i="118"/>
  <c r="F34" i="118"/>
  <c r="F35" i="118"/>
  <c r="F36" i="118"/>
  <c r="F37" i="118"/>
  <c r="F38" i="118"/>
  <c r="F39" i="118"/>
  <c r="F40" i="118"/>
  <c r="F41" i="118"/>
  <c r="F42" i="118"/>
  <c r="F43" i="118"/>
  <c r="F44" i="118"/>
  <c r="F45" i="118"/>
  <c r="F46" i="118"/>
  <c r="F47" i="118"/>
  <c r="F48" i="118"/>
  <c r="F49" i="118"/>
  <c r="F50" i="118"/>
  <c r="F51" i="118"/>
  <c r="F52" i="118"/>
  <c r="F53" i="118"/>
  <c r="F54" i="118"/>
  <c r="F55" i="118"/>
  <c r="F56" i="118"/>
  <c r="F57" i="118"/>
  <c r="F58" i="118"/>
  <c r="F8" i="118"/>
  <c r="F10" i="119"/>
  <c r="F11" i="119"/>
  <c r="F12" i="119"/>
  <c r="F13" i="119"/>
  <c r="F14" i="119"/>
  <c r="F15" i="119"/>
  <c r="F16" i="119"/>
  <c r="F17" i="119"/>
  <c r="F18" i="119"/>
  <c r="F19" i="119"/>
  <c r="F20" i="119"/>
  <c r="H20" i="119" s="1"/>
  <c r="F21" i="119"/>
  <c r="H21" i="119" s="1"/>
  <c r="F22" i="119"/>
  <c r="H22" i="119" s="1"/>
  <c r="F23" i="119"/>
  <c r="H23" i="119" s="1"/>
  <c r="F24" i="119"/>
  <c r="H24" i="119" s="1"/>
  <c r="F25" i="119"/>
  <c r="H25" i="119" s="1"/>
  <c r="F26" i="119"/>
  <c r="H26" i="119" s="1"/>
  <c r="F27" i="119"/>
  <c r="H27" i="119" s="1"/>
  <c r="F28" i="119"/>
  <c r="H28" i="119" s="1"/>
  <c r="F29" i="119"/>
  <c r="H29" i="119" s="1"/>
  <c r="F30" i="119"/>
  <c r="H30" i="119" s="1"/>
  <c r="F31" i="119"/>
  <c r="H31" i="119" s="1"/>
  <c r="F32" i="119"/>
  <c r="H32" i="119" s="1"/>
  <c r="F33" i="119"/>
  <c r="H33" i="119" s="1"/>
  <c r="F34" i="119"/>
  <c r="H34" i="119" s="1"/>
  <c r="F35" i="119"/>
  <c r="H35" i="119" s="1"/>
  <c r="F36" i="119"/>
  <c r="H36" i="119" s="1"/>
  <c r="F37" i="119"/>
  <c r="H37" i="119" s="1"/>
  <c r="F38" i="119"/>
  <c r="H38" i="119" s="1"/>
  <c r="F39" i="119"/>
  <c r="H39" i="119" s="1"/>
  <c r="F40" i="119"/>
  <c r="H40" i="119" s="1"/>
  <c r="F41" i="119"/>
  <c r="H41" i="119" s="1"/>
  <c r="F42" i="119"/>
  <c r="H42" i="119" s="1"/>
  <c r="F43" i="119"/>
  <c r="H43" i="119" s="1"/>
  <c r="F44" i="119"/>
  <c r="H44" i="119" s="1"/>
  <c r="F45" i="119"/>
  <c r="H45" i="119" s="1"/>
  <c r="F46" i="119"/>
  <c r="H46" i="119" s="1"/>
  <c r="F47" i="119"/>
  <c r="H47" i="119" s="1"/>
  <c r="F48" i="119"/>
  <c r="H48" i="119" s="1"/>
  <c r="F10" i="120"/>
  <c r="F11" i="120"/>
  <c r="F12" i="120"/>
  <c r="F13" i="120"/>
  <c r="F14" i="120"/>
  <c r="F15" i="120"/>
  <c r="F16" i="120"/>
  <c r="F17" i="120"/>
  <c r="F18" i="120"/>
  <c r="F19" i="120"/>
  <c r="F20" i="120"/>
  <c r="F21" i="120"/>
  <c r="F22" i="120"/>
  <c r="F23" i="120"/>
  <c r="F24" i="120"/>
  <c r="F25" i="120"/>
  <c r="F26" i="120"/>
  <c r="F27" i="120"/>
  <c r="F28" i="120"/>
  <c r="F29" i="120"/>
  <c r="F30" i="120"/>
  <c r="F31" i="120"/>
  <c r="F32" i="120"/>
  <c r="F33" i="120"/>
  <c r="F34" i="120"/>
  <c r="F35" i="120"/>
  <c r="F36" i="120"/>
  <c r="F8" i="120"/>
  <c r="L38" i="116" l="1"/>
  <c r="H8" i="118"/>
  <c r="Q9" i="118"/>
  <c r="H9" i="118"/>
  <c r="Q10" i="118"/>
  <c r="H10" i="118"/>
  <c r="Q11" i="118"/>
  <c r="H11" i="118"/>
  <c r="Q12" i="118"/>
  <c r="H12" i="118"/>
  <c r="L11" i="115"/>
  <c r="K12" i="115"/>
  <c r="K13" i="115"/>
  <c r="K14" i="115"/>
  <c r="K15" i="115"/>
  <c r="K16" i="115"/>
  <c r="K17" i="115"/>
  <c r="K18" i="115"/>
  <c r="P19" i="115"/>
  <c r="L19" i="115"/>
  <c r="K23" i="115"/>
  <c r="P24" i="115"/>
  <c r="K26" i="115"/>
  <c r="K27" i="115"/>
  <c r="L28" i="115"/>
  <c r="K29" i="115"/>
  <c r="L30" i="115"/>
  <c r="K31" i="115"/>
  <c r="K32" i="115"/>
  <c r="K33" i="115"/>
  <c r="L34" i="115"/>
  <c r="L35" i="115"/>
  <c r="L36" i="115"/>
  <c r="K37" i="115"/>
  <c r="K38" i="115"/>
  <c r="L39" i="115"/>
  <c r="K40" i="115"/>
  <c r="L41" i="115"/>
  <c r="K45" i="115"/>
  <c r="K46" i="115"/>
  <c r="K47" i="115"/>
  <c r="K48" i="115"/>
  <c r="K49" i="115"/>
  <c r="L50" i="115"/>
  <c r="P53" i="115"/>
  <c r="L13" i="115" l="1"/>
  <c r="L31" i="115"/>
  <c r="L33" i="115"/>
  <c r="L29" i="115"/>
  <c r="L37" i="115"/>
  <c r="L12" i="115"/>
  <c r="P17" i="115"/>
  <c r="L32" i="115"/>
  <c r="P49" i="115"/>
  <c r="L26" i="115"/>
  <c r="L48" i="115"/>
  <c r="L47" i="115"/>
  <c r="L46" i="115"/>
  <c r="L38" i="115"/>
  <c r="P14" i="115"/>
  <c r="L27" i="115"/>
  <c r="L51" i="115"/>
  <c r="P51" i="115"/>
  <c r="L52" i="115"/>
  <c r="L49" i="115"/>
  <c r="L45" i="115"/>
  <c r="L40" i="115"/>
  <c r="P26" i="115"/>
  <c r="L24" i="115"/>
  <c r="P16" i="115"/>
  <c r="L16" i="115"/>
  <c r="P18" i="115"/>
  <c r="L18" i="115"/>
  <c r="P23" i="115"/>
  <c r="L23" i="115"/>
  <c r="P15" i="115"/>
  <c r="L21" i="115"/>
  <c r="P21" i="115"/>
  <c r="L17" i="115"/>
  <c r="L15" i="115"/>
  <c r="L14" i="115"/>
  <c r="L53" i="115"/>
  <c r="L39" i="122"/>
  <c r="L40" i="122"/>
  <c r="L41" i="122"/>
  <c r="L42" i="122"/>
  <c r="L44" i="122"/>
  <c r="L46" i="122"/>
  <c r="L47" i="122"/>
  <c r="L48" i="122"/>
  <c r="L49" i="122"/>
  <c r="L50" i="122"/>
  <c r="L51" i="122"/>
  <c r="L52" i="122"/>
  <c r="L13" i="122"/>
  <c r="L18" i="122"/>
  <c r="L19" i="122"/>
  <c r="L20" i="122"/>
  <c r="L21" i="122"/>
  <c r="L22" i="122"/>
  <c r="L23" i="122"/>
  <c r="L24" i="122"/>
  <c r="L25" i="122"/>
  <c r="L26" i="122"/>
  <c r="L27" i="122"/>
  <c r="L28" i="122"/>
  <c r="L29" i="122"/>
  <c r="L30" i="122"/>
  <c r="L31" i="122"/>
  <c r="L32" i="122"/>
  <c r="L33" i="122"/>
  <c r="Q11" i="122"/>
  <c r="Q29" i="122"/>
  <c r="Q31" i="122"/>
  <c r="Q32" i="122"/>
  <c r="Q33" i="122"/>
  <c r="Q34" i="122"/>
  <c r="Q35" i="122"/>
  <c r="Q36" i="122"/>
  <c r="Q37" i="122"/>
  <c r="Q38" i="122"/>
  <c r="Q39" i="122"/>
  <c r="Q40" i="122"/>
  <c r="Q41" i="122"/>
  <c r="Q42" i="122"/>
  <c r="Q43" i="122"/>
  <c r="Q44" i="122"/>
  <c r="Q45" i="122"/>
  <c r="Q46" i="122"/>
  <c r="Q47" i="122"/>
  <c r="Q48" i="122"/>
  <c r="Q49" i="122"/>
  <c r="Q50" i="122"/>
  <c r="Q51" i="122"/>
  <c r="Q52" i="122"/>
  <c r="Q53" i="122"/>
  <c r="Q54" i="122"/>
  <c r="Q55" i="122"/>
  <c r="Q56" i="122"/>
  <c r="U63" i="113"/>
  <c r="K12" i="113"/>
  <c r="K13" i="113"/>
  <c r="K10" i="113"/>
  <c r="K23" i="113"/>
  <c r="K44" i="113"/>
  <c r="K37" i="113"/>
  <c r="K19" i="113"/>
  <c r="L12" i="122" l="1"/>
  <c r="P12" i="122"/>
  <c r="L43" i="122"/>
  <c r="L45" i="122"/>
  <c r="L9" i="122"/>
  <c r="L10" i="122"/>
  <c r="L11" i="122"/>
  <c r="L14" i="122"/>
  <c r="L15" i="122"/>
  <c r="L16" i="122"/>
  <c r="L17" i="122"/>
  <c r="L34" i="122"/>
  <c r="L35" i="122"/>
  <c r="L36" i="122"/>
  <c r="T47" i="113"/>
  <c r="R46" i="113" l="1"/>
  <c r="T46" i="113"/>
  <c r="T45" i="113"/>
  <c r="K47" i="113" l="1"/>
  <c r="K46" i="113"/>
  <c r="O45" i="113"/>
  <c r="L45" i="113"/>
  <c r="K45" i="113"/>
  <c r="K39" i="113" l="1"/>
  <c r="K18" i="113"/>
  <c r="T44" i="113" l="1"/>
  <c r="O44" i="113" l="1"/>
  <c r="R43" i="113" l="1"/>
  <c r="R42" i="113"/>
  <c r="R41" i="113"/>
  <c r="L44" i="113"/>
  <c r="L46" i="113"/>
  <c r="L47" i="113"/>
  <c r="L48" i="113"/>
  <c r="L49" i="113"/>
  <c r="L50" i="113"/>
  <c r="L51" i="113"/>
  <c r="L52" i="113"/>
  <c r="L53" i="113"/>
  <c r="L54" i="113"/>
  <c r="L55" i="113"/>
  <c r="L56" i="113"/>
  <c r="L57" i="113"/>
  <c r="L58" i="113"/>
  <c r="L59" i="113"/>
  <c r="L60" i="113"/>
  <c r="L61" i="113"/>
  <c r="L62" i="113"/>
  <c r="L43" i="113"/>
  <c r="L42" i="113"/>
  <c r="K42" i="113"/>
  <c r="O40" i="113"/>
  <c r="T41" i="113"/>
  <c r="M42" i="113" l="1"/>
  <c r="K43" i="113"/>
  <c r="Q43" i="113" s="1"/>
  <c r="Q49" i="113"/>
  <c r="K41" i="113"/>
  <c r="I39" i="113" l="1"/>
  <c r="R40" i="113"/>
  <c r="R39" i="113"/>
  <c r="R38" i="113"/>
  <c r="L40" i="113"/>
  <c r="T39" i="113"/>
  <c r="T38" i="113"/>
  <c r="O39" i="113"/>
  <c r="R37" i="113"/>
  <c r="T37" i="113"/>
  <c r="T36" i="113"/>
  <c r="O37" i="113"/>
  <c r="O36" i="113"/>
  <c r="K36" i="113"/>
  <c r="K35" i="113"/>
  <c r="R35" i="113"/>
  <c r="R34" i="113"/>
  <c r="T35" i="113"/>
  <c r="T34" i="113"/>
  <c r="T33" i="113"/>
  <c r="L33" i="113"/>
  <c r="L32" i="113"/>
  <c r="K33" i="113"/>
  <c r="K32" i="113"/>
  <c r="O33" i="113"/>
  <c r="T32" i="113"/>
  <c r="T31" i="113"/>
  <c r="R32" i="113"/>
  <c r="K31" i="113"/>
  <c r="K30" i="113"/>
  <c r="O30" i="113"/>
  <c r="L30" i="113"/>
  <c r="T30" i="113"/>
  <c r="R29" i="113"/>
  <c r="T29" i="113"/>
  <c r="T28" i="113"/>
  <c r="L29" i="113"/>
  <c r="K28" i="113"/>
  <c r="O27" i="113"/>
  <c r="L28" i="113"/>
  <c r="T25" i="113"/>
  <c r="R27" i="113"/>
  <c r="R26" i="113"/>
  <c r="R25" i="113"/>
  <c r="T26" i="113"/>
  <c r="T27" i="113"/>
  <c r="T24" i="113"/>
  <c r="K21" i="113"/>
  <c r="K26" i="113"/>
  <c r="K27" i="113"/>
  <c r="L19" i="113"/>
  <c r="M19" i="113" s="1"/>
  <c r="L20" i="113"/>
  <c r="L21" i="113"/>
  <c r="L22" i="113"/>
  <c r="M22" i="113" s="1"/>
  <c r="L23" i="113"/>
  <c r="L24" i="113"/>
  <c r="M24" i="113" s="1"/>
  <c r="L25" i="113"/>
  <c r="L26" i="113"/>
  <c r="L27" i="113"/>
  <c r="L31" i="113"/>
  <c r="L35" i="113"/>
  <c r="L36" i="113"/>
  <c r="L37" i="113"/>
  <c r="L38" i="113"/>
  <c r="Q38" i="113" s="1"/>
  <c r="L39" i="113"/>
  <c r="L41" i="113"/>
  <c r="M41" i="113" s="1"/>
  <c r="M43" i="113"/>
  <c r="Q44" i="113"/>
  <c r="Q45" i="113"/>
  <c r="Q46" i="113"/>
  <c r="Q47" i="113"/>
  <c r="M47" i="113"/>
  <c r="Q48" i="113"/>
  <c r="M49" i="113"/>
  <c r="M50" i="113"/>
  <c r="M51" i="113"/>
  <c r="M52" i="113"/>
  <c r="M53" i="113"/>
  <c r="M54" i="113"/>
  <c r="M55" i="113"/>
  <c r="M56" i="113"/>
  <c r="M57" i="113"/>
  <c r="M58" i="113"/>
  <c r="M59" i="113"/>
  <c r="M60" i="113"/>
  <c r="M61" i="113"/>
  <c r="M62" i="113"/>
  <c r="K25" i="113"/>
  <c r="R23" i="113"/>
  <c r="T23" i="113"/>
  <c r="T22" i="113"/>
  <c r="G37" i="121"/>
  <c r="O23" i="113"/>
  <c r="R22" i="113"/>
  <c r="R21" i="113"/>
  <c r="T21" i="113"/>
  <c r="T20" i="113"/>
  <c r="K20" i="113"/>
  <c r="T19" i="113"/>
  <c r="O19" i="113"/>
  <c r="O18" i="113"/>
  <c r="L18" i="113"/>
  <c r="R18" i="113"/>
  <c r="R17" i="113"/>
  <c r="T18" i="113"/>
  <c r="T17" i="113"/>
  <c r="T16" i="113"/>
  <c r="O16" i="113"/>
  <c r="K16" i="113"/>
  <c r="L16" i="113"/>
  <c r="K15" i="113"/>
  <c r="L17" i="113"/>
  <c r="K17" i="113"/>
  <c r="L15" i="113"/>
  <c r="R15" i="113"/>
  <c r="R14" i="113"/>
  <c r="K14" i="113"/>
  <c r="T15" i="113"/>
  <c r="T14" i="113"/>
  <c r="T13" i="113"/>
  <c r="O14" i="113"/>
  <c r="L12" i="113"/>
  <c r="O12" i="113"/>
  <c r="T12" i="113"/>
  <c r="R11" i="113"/>
  <c r="R10" i="113"/>
  <c r="T10" i="113"/>
  <c r="O10" i="113"/>
  <c r="O9" i="113"/>
  <c r="L10" i="113"/>
  <c r="R9" i="113"/>
  <c r="L9" i="113"/>
  <c r="L8" i="113"/>
  <c r="K9" i="113"/>
  <c r="T9" i="113"/>
  <c r="T8" i="113"/>
  <c r="J48" i="121"/>
  <c r="L13" i="113"/>
  <c r="L14" i="113"/>
  <c r="R12" i="113"/>
  <c r="R13" i="113"/>
  <c r="R16" i="113"/>
  <c r="R19" i="113"/>
  <c r="R20" i="113"/>
  <c r="R24" i="113"/>
  <c r="R28" i="113"/>
  <c r="R30" i="113"/>
  <c r="R31" i="113"/>
  <c r="R33" i="113"/>
  <c r="R36" i="113"/>
  <c r="R44" i="113"/>
  <c r="R45" i="113"/>
  <c r="R47" i="113"/>
  <c r="R48" i="113"/>
  <c r="R49" i="113"/>
  <c r="R50" i="113"/>
  <c r="R8" i="113"/>
  <c r="T65" i="109"/>
  <c r="I48" i="121"/>
  <c r="S48" i="121"/>
  <c r="N48" i="121"/>
  <c r="Q48" i="121"/>
  <c r="Q47" i="121"/>
  <c r="J47" i="121"/>
  <c r="J46" i="121"/>
  <c r="S47" i="121"/>
  <c r="Q46" i="121"/>
  <c r="S46" i="121"/>
  <c r="S45" i="121"/>
  <c r="K46" i="121"/>
  <c r="J45" i="121"/>
  <c r="J44" i="121"/>
  <c r="K45" i="121"/>
  <c r="N45" i="121"/>
  <c r="S44" i="121"/>
  <c r="Q44" i="121"/>
  <c r="K44" i="121"/>
  <c r="N44" i="121"/>
  <c r="J35" i="121"/>
  <c r="J34" i="121"/>
  <c r="J21" i="121"/>
  <c r="J27" i="121"/>
  <c r="S43" i="121"/>
  <c r="N43" i="121"/>
  <c r="J43" i="121"/>
  <c r="Q42" i="121"/>
  <c r="S41" i="121"/>
  <c r="S42" i="121"/>
  <c r="S40" i="121"/>
  <c r="G41" i="121"/>
  <c r="N41" i="121"/>
  <c r="J41" i="121"/>
  <c r="J39" i="121"/>
  <c r="N39" i="121"/>
  <c r="S39" i="121"/>
  <c r="Q40" i="121"/>
  <c r="Q39" i="121"/>
  <c r="K39" i="121"/>
  <c r="J58" i="111"/>
  <c r="J8" i="121"/>
  <c r="J38" i="121"/>
  <c r="Q38" i="121"/>
  <c r="N38" i="121"/>
  <c r="S38" i="121"/>
  <c r="Q36" i="121"/>
  <c r="S37" i="121"/>
  <c r="S36" i="121"/>
  <c r="S35" i="121"/>
  <c r="N36" i="121"/>
  <c r="N35" i="121"/>
  <c r="J37" i="121"/>
  <c r="J36" i="121"/>
  <c r="Q34" i="121"/>
  <c r="S33" i="121"/>
  <c r="S34" i="121"/>
  <c r="S32" i="121"/>
  <c r="K32" i="121"/>
  <c r="J32" i="121"/>
  <c r="Q40" i="113" l="1"/>
  <c r="M27" i="113"/>
  <c r="M20" i="113"/>
  <c r="G54" i="121"/>
  <c r="M25" i="113"/>
  <c r="Q13" i="113"/>
  <c r="M37" i="113"/>
  <c r="Q37" i="121"/>
  <c r="T54" i="121"/>
  <c r="M26" i="113"/>
  <c r="Q33" i="113"/>
  <c r="Q35" i="113"/>
  <c r="M40" i="113"/>
  <c r="M38" i="113"/>
  <c r="M31" i="113"/>
  <c r="Q22" i="113"/>
  <c r="Q10" i="113"/>
  <c r="M45" i="113"/>
  <c r="M48" i="113"/>
  <c r="M46" i="113"/>
  <c r="M44" i="113"/>
  <c r="Q39" i="113"/>
  <c r="M39" i="113"/>
  <c r="Q37" i="113"/>
  <c r="M35" i="113"/>
  <c r="Q36" i="113"/>
  <c r="M36" i="113"/>
  <c r="M32" i="113"/>
  <c r="M33" i="113"/>
  <c r="Q32" i="113"/>
  <c r="Q31" i="113"/>
  <c r="Q30" i="113"/>
  <c r="M30" i="113"/>
  <c r="Q29" i="113"/>
  <c r="M29" i="113"/>
  <c r="Q28" i="113"/>
  <c r="M28" i="113"/>
  <c r="M23" i="113"/>
  <c r="K63" i="113"/>
  <c r="M21" i="113"/>
  <c r="L63" i="113"/>
  <c r="Q23" i="113"/>
  <c r="Q26" i="113"/>
  <c r="Q25" i="113"/>
  <c r="Q24" i="113"/>
  <c r="Q21" i="113"/>
  <c r="Q20" i="113"/>
  <c r="Q19" i="113"/>
  <c r="M17" i="113"/>
  <c r="M16" i="113"/>
  <c r="M18" i="113"/>
  <c r="Q18" i="113"/>
  <c r="Q15" i="113"/>
  <c r="M15" i="113"/>
  <c r="M14" i="113"/>
  <c r="Q14" i="113"/>
  <c r="M13" i="113"/>
  <c r="M12" i="113"/>
  <c r="Q12" i="113"/>
  <c r="M11" i="113"/>
  <c r="P39" i="121"/>
  <c r="K41" i="121"/>
  <c r="Q9" i="113"/>
  <c r="P32" i="121"/>
  <c r="S31" i="121"/>
  <c r="S30" i="121"/>
  <c r="M63" i="113" l="1"/>
  <c r="J31" i="121"/>
  <c r="Q31" i="121"/>
  <c r="Q30" i="121"/>
  <c r="J30" i="121"/>
  <c r="J29" i="121"/>
  <c r="S29" i="121"/>
  <c r="S28" i="121"/>
  <c r="Q29" i="121" l="1"/>
  <c r="J28" i="121"/>
  <c r="N29" i="121"/>
  <c r="S27" i="121" l="1"/>
  <c r="S25" i="121"/>
  <c r="S26" i="121"/>
  <c r="Q27" i="121" l="1"/>
  <c r="Q26" i="121"/>
  <c r="Q25" i="121"/>
  <c r="K27" i="121" l="1"/>
  <c r="J20" i="121"/>
  <c r="K19" i="121" l="1"/>
  <c r="K20" i="121"/>
  <c r="K21" i="121"/>
  <c r="K22" i="121"/>
  <c r="J16" i="121"/>
  <c r="J17" i="121"/>
  <c r="J22" i="121"/>
  <c r="J25" i="121"/>
  <c r="J24" i="121"/>
  <c r="K25" i="121"/>
  <c r="S22" i="121"/>
  <c r="S23" i="121"/>
  <c r="S24" i="121"/>
  <c r="S21" i="121"/>
  <c r="Q24" i="121" l="1"/>
  <c r="Q23" i="121"/>
  <c r="Q22" i="121"/>
  <c r="K24" i="121"/>
  <c r="N21" i="121"/>
  <c r="Q28" i="121"/>
  <c r="Q32" i="121"/>
  <c r="Q35" i="121"/>
  <c r="Q41" i="121"/>
  <c r="P24" i="121" l="1"/>
  <c r="J18" i="121" l="1"/>
  <c r="J12" i="121"/>
  <c r="S19" i="121" l="1"/>
  <c r="J19" i="121" l="1"/>
  <c r="Q20" i="121"/>
  <c r="Q19" i="121"/>
  <c r="Q18" i="121"/>
  <c r="Q17" i="121"/>
  <c r="Q16" i="121"/>
  <c r="N20" i="121"/>
  <c r="S18" i="121" l="1"/>
  <c r="N18" i="121" l="1"/>
  <c r="N17" i="121" l="1"/>
  <c r="S17" i="121"/>
  <c r="J15" i="121" l="1"/>
  <c r="S16" i="121"/>
  <c r="S15" i="121"/>
  <c r="N15" i="121" l="1"/>
  <c r="K15" i="121"/>
  <c r="K12" i="121"/>
  <c r="S13" i="121"/>
  <c r="I13" i="121" l="1"/>
  <c r="S12" i="121" l="1"/>
  <c r="S11" i="121"/>
  <c r="Q12" i="121" l="1"/>
  <c r="Q11" i="121"/>
  <c r="N12" i="121"/>
  <c r="J11" i="121"/>
  <c r="K11" i="121"/>
  <c r="T62" i="111" l="1"/>
  <c r="G62" i="111"/>
  <c r="E62" i="111"/>
  <c r="Q62" i="111" l="1"/>
  <c r="J49" i="111" l="1"/>
  <c r="S8" i="121" l="1"/>
  <c r="Q9" i="121" l="1"/>
  <c r="Q10" i="121" l="1"/>
  <c r="Q13" i="121"/>
  <c r="Q14" i="121"/>
  <c r="Q15" i="121"/>
  <c r="Q21" i="121"/>
  <c r="Q43" i="121"/>
  <c r="Q45" i="121"/>
  <c r="Q49" i="121"/>
  <c r="Q50" i="121"/>
  <c r="Q51" i="121"/>
  <c r="Q52" i="121"/>
  <c r="Q53" i="121"/>
  <c r="Q8" i="121"/>
  <c r="J51" i="111" l="1"/>
  <c r="J52" i="111"/>
  <c r="K8" i="121" l="1"/>
  <c r="K9" i="121"/>
  <c r="Q58" i="111"/>
  <c r="Q57" i="111"/>
  <c r="Q55" i="111"/>
  <c r="Q54" i="111"/>
  <c r="Q53" i="111"/>
  <c r="Q52" i="111"/>
  <c r="Q51" i="111"/>
  <c r="Q50" i="111"/>
  <c r="Q49" i="111"/>
  <c r="Q48" i="111"/>
  <c r="Q47" i="111"/>
  <c r="Q46" i="111"/>
  <c r="Q44" i="111"/>
  <c r="Q45" i="111"/>
  <c r="Q43" i="111"/>
  <c r="Q56" i="111"/>
  <c r="Q59" i="111"/>
  <c r="Q60" i="111"/>
  <c r="Q41" i="111"/>
  <c r="S58" i="111" l="1"/>
  <c r="S56" i="111"/>
  <c r="S55" i="111"/>
  <c r="K58" i="111"/>
  <c r="J55" i="111"/>
  <c r="J54" i="111"/>
  <c r="K55" i="111"/>
  <c r="J53" i="111" l="1"/>
  <c r="J38" i="111"/>
  <c r="J37" i="111"/>
  <c r="J39" i="111"/>
  <c r="S54" i="111" l="1"/>
  <c r="N54" i="111" l="1"/>
  <c r="J43" i="111" l="1"/>
  <c r="J44" i="111"/>
  <c r="S53" i="111"/>
  <c r="S52" i="111"/>
  <c r="N53" i="111" l="1"/>
  <c r="S48" i="111" l="1"/>
  <c r="J48" i="111" l="1"/>
  <c r="J50" i="111"/>
  <c r="S45" i="111"/>
  <c r="S44" i="111"/>
  <c r="J46" i="111" l="1"/>
  <c r="K47" i="111"/>
  <c r="K48" i="111"/>
  <c r="K49" i="111"/>
  <c r="J47" i="111"/>
  <c r="P49" i="111" l="1"/>
  <c r="K41" i="111"/>
  <c r="Q42" i="111"/>
  <c r="S43" i="111"/>
  <c r="S41" i="111"/>
  <c r="F21" i="113"/>
  <c r="F22" i="113"/>
  <c r="F20" i="113"/>
  <c r="H22" i="113" l="1"/>
  <c r="H20" i="113"/>
  <c r="H21" i="113"/>
  <c r="K43" i="111"/>
  <c r="J41" i="111"/>
  <c r="P41" i="111" s="1"/>
  <c r="K38" i="111"/>
  <c r="K39" i="111" l="1"/>
  <c r="P39" i="111" l="1"/>
  <c r="I37" i="111"/>
  <c r="F19" i="113"/>
  <c r="H19" i="113" l="1"/>
  <c r="S38" i="111"/>
  <c r="Q40" i="111" l="1"/>
  <c r="Q39" i="111"/>
  <c r="N38" i="111"/>
  <c r="L39" i="111"/>
  <c r="S37" i="111" l="1"/>
  <c r="S36" i="111"/>
  <c r="Q37" i="111" l="1"/>
  <c r="J36" i="111"/>
  <c r="K37" i="111"/>
  <c r="L38" i="111"/>
  <c r="K36" i="111"/>
  <c r="N36" i="111"/>
  <c r="F18" i="113"/>
  <c r="H18" i="113" l="1"/>
  <c r="P37" i="111"/>
  <c r="P36" i="111"/>
  <c r="P38" i="111"/>
  <c r="L37" i="111"/>
  <c r="L36" i="111"/>
  <c r="J9" i="111" l="1"/>
  <c r="Q35" i="111"/>
  <c r="Q34" i="111"/>
  <c r="S34" i="111" l="1"/>
  <c r="S33" i="111"/>
  <c r="N33" i="111" l="1"/>
  <c r="J32" i="111"/>
  <c r="K33" i="111"/>
  <c r="J33" i="111"/>
  <c r="J14" i="111" l="1"/>
  <c r="Q32" i="111"/>
  <c r="S32" i="111"/>
  <c r="N31" i="111"/>
  <c r="J31" i="111" l="1"/>
  <c r="J29" i="111"/>
  <c r="J28" i="111"/>
  <c r="F14" i="113"/>
  <c r="H14" i="113" l="1"/>
  <c r="J10" i="111"/>
  <c r="J11" i="111"/>
  <c r="J25" i="111"/>
  <c r="O32" i="111" l="1"/>
  <c r="O62" i="111" s="1"/>
  <c r="Q29" i="111" l="1"/>
  <c r="S29" i="111" l="1"/>
  <c r="N29" i="111" l="1"/>
  <c r="S28" i="111" l="1"/>
  <c r="S27" i="111"/>
  <c r="Q28" i="111" l="1"/>
  <c r="N27" i="111"/>
  <c r="J27" i="111"/>
  <c r="J26" i="111"/>
  <c r="Q26" i="111"/>
  <c r="S26" i="111"/>
  <c r="S25" i="111"/>
  <c r="N25" i="111" l="1"/>
  <c r="J24" i="111"/>
  <c r="Q24" i="111" l="1"/>
  <c r="Q23" i="111"/>
  <c r="Q22" i="111"/>
  <c r="K24" i="111" l="1"/>
  <c r="J23" i="111"/>
  <c r="S24" i="111"/>
  <c r="S23" i="111"/>
  <c r="S22" i="111"/>
  <c r="K21" i="111" l="1"/>
  <c r="Q21" i="111"/>
  <c r="Q20" i="111"/>
  <c r="Q25" i="111"/>
  <c r="Q27" i="111"/>
  <c r="Q30" i="111"/>
  <c r="Q31" i="111"/>
  <c r="Q33" i="111"/>
  <c r="Q36" i="111"/>
  <c r="Q38" i="111"/>
  <c r="Q61" i="111"/>
  <c r="S21" i="111" l="1"/>
  <c r="S20" i="111"/>
  <c r="N20" i="111" l="1"/>
  <c r="J21" i="111"/>
  <c r="P21" i="111" s="1"/>
  <c r="J20" i="111"/>
  <c r="Q19" i="111" l="1"/>
  <c r="Q18" i="111"/>
  <c r="N19" i="111"/>
  <c r="J19" i="111"/>
  <c r="S19" i="111"/>
  <c r="Q15" i="111" l="1"/>
  <c r="Q17" i="111"/>
  <c r="N18" i="111" l="1"/>
  <c r="Q16" i="111" l="1"/>
  <c r="S18" i="111"/>
  <c r="S17" i="111"/>
  <c r="S16" i="111"/>
  <c r="S15" i="111"/>
  <c r="J18" i="111" l="1"/>
  <c r="J17" i="111"/>
  <c r="Q14" i="111" l="1"/>
  <c r="K16" i="111"/>
  <c r="P16" i="111" l="1"/>
  <c r="S14" i="111"/>
  <c r="S13" i="111"/>
  <c r="N14" i="111" l="1"/>
  <c r="K15" i="111"/>
  <c r="K14" i="111"/>
  <c r="T14" i="111" l="1"/>
  <c r="L26" i="121"/>
  <c r="K28" i="121"/>
  <c r="K29" i="121"/>
  <c r="K30" i="121"/>
  <c r="P30" i="121" s="1"/>
  <c r="K31" i="121"/>
  <c r="L32" i="121"/>
  <c r="K34" i="121"/>
  <c r="K35" i="121"/>
  <c r="K36" i="121"/>
  <c r="L9" i="121"/>
  <c r="K10" i="121"/>
  <c r="L10" i="121" s="1"/>
  <c r="L11" i="121"/>
  <c r="L12" i="121"/>
  <c r="K13" i="121"/>
  <c r="K14" i="121"/>
  <c r="L14" i="121" s="1"/>
  <c r="L15" i="121"/>
  <c r="K16" i="121"/>
  <c r="K17" i="121"/>
  <c r="P17" i="121" s="1"/>
  <c r="K18" i="121"/>
  <c r="P19" i="121"/>
  <c r="L19" i="121"/>
  <c r="P20" i="121"/>
  <c r="P21" i="121"/>
  <c r="J12" i="111"/>
  <c r="K12" i="111"/>
  <c r="L13" i="121" l="1"/>
  <c r="P29" i="121"/>
  <c r="L29" i="121"/>
  <c r="P34" i="121"/>
  <c r="L34" i="121"/>
  <c r="P31" i="121"/>
  <c r="L31" i="121"/>
  <c r="L35" i="121"/>
  <c r="P35" i="121"/>
  <c r="L36" i="121"/>
  <c r="P36" i="121"/>
  <c r="P18" i="121"/>
  <c r="L33" i="121"/>
  <c r="L30" i="121"/>
  <c r="L28" i="121"/>
  <c r="P28" i="121"/>
  <c r="L27" i="121"/>
  <c r="P27" i="121"/>
  <c r="L16" i="121"/>
  <c r="P16" i="121"/>
  <c r="L21" i="121"/>
  <c r="L20" i="121"/>
  <c r="L18" i="121"/>
  <c r="L17" i="121"/>
  <c r="L25" i="121"/>
  <c r="G63" i="110"/>
  <c r="I12" i="111" l="1"/>
  <c r="I62" i="111" s="1"/>
  <c r="Q12" i="111"/>
  <c r="S12" i="111"/>
  <c r="S11" i="111"/>
  <c r="K11" i="111" l="1"/>
  <c r="K9" i="111"/>
  <c r="K10" i="111"/>
  <c r="K13" i="111"/>
  <c r="K17" i="111"/>
  <c r="K18" i="111"/>
  <c r="K19" i="111"/>
  <c r="K20" i="111"/>
  <c r="P20" i="111" l="1"/>
  <c r="T63" i="109"/>
  <c r="T63" i="110"/>
  <c r="E63" i="110"/>
  <c r="Q63" i="110" l="1"/>
  <c r="J42" i="110"/>
  <c r="J16" i="110"/>
  <c r="Q10" i="111" l="1"/>
  <c r="Q9" i="111"/>
  <c r="Q11" i="111"/>
  <c r="Q13" i="111"/>
  <c r="N10" i="111"/>
  <c r="N62" i="111" s="1"/>
  <c r="S10" i="111"/>
  <c r="J40" i="110" l="1"/>
  <c r="J47" i="110" l="1"/>
  <c r="J8" i="111"/>
  <c r="Q8" i="111"/>
  <c r="S9" i="111"/>
  <c r="S8" i="111"/>
  <c r="O63" i="110" l="1"/>
  <c r="Q46" i="110"/>
  <c r="Q47" i="110"/>
  <c r="Q44" i="110"/>
  <c r="Q43" i="110"/>
  <c r="S45" i="110" l="1"/>
  <c r="S44" i="110"/>
  <c r="S47" i="110"/>
  <c r="S43" i="110"/>
  <c r="J45" i="110" l="1"/>
  <c r="K45" i="110"/>
  <c r="K47" i="110"/>
  <c r="K46" i="110"/>
  <c r="J44" i="110"/>
  <c r="P43" i="111" l="1"/>
  <c r="K22" i="111"/>
  <c r="K23" i="111"/>
  <c r="K25" i="111"/>
  <c r="Q42" i="110"/>
  <c r="S42" i="110"/>
  <c r="S41" i="110"/>
  <c r="T24" i="111" l="1"/>
  <c r="N41" i="110"/>
  <c r="J41" i="110"/>
  <c r="N40" i="110" l="1"/>
  <c r="S40" i="110"/>
  <c r="Q39" i="110" l="1"/>
  <c r="J39" i="110"/>
  <c r="J38" i="110"/>
  <c r="N38" i="110"/>
  <c r="S39" i="110"/>
  <c r="S38" i="110"/>
  <c r="K32" i="110" l="1"/>
  <c r="J32" i="110"/>
  <c r="J9" i="110" l="1"/>
  <c r="J15" i="110"/>
  <c r="J11" i="110"/>
  <c r="J10" i="110"/>
  <c r="S37" i="110"/>
  <c r="N37" i="110" l="1"/>
  <c r="J37" i="110"/>
  <c r="J24" i="110" l="1"/>
  <c r="J30" i="110"/>
  <c r="J29" i="110"/>
  <c r="J23" i="110"/>
  <c r="Q36" i="110"/>
  <c r="J36" i="110"/>
  <c r="J35" i="110"/>
  <c r="N36" i="110"/>
  <c r="S36" i="110"/>
  <c r="S35" i="110"/>
  <c r="J34" i="110" l="1"/>
  <c r="Q32" i="110"/>
  <c r="Q34" i="110"/>
  <c r="Q33" i="110"/>
  <c r="Q35" i="110"/>
  <c r="Q37" i="110"/>
  <c r="Q38" i="110"/>
  <c r="Q40" i="110"/>
  <c r="Q41" i="110"/>
  <c r="Q48" i="110"/>
  <c r="Q49" i="110"/>
  <c r="Q50" i="110"/>
  <c r="Q51" i="110"/>
  <c r="Q52" i="110"/>
  <c r="Q53" i="110"/>
  <c r="Q54" i="110"/>
  <c r="Q55" i="110"/>
  <c r="Q56" i="110"/>
  <c r="Q57" i="110"/>
  <c r="Q58" i="110"/>
  <c r="Q59" i="110"/>
  <c r="Q60" i="110"/>
  <c r="Q61" i="110"/>
  <c r="Q62" i="110"/>
  <c r="N32" i="110"/>
  <c r="J28" i="110"/>
  <c r="J33" i="110"/>
  <c r="AE37" i="110"/>
  <c r="AE38" i="110" s="1"/>
  <c r="S34" i="110"/>
  <c r="S33" i="110"/>
  <c r="S32" i="110"/>
  <c r="J14" i="110" l="1"/>
  <c r="J26" i="110"/>
  <c r="J25" i="110" l="1"/>
  <c r="S30" i="110"/>
  <c r="Q30" i="110" l="1"/>
  <c r="N30" i="110"/>
  <c r="K29" i="110"/>
  <c r="Q29" i="110"/>
  <c r="N29" i="110" l="1"/>
  <c r="S29" i="110"/>
  <c r="Q8" i="110" l="1"/>
  <c r="Q10" i="110"/>
  <c r="Q11" i="110"/>
  <c r="Q12" i="110"/>
  <c r="Q13" i="110"/>
  <c r="Q14" i="110"/>
  <c r="Q15" i="110"/>
  <c r="K8" i="110"/>
  <c r="K9" i="110"/>
  <c r="K10" i="110"/>
  <c r="K11" i="110"/>
  <c r="K12" i="110"/>
  <c r="K13" i="110"/>
  <c r="K14" i="110"/>
  <c r="K15" i="110"/>
  <c r="S27" i="110"/>
  <c r="S26" i="110"/>
  <c r="S25" i="110"/>
  <c r="S24" i="110"/>
  <c r="S23" i="110"/>
  <c r="S22" i="110"/>
  <c r="S21" i="110"/>
  <c r="S20" i="110"/>
  <c r="S18" i="110"/>
  <c r="S17" i="110"/>
  <c r="S16" i="110"/>
  <c r="S15" i="110"/>
  <c r="S14" i="110"/>
  <c r="S13" i="110"/>
  <c r="S12" i="110"/>
  <c r="S11" i="110"/>
  <c r="S10" i="110"/>
  <c r="S9" i="110"/>
  <c r="S8" i="110"/>
  <c r="Q26" i="110" l="1"/>
  <c r="Q28" i="110"/>
  <c r="Q27" i="110"/>
  <c r="Q25" i="110"/>
  <c r="J27" i="110" l="1"/>
  <c r="Q24" i="110" l="1"/>
  <c r="K24" i="110" l="1"/>
  <c r="K25" i="110" l="1"/>
  <c r="N26" i="110"/>
  <c r="Q23" i="110" l="1"/>
  <c r="N23" i="110" l="1"/>
  <c r="Q22" i="110" l="1"/>
  <c r="Q21" i="110"/>
  <c r="Q20" i="110"/>
  <c r="N22" i="110" l="1"/>
  <c r="J21" i="110"/>
  <c r="J22" i="110"/>
  <c r="J20" i="110" l="1"/>
  <c r="K18" i="110"/>
  <c r="J18" i="110"/>
  <c r="P18" i="110" l="1"/>
  <c r="Q19" i="110"/>
  <c r="Q18" i="110"/>
  <c r="N18" i="110"/>
  <c r="J17" i="110" l="1"/>
  <c r="K17" i="110"/>
  <c r="N16" i="110" l="1"/>
  <c r="Q17" i="110"/>
  <c r="Q16" i="110"/>
  <c r="N14" i="110" l="1"/>
  <c r="N13" i="110"/>
  <c r="N11" i="110" l="1"/>
  <c r="J12" i="110" l="1"/>
  <c r="Q51" i="109" l="1"/>
  <c r="Q53" i="109"/>
  <c r="J12" i="109" l="1"/>
  <c r="K36" i="110"/>
  <c r="K37" i="110"/>
  <c r="K38" i="110"/>
  <c r="K39" i="110"/>
  <c r="K40" i="110"/>
  <c r="K41" i="110"/>
  <c r="K23" i="110"/>
  <c r="K26" i="110"/>
  <c r="K27" i="110"/>
  <c r="K28" i="110"/>
  <c r="K50" i="110"/>
  <c r="L50" i="110" s="1"/>
  <c r="K51" i="110"/>
  <c r="L51" i="110" s="1"/>
  <c r="K52" i="110"/>
  <c r="L52" i="110" s="1"/>
  <c r="K53" i="110"/>
  <c r="L53" i="110" s="1"/>
  <c r="K54" i="110"/>
  <c r="L54" i="110" s="1"/>
  <c r="K55" i="110"/>
  <c r="L55" i="110" s="1"/>
  <c r="K56" i="110"/>
  <c r="L56" i="110" s="1"/>
  <c r="K57" i="110"/>
  <c r="L57" i="110" s="1"/>
  <c r="K58" i="110"/>
  <c r="L58" i="110" s="1"/>
  <c r="L45" i="110"/>
  <c r="L46" i="110"/>
  <c r="L47" i="110"/>
  <c r="K48" i="110"/>
  <c r="L48" i="110" s="1"/>
  <c r="K49" i="110"/>
  <c r="L49" i="110" s="1"/>
  <c r="M57" i="110"/>
  <c r="M58" i="110"/>
  <c r="L37" i="110" l="1"/>
  <c r="L41" i="110"/>
  <c r="L40" i="110"/>
  <c r="L39" i="110"/>
  <c r="L38" i="110"/>
  <c r="L36" i="110"/>
  <c r="L29" i="110"/>
  <c r="L28" i="110"/>
  <c r="R25" i="110"/>
  <c r="R23" i="110"/>
  <c r="L27" i="110"/>
  <c r="L26" i="110"/>
  <c r="L25" i="110"/>
  <c r="L24" i="110"/>
  <c r="L23" i="110"/>
  <c r="N10" i="110"/>
  <c r="J42" i="109" l="1"/>
  <c r="J21" i="109"/>
  <c r="J13" i="109"/>
  <c r="J19" i="109"/>
  <c r="J18" i="109"/>
  <c r="J53" i="109"/>
  <c r="J48" i="109"/>
  <c r="J8" i="110"/>
  <c r="P8" i="110" l="1"/>
  <c r="N53" i="109"/>
  <c r="Q52" i="109"/>
  <c r="J52" i="109"/>
  <c r="J51" i="109"/>
  <c r="Q48" i="109"/>
  <c r="N48" i="109"/>
  <c r="N50" i="109"/>
  <c r="H55" i="109"/>
  <c r="H56" i="109"/>
  <c r="J50" i="109"/>
  <c r="K49" i="109"/>
  <c r="J47" i="109"/>
  <c r="Q40" i="109" l="1"/>
  <c r="Q39" i="109"/>
  <c r="Q38" i="109"/>
  <c r="Q47" i="109"/>
  <c r="Q46" i="109"/>
  <c r="Q49" i="109"/>
  <c r="Q45" i="109"/>
  <c r="Q43" i="109"/>
  <c r="Q42" i="109"/>
  <c r="N45" i="109" l="1"/>
  <c r="N44" i="109"/>
  <c r="K47" i="109"/>
  <c r="K48" i="109"/>
  <c r="K45" i="109"/>
  <c r="J45" i="109"/>
  <c r="J44" i="109"/>
  <c r="N42" i="109" l="1"/>
  <c r="J43" i="109"/>
  <c r="J15" i="109"/>
  <c r="Q41" i="109"/>
  <c r="J41" i="109" l="1"/>
  <c r="J40" i="109"/>
  <c r="N37" i="109" l="1"/>
  <c r="J36" i="109"/>
  <c r="J34" i="109"/>
  <c r="J39" i="109"/>
  <c r="J38" i="109"/>
  <c r="J37" i="109"/>
  <c r="Q36" i="109"/>
  <c r="Q35" i="109" l="1"/>
  <c r="Q34" i="109"/>
  <c r="Q33" i="109"/>
  <c r="Q32" i="109"/>
  <c r="Q31" i="109"/>
  <c r="Q30" i="109"/>
  <c r="Q29" i="109"/>
  <c r="Q28" i="109"/>
  <c r="Q27" i="109"/>
  <c r="Q26" i="109" l="1"/>
  <c r="Q25" i="109"/>
  <c r="Q24" i="109"/>
  <c r="Q23" i="109"/>
  <c r="Q22" i="109"/>
  <c r="Q21" i="109"/>
  <c r="Q20" i="109"/>
  <c r="Q19" i="109"/>
  <c r="Q18" i="109"/>
  <c r="Q17" i="109"/>
  <c r="Q16" i="109"/>
  <c r="Q15" i="109"/>
  <c r="Q14" i="109"/>
  <c r="Q13" i="109"/>
  <c r="Q12" i="109"/>
  <c r="Q9" i="109"/>
  <c r="Q10" i="109"/>
  <c r="Q11" i="109"/>
  <c r="Q44" i="109"/>
  <c r="Q8" i="109"/>
  <c r="J32" i="109" l="1"/>
  <c r="J33" i="109"/>
  <c r="K32" i="109"/>
  <c r="P32" i="109" l="1"/>
  <c r="K31" i="109"/>
  <c r="N30" i="109"/>
  <c r="N29" i="109"/>
  <c r="K30" i="109"/>
  <c r="J29" i="109"/>
  <c r="J28" i="109"/>
  <c r="J30" i="109"/>
  <c r="K27" i="109"/>
  <c r="J27" i="109"/>
  <c r="N27" i="109"/>
  <c r="J31" i="109" l="1"/>
  <c r="P31" i="109" s="1"/>
  <c r="P30" i="109"/>
  <c r="J26" i="109"/>
  <c r="N26" i="109"/>
  <c r="N22" i="109"/>
  <c r="N23" i="109"/>
  <c r="J23" i="109"/>
  <c r="J22" i="109" l="1"/>
  <c r="K22" i="109"/>
  <c r="J20" i="109"/>
  <c r="L22" i="109" l="1"/>
  <c r="J17" i="109"/>
  <c r="J14" i="109"/>
  <c r="J16" i="109" l="1"/>
  <c r="K16" i="109"/>
  <c r="N17" i="109"/>
  <c r="N13" i="109" l="1"/>
  <c r="J9" i="109" l="1"/>
  <c r="K11" i="109" l="1"/>
  <c r="L11" i="109" s="1"/>
  <c r="P11" i="109" l="1"/>
  <c r="K9" i="109" l="1"/>
  <c r="J8" i="109" l="1"/>
  <c r="K10" i="109" l="1"/>
  <c r="K12" i="109"/>
  <c r="K13" i="109"/>
  <c r="K14" i="109"/>
  <c r="K15" i="109"/>
  <c r="K17" i="109"/>
  <c r="K18" i="109"/>
  <c r="K19" i="109"/>
  <c r="K20" i="109"/>
  <c r="K21" i="109"/>
  <c r="K23" i="109"/>
  <c r="K24" i="109"/>
  <c r="K25" i="109"/>
  <c r="K26" i="109"/>
  <c r="S26" i="109" s="1"/>
  <c r="K28" i="109"/>
  <c r="K29" i="109"/>
  <c r="K33" i="109"/>
  <c r="K34" i="109"/>
  <c r="P34" i="109" s="1"/>
  <c r="K35" i="109"/>
  <c r="K36" i="109"/>
  <c r="K37" i="109"/>
  <c r="K38" i="109"/>
  <c r="P38" i="109" s="1"/>
  <c r="K39" i="109"/>
  <c r="K40" i="109"/>
  <c r="P40" i="109" s="1"/>
  <c r="K41" i="109"/>
  <c r="K42" i="109"/>
  <c r="K43" i="109"/>
  <c r="K44" i="109"/>
  <c r="K50" i="109"/>
  <c r="K51" i="109"/>
  <c r="K52" i="109"/>
  <c r="K53" i="109"/>
  <c r="K54" i="109"/>
  <c r="K55" i="109"/>
  <c r="K56" i="109"/>
  <c r="K57" i="109"/>
  <c r="K58" i="109"/>
  <c r="K59" i="109"/>
  <c r="K60" i="109"/>
  <c r="K61" i="109"/>
  <c r="K62" i="109"/>
  <c r="K63" i="109"/>
  <c r="K64" i="109"/>
  <c r="S20" i="109" l="1"/>
  <c r="P33" i="109"/>
  <c r="J25" i="109"/>
  <c r="J65" i="109" s="1"/>
  <c r="P43" i="109"/>
  <c r="S51" i="109"/>
  <c r="S43" i="109"/>
  <c r="S28" i="109"/>
  <c r="S14" i="109"/>
  <c r="S12" i="109"/>
  <c r="S18" i="109"/>
  <c r="P25" i="109" l="1"/>
  <c r="G60" i="120" l="1"/>
  <c r="K42" i="120"/>
  <c r="K43" i="120"/>
  <c r="K44" i="120"/>
  <c r="K45" i="120"/>
  <c r="K46" i="120"/>
  <c r="K47" i="120"/>
  <c r="K48" i="120"/>
  <c r="K49" i="120"/>
  <c r="K50" i="120"/>
  <c r="K51" i="120"/>
  <c r="K52" i="120"/>
  <c r="K53" i="120"/>
  <c r="K54" i="120"/>
  <c r="K55" i="120"/>
  <c r="K56" i="120"/>
  <c r="K57" i="120"/>
  <c r="K58" i="120"/>
  <c r="K59" i="120"/>
  <c r="Y11" i="120"/>
  <c r="Y12" i="120" s="1"/>
  <c r="Q58" i="119" l="1"/>
  <c r="Q59" i="119"/>
  <c r="Q60" i="119"/>
  <c r="Q61" i="119"/>
  <c r="K9" i="119" l="1"/>
  <c r="P9" i="119" s="1"/>
  <c r="K59" i="118"/>
  <c r="P59" i="118" s="1"/>
  <c r="K32" i="118" l="1"/>
  <c r="P32" i="118" s="1"/>
  <c r="K28" i="118" l="1"/>
  <c r="P28" i="118" s="1"/>
  <c r="L28" i="118" l="1"/>
  <c r="K22" i="118" l="1"/>
  <c r="P22" i="118" s="1"/>
  <c r="L22" i="118" l="1"/>
  <c r="J54" i="117" l="1"/>
  <c r="M59" i="120" l="1"/>
  <c r="L42" i="120"/>
  <c r="L9" i="119"/>
  <c r="K43" i="119"/>
  <c r="K44" i="119"/>
  <c r="P44" i="119" s="1"/>
  <c r="K45" i="119"/>
  <c r="P45" i="119" s="1"/>
  <c r="K46" i="119"/>
  <c r="P46" i="119" s="1"/>
  <c r="K47" i="119"/>
  <c r="P47" i="119" s="1"/>
  <c r="K48" i="119"/>
  <c r="K49" i="119"/>
  <c r="K50" i="119"/>
  <c r="K51" i="119"/>
  <c r="K52" i="119"/>
  <c r="K53" i="119"/>
  <c r="K54" i="119"/>
  <c r="K55" i="119"/>
  <c r="K56" i="119"/>
  <c r="K57" i="119"/>
  <c r="L57" i="119" s="1"/>
  <c r="L59" i="118"/>
  <c r="K60" i="118"/>
  <c r="L60" i="118" s="1"/>
  <c r="K61" i="118"/>
  <c r="L61" i="118" s="1"/>
  <c r="K62" i="118"/>
  <c r="L62" i="118" s="1"/>
  <c r="K63" i="118"/>
  <c r="L63" i="118" s="1"/>
  <c r="K19" i="118"/>
  <c r="P19" i="118" s="1"/>
  <c r="K20" i="118"/>
  <c r="P20" i="118" s="1"/>
  <c r="K21" i="118"/>
  <c r="P21" i="118" s="1"/>
  <c r="K23" i="118"/>
  <c r="P23" i="118" s="1"/>
  <c r="K24" i="118"/>
  <c r="P24" i="118" s="1"/>
  <c r="K25" i="118"/>
  <c r="P25" i="118" s="1"/>
  <c r="K26" i="118"/>
  <c r="P26" i="118" s="1"/>
  <c r="K27" i="118"/>
  <c r="P27" i="118" s="1"/>
  <c r="K29" i="118"/>
  <c r="P29" i="118" s="1"/>
  <c r="K30" i="118"/>
  <c r="P30" i="118" s="1"/>
  <c r="K31" i="118"/>
  <c r="P31" i="118" s="1"/>
  <c r="L32" i="118"/>
  <c r="K33" i="118"/>
  <c r="P33" i="118" s="1"/>
  <c r="K34" i="118"/>
  <c r="P34" i="118" s="1"/>
  <c r="K18" i="118"/>
  <c r="P18" i="118" s="1"/>
  <c r="K15" i="118"/>
  <c r="P15" i="118" s="1"/>
  <c r="K16" i="118"/>
  <c r="P16" i="118" s="1"/>
  <c r="K17" i="118"/>
  <c r="P17" i="118" s="1"/>
  <c r="K9" i="117"/>
  <c r="P9" i="117" l="1"/>
  <c r="L43" i="119"/>
  <c r="P43" i="119"/>
  <c r="L48" i="119"/>
  <c r="P48" i="119"/>
  <c r="L49" i="119"/>
  <c r="P49" i="119"/>
  <c r="L50" i="119"/>
  <c r="P50" i="119"/>
  <c r="L51" i="119"/>
  <c r="P51" i="119"/>
  <c r="L52" i="119"/>
  <c r="P52" i="119"/>
  <c r="L53" i="119"/>
  <c r="P53" i="119"/>
  <c r="L54" i="119"/>
  <c r="P54" i="119"/>
  <c r="L55" i="119"/>
  <c r="P55" i="119"/>
  <c r="L56" i="119"/>
  <c r="P56" i="119"/>
  <c r="L47" i="119"/>
  <c r="L46" i="119"/>
  <c r="L45" i="119"/>
  <c r="L44" i="119"/>
  <c r="L19" i="118"/>
  <c r="L34" i="118"/>
  <c r="L20" i="118"/>
  <c r="L30" i="118"/>
  <c r="L21" i="118"/>
  <c r="L31" i="118"/>
  <c r="L33" i="118"/>
  <c r="L18" i="118"/>
  <c r="L23" i="118"/>
  <c r="L15" i="118"/>
  <c r="L9" i="117"/>
  <c r="L17" i="118" l="1"/>
  <c r="L25" i="118"/>
  <c r="L24" i="118"/>
  <c r="L16" i="118"/>
  <c r="L29" i="118"/>
  <c r="L26" i="118"/>
  <c r="L27" i="118"/>
  <c r="K8" i="116" l="1"/>
  <c r="K50" i="116"/>
  <c r="L50" i="116" s="1"/>
  <c r="K51" i="116"/>
  <c r="L51" i="116" s="1"/>
  <c r="K52" i="116"/>
  <c r="L52" i="116" s="1"/>
  <c r="K53" i="116"/>
  <c r="L53" i="116" s="1"/>
  <c r="K54" i="116"/>
  <c r="L54" i="116" s="1"/>
  <c r="K55" i="116"/>
  <c r="L55" i="116" s="1"/>
  <c r="K56" i="116"/>
  <c r="L56" i="116" s="1"/>
  <c r="L8" i="116" l="1"/>
  <c r="P9" i="116"/>
  <c r="K57" i="116"/>
  <c r="O62" i="115" l="1"/>
  <c r="P13" i="115" l="1"/>
  <c r="K8" i="115"/>
  <c r="G57" i="122"/>
  <c r="K60" i="115" l="1"/>
  <c r="P60" i="115" s="1"/>
  <c r="P9" i="115"/>
  <c r="P11" i="115"/>
  <c r="P12" i="115"/>
  <c r="P10" i="115"/>
  <c r="L60" i="115" l="1"/>
  <c r="O57" i="122"/>
  <c r="O59" i="122" s="1"/>
  <c r="L59" i="122" s="1"/>
  <c r="P32" i="122" l="1"/>
  <c r="L63" i="122" l="1"/>
  <c r="J57" i="122" l="1"/>
  <c r="P63" i="113" l="1"/>
  <c r="P65" i="113" s="1"/>
  <c r="P10" i="122"/>
  <c r="P29" i="122"/>
  <c r="P30" i="122"/>
  <c r="P31" i="122"/>
  <c r="P33" i="122"/>
  <c r="P34" i="122"/>
  <c r="P11" i="122" l="1"/>
  <c r="P9" i="122"/>
  <c r="Q42" i="113" l="1"/>
  <c r="G63" i="113" l="1"/>
  <c r="M65" i="113" l="1"/>
  <c r="M10" i="113"/>
  <c r="K49" i="121"/>
  <c r="K47" i="121"/>
  <c r="K48" i="121"/>
  <c r="K50" i="121"/>
  <c r="L50" i="121" s="1"/>
  <c r="K51" i="121"/>
  <c r="L51" i="121" s="1"/>
  <c r="K52" i="121"/>
  <c r="L52" i="121" s="1"/>
  <c r="K53" i="121"/>
  <c r="L53" i="121" s="1"/>
  <c r="Q27" i="113" l="1"/>
  <c r="L48" i="121"/>
  <c r="L47" i="121"/>
  <c r="L46" i="121"/>
  <c r="L49" i="121"/>
  <c r="L45" i="121"/>
  <c r="K43" i="121" l="1"/>
  <c r="H51" i="121" l="1"/>
  <c r="H52" i="121"/>
  <c r="H53" i="121"/>
  <c r="K37" i="121" l="1"/>
  <c r="P37" i="121" l="1"/>
  <c r="O64" i="111"/>
  <c r="L64" i="111" s="1"/>
  <c r="P14" i="121"/>
  <c r="L22" i="121"/>
  <c r="L23" i="121"/>
  <c r="P25" i="121"/>
  <c r="K38" i="121"/>
  <c r="L39" i="121"/>
  <c r="P41" i="121"/>
  <c r="P43" i="121"/>
  <c r="P38" i="121" l="1"/>
  <c r="L44" i="121"/>
  <c r="L41" i="121"/>
  <c r="L38" i="121"/>
  <c r="L43" i="121"/>
  <c r="P12" i="121"/>
  <c r="P11" i="121"/>
  <c r="L37" i="121"/>
  <c r="P15" i="121"/>
  <c r="P13" i="121"/>
  <c r="P22" i="121"/>
  <c r="P10" i="121"/>
  <c r="P9" i="121"/>
  <c r="P47" i="111" l="1"/>
  <c r="K44" i="111"/>
  <c r="P44" i="111" l="1"/>
  <c r="K45" i="111"/>
  <c r="K46" i="111"/>
  <c r="P48" i="111"/>
  <c r="K50" i="111"/>
  <c r="K51" i="111"/>
  <c r="K52" i="111"/>
  <c r="K53" i="111"/>
  <c r="K54" i="111"/>
  <c r="K59" i="111"/>
  <c r="K60" i="111"/>
  <c r="K61" i="111"/>
  <c r="K28" i="111"/>
  <c r="K29" i="111"/>
  <c r="K30" i="111"/>
  <c r="K31" i="111"/>
  <c r="K32" i="111"/>
  <c r="J45" i="111" l="1"/>
  <c r="J62" i="111" s="1"/>
  <c r="P46" i="111"/>
  <c r="K26" i="111"/>
  <c r="K27" i="111"/>
  <c r="P45" i="111" l="1"/>
  <c r="T26" i="111"/>
  <c r="L28" i="111"/>
  <c r="P28" i="111"/>
  <c r="P27" i="111"/>
  <c r="L27" i="111"/>
  <c r="L26" i="111"/>
  <c r="P26" i="111"/>
  <c r="P25" i="111"/>
  <c r="L25" i="111"/>
  <c r="L29" i="111"/>
  <c r="P29" i="111"/>
  <c r="P17" i="111" l="1"/>
  <c r="K8" i="111"/>
  <c r="K62" i="111" s="1"/>
  <c r="P62" i="111" l="1"/>
  <c r="L62" i="111"/>
  <c r="P19" i="111"/>
  <c r="P22" i="111"/>
  <c r="P24" i="111"/>
  <c r="L16" i="111"/>
  <c r="L17" i="111"/>
  <c r="L19" i="111"/>
  <c r="L20" i="111"/>
  <c r="L21" i="111"/>
  <c r="L22" i="111"/>
  <c r="L24" i="111"/>
  <c r="L9" i="111"/>
  <c r="L10" i="111"/>
  <c r="L11" i="111"/>
  <c r="L12" i="111"/>
  <c r="P15" i="111"/>
  <c r="L18" i="111"/>
  <c r="P23" i="111"/>
  <c r="L30" i="111"/>
  <c r="P32" i="111"/>
  <c r="P33" i="111"/>
  <c r="L48" i="111"/>
  <c r="L50" i="111"/>
  <c r="P51" i="111"/>
  <c r="P31" i="111" l="1"/>
  <c r="L31" i="111"/>
  <c r="L44" i="111"/>
  <c r="L43" i="111"/>
  <c r="L45" i="111"/>
  <c r="L41" i="111"/>
  <c r="L23" i="111"/>
  <c r="L33" i="111"/>
  <c r="P18" i="111"/>
  <c r="P14" i="111"/>
  <c r="L15" i="111"/>
  <c r="L14" i="111"/>
  <c r="P30" i="111"/>
  <c r="L32" i="111"/>
  <c r="L51" i="111"/>
  <c r="P50" i="111"/>
  <c r="L47" i="111"/>
  <c r="L49" i="111"/>
  <c r="L46" i="111"/>
  <c r="P10" i="111"/>
  <c r="P12" i="111"/>
  <c r="P11" i="111"/>
  <c r="P9" i="111"/>
  <c r="P54" i="110"/>
  <c r="P56" i="110"/>
  <c r="K42" i="110"/>
  <c r="K43" i="110"/>
  <c r="K44" i="110"/>
  <c r="L13" i="111" l="1"/>
  <c r="P13" i="111"/>
  <c r="P48" i="110" l="1"/>
  <c r="P50" i="110" l="1"/>
  <c r="H57" i="110"/>
  <c r="H58" i="110"/>
  <c r="H59" i="110"/>
  <c r="K59" i="110"/>
  <c r="L59" i="110" s="1"/>
  <c r="H60" i="110"/>
  <c r="K60" i="110"/>
  <c r="L60" i="110" s="1"/>
  <c r="H61" i="110"/>
  <c r="K61" i="110"/>
  <c r="L61" i="110" s="1"/>
  <c r="H62" i="110"/>
  <c r="K62" i="110"/>
  <c r="L62" i="110" s="1"/>
  <c r="P37" i="110"/>
  <c r="P39" i="110"/>
  <c r="K35" i="110"/>
  <c r="P52" i="110" l="1"/>
  <c r="L35" i="110"/>
  <c r="P35" i="110"/>
  <c r="P38" i="110"/>
  <c r="P62" i="110"/>
  <c r="P57" i="110"/>
  <c r="P45" i="110"/>
  <c r="P47" i="110"/>
  <c r="P58" i="110"/>
  <c r="P51" i="110"/>
  <c r="P59" i="110"/>
  <c r="P61" i="110"/>
  <c r="P49" i="110"/>
  <c r="P46" i="110"/>
  <c r="P53" i="110"/>
  <c r="P60" i="110"/>
  <c r="K34" i="110"/>
  <c r="P43" i="110" l="1"/>
  <c r="L42" i="110"/>
  <c r="P41" i="110"/>
  <c r="P44" i="110"/>
  <c r="P40" i="110"/>
  <c r="L43" i="110"/>
  <c r="P36" i="110"/>
  <c r="L44" i="110"/>
  <c r="P42" i="110"/>
  <c r="K30" i="110" l="1"/>
  <c r="K31" i="110"/>
  <c r="K33" i="110"/>
  <c r="L34" i="110"/>
  <c r="P34" i="110"/>
  <c r="R29" i="110" l="1"/>
  <c r="P29" i="110"/>
  <c r="L31" i="110"/>
  <c r="P25" i="110"/>
  <c r="L30" i="110"/>
  <c r="L33" i="110"/>
  <c r="L32" i="110"/>
  <c r="P26" i="110"/>
  <c r="P32" i="110"/>
  <c r="P31" i="110"/>
  <c r="P30" i="110"/>
  <c r="P33" i="110"/>
  <c r="P28" i="110"/>
  <c r="P27" i="110"/>
  <c r="P24" i="110"/>
  <c r="G65" i="109" l="1"/>
  <c r="L67" i="110" l="1"/>
  <c r="K16" i="110" l="1"/>
  <c r="K20" i="110"/>
  <c r="K21" i="110"/>
  <c r="K22" i="110"/>
  <c r="R15" i="110" l="1"/>
  <c r="R12" i="110"/>
  <c r="L12" i="109"/>
  <c r="P12" i="109"/>
  <c r="L55" i="109" l="1"/>
  <c r="L56" i="109"/>
  <c r="L57" i="109"/>
  <c r="L58" i="109"/>
  <c r="L59" i="109"/>
  <c r="L60" i="109"/>
  <c r="L61" i="109"/>
  <c r="L62" i="109"/>
  <c r="L63" i="109"/>
  <c r="L64" i="109"/>
  <c r="L53" i="109"/>
  <c r="L54" i="109"/>
  <c r="P45" i="109" l="1"/>
  <c r="P44" i="109"/>
  <c r="L45" i="109"/>
  <c r="L51" i="109"/>
  <c r="L47" i="109"/>
  <c r="L44" i="109"/>
  <c r="L52" i="109"/>
  <c r="L48" i="109"/>
  <c r="P42" i="120" l="1"/>
  <c r="L54" i="120"/>
  <c r="P54" i="120"/>
  <c r="Q59" i="120" l="1"/>
  <c r="P32" i="120" l="1"/>
  <c r="P31" i="120"/>
  <c r="P28" i="120"/>
  <c r="P29" i="120"/>
  <c r="O65" i="120" l="1"/>
  <c r="O64" i="120"/>
  <c r="O60" i="120"/>
  <c r="O62" i="120" s="1"/>
  <c r="N60" i="120"/>
  <c r="J60" i="120"/>
  <c r="I60" i="120"/>
  <c r="E60" i="120"/>
  <c r="H59" i="120"/>
  <c r="P58" i="120"/>
  <c r="P57" i="120"/>
  <c r="P56" i="120"/>
  <c r="L53" i="120"/>
  <c r="P52" i="120"/>
  <c r="L51" i="120"/>
  <c r="P49" i="120"/>
  <c r="L48" i="120"/>
  <c r="L47" i="120"/>
  <c r="P46" i="120"/>
  <c r="P44" i="120"/>
  <c r="P43" i="120"/>
  <c r="K8" i="120"/>
  <c r="O68" i="119"/>
  <c r="O67" i="119"/>
  <c r="O66" i="119"/>
  <c r="O62" i="119"/>
  <c r="O64" i="119" s="1"/>
  <c r="N62" i="119"/>
  <c r="G62" i="119"/>
  <c r="E62" i="119"/>
  <c r="K61" i="119"/>
  <c r="L61" i="119" s="1"/>
  <c r="H61" i="119"/>
  <c r="P60" i="119"/>
  <c r="L60" i="119"/>
  <c r="H60" i="119"/>
  <c r="K59" i="119"/>
  <c r="P59" i="119" s="1"/>
  <c r="H59" i="119"/>
  <c r="K58" i="119"/>
  <c r="L58" i="119" s="1"/>
  <c r="H58" i="119"/>
  <c r="H57" i="119"/>
  <c r="H56" i="119"/>
  <c r="H55" i="119"/>
  <c r="H54" i="119"/>
  <c r="K8" i="119"/>
  <c r="P75" i="118"/>
  <c r="O69" i="118"/>
  <c r="O68" i="118"/>
  <c r="O64" i="118"/>
  <c r="O66" i="118" s="1"/>
  <c r="E64" i="118"/>
  <c r="P63" i="118"/>
  <c r="H63" i="118"/>
  <c r="P62" i="118"/>
  <c r="H62" i="118"/>
  <c r="O61" i="117"/>
  <c r="O54" i="117"/>
  <c r="O56" i="117" s="1"/>
  <c r="N54" i="117"/>
  <c r="I54" i="117"/>
  <c r="G54" i="117"/>
  <c r="E54" i="117"/>
  <c r="K53" i="117"/>
  <c r="H53" i="117"/>
  <c r="K52" i="117"/>
  <c r="H52" i="117"/>
  <c r="K51" i="117"/>
  <c r="P51" i="117" s="1"/>
  <c r="H51" i="117"/>
  <c r="K50" i="117"/>
  <c r="P50" i="117" s="1"/>
  <c r="H50" i="117"/>
  <c r="K49" i="117"/>
  <c r="H49" i="117"/>
  <c r="K8" i="117"/>
  <c r="O62" i="116"/>
  <c r="O61" i="116"/>
  <c r="O57" i="116"/>
  <c r="O59" i="116" s="1"/>
  <c r="N57" i="116"/>
  <c r="I57" i="116"/>
  <c r="G57" i="116"/>
  <c r="E57" i="116"/>
  <c r="P56" i="116"/>
  <c r="H56" i="116"/>
  <c r="H55" i="116"/>
  <c r="P54" i="116"/>
  <c r="H54" i="116"/>
  <c r="P52" i="116"/>
  <c r="P51" i="116"/>
  <c r="P50" i="116"/>
  <c r="P48" i="116"/>
  <c r="P47" i="116"/>
  <c r="P16" i="116"/>
  <c r="P15" i="116"/>
  <c r="P14" i="116"/>
  <c r="P12" i="116"/>
  <c r="P11" i="116"/>
  <c r="P10" i="116"/>
  <c r="O67" i="115"/>
  <c r="O66" i="115"/>
  <c r="O65" i="115"/>
  <c r="P47" i="115"/>
  <c r="P46" i="115"/>
  <c r="P45" i="115"/>
  <c r="P41" i="115"/>
  <c r="P40" i="115"/>
  <c r="P38" i="115"/>
  <c r="P37" i="115"/>
  <c r="P33" i="115"/>
  <c r="P31" i="115"/>
  <c r="P29" i="115"/>
  <c r="P28" i="115"/>
  <c r="I57" i="122"/>
  <c r="E57" i="122"/>
  <c r="Q57" i="122" s="1"/>
  <c r="P56" i="122"/>
  <c r="H56" i="122"/>
  <c r="P55" i="122"/>
  <c r="H55" i="122"/>
  <c r="P54" i="122"/>
  <c r="H54" i="122"/>
  <c r="P53" i="122"/>
  <c r="H53" i="122"/>
  <c r="P52" i="122"/>
  <c r="H52" i="122"/>
  <c r="P51" i="122"/>
  <c r="H51" i="122"/>
  <c r="P50" i="122"/>
  <c r="H50" i="122"/>
  <c r="P49" i="122"/>
  <c r="P48" i="122"/>
  <c r="P38" i="122"/>
  <c r="P37" i="122"/>
  <c r="P36" i="122"/>
  <c r="P35" i="122"/>
  <c r="I63" i="113"/>
  <c r="E63" i="113"/>
  <c r="S63" i="113" s="1"/>
  <c r="R61" i="113"/>
  <c r="Q61" i="113"/>
  <c r="H61" i="113"/>
  <c r="R60" i="113"/>
  <c r="H60" i="113"/>
  <c r="R59" i="113"/>
  <c r="H59" i="113"/>
  <c r="R58" i="113"/>
  <c r="Q58" i="113"/>
  <c r="H58" i="113"/>
  <c r="R57" i="113"/>
  <c r="H57" i="113"/>
  <c r="R56" i="113"/>
  <c r="H56" i="113"/>
  <c r="R55" i="113"/>
  <c r="Q55" i="113"/>
  <c r="H55" i="113"/>
  <c r="R54" i="113"/>
  <c r="Q54" i="113"/>
  <c r="H54" i="113"/>
  <c r="R53" i="113"/>
  <c r="Q53" i="113"/>
  <c r="H53" i="113"/>
  <c r="R52" i="113"/>
  <c r="Q52" i="113"/>
  <c r="H52" i="113"/>
  <c r="R51" i="113"/>
  <c r="Q51" i="113"/>
  <c r="H51" i="113"/>
  <c r="H50" i="113"/>
  <c r="O60" i="121"/>
  <c r="O59" i="121"/>
  <c r="O54" i="121"/>
  <c r="O56" i="121" s="1"/>
  <c r="N54" i="121"/>
  <c r="I54" i="121"/>
  <c r="E54" i="121"/>
  <c r="P47" i="121"/>
  <c r="L61" i="111"/>
  <c r="H61" i="111"/>
  <c r="H60" i="111"/>
  <c r="L59" i="111"/>
  <c r="H59" i="111"/>
  <c r="P8" i="111"/>
  <c r="O68" i="110"/>
  <c r="O67" i="110"/>
  <c r="I63" i="110"/>
  <c r="O65" i="110"/>
  <c r="L65" i="110" s="1"/>
  <c r="O72" i="109"/>
  <c r="O65" i="109"/>
  <c r="O67" i="109" s="1"/>
  <c r="K68" i="109" s="1"/>
  <c r="I65" i="109"/>
  <c r="E65" i="109"/>
  <c r="S65" i="109" s="1"/>
  <c r="P64" i="109"/>
  <c r="P63" i="109"/>
  <c r="P61" i="109"/>
  <c r="P60" i="109"/>
  <c r="P51" i="109"/>
  <c r="L38" i="109"/>
  <c r="P37" i="109"/>
  <c r="P21" i="109"/>
  <c r="L17" i="109"/>
  <c r="P16" i="109"/>
  <c r="P15" i="109"/>
  <c r="K8" i="109"/>
  <c r="L53" i="117" l="1"/>
  <c r="P53" i="117"/>
  <c r="L52" i="117"/>
  <c r="P52" i="117"/>
  <c r="L49" i="117"/>
  <c r="P49" i="117"/>
  <c r="L64" i="119"/>
  <c r="R62" i="111"/>
  <c r="R63" i="110"/>
  <c r="L56" i="121"/>
  <c r="R54" i="121"/>
  <c r="Q54" i="121"/>
  <c r="Q65" i="109"/>
  <c r="K65" i="109"/>
  <c r="P65" i="109" s="1"/>
  <c r="S8" i="109"/>
  <c r="L8" i="120"/>
  <c r="K60" i="120"/>
  <c r="L59" i="116"/>
  <c r="G67" i="116"/>
  <c r="H67" i="116" s="1"/>
  <c r="O71" i="118"/>
  <c r="Q41" i="113"/>
  <c r="K54" i="121"/>
  <c r="P51" i="121"/>
  <c r="P53" i="121"/>
  <c r="P52" i="121"/>
  <c r="P49" i="121"/>
  <c r="P50" i="121"/>
  <c r="P44" i="121"/>
  <c r="P54" i="111"/>
  <c r="L54" i="111"/>
  <c r="L56" i="111"/>
  <c r="P58" i="111"/>
  <c r="L58" i="111"/>
  <c r="P52" i="111"/>
  <c r="L52" i="111"/>
  <c r="P53" i="111"/>
  <c r="L53" i="111"/>
  <c r="P60" i="111"/>
  <c r="L60" i="111"/>
  <c r="L57" i="111"/>
  <c r="P55" i="111"/>
  <c r="L55" i="111"/>
  <c r="L19" i="109"/>
  <c r="P13" i="109"/>
  <c r="P61" i="111"/>
  <c r="Q59" i="113"/>
  <c r="P29" i="109"/>
  <c r="L59" i="120"/>
  <c r="P59" i="120"/>
  <c r="P50" i="120"/>
  <c r="L50" i="120"/>
  <c r="P55" i="120"/>
  <c r="L55" i="120"/>
  <c r="P53" i="120"/>
  <c r="Q8" i="113"/>
  <c r="Q57" i="113"/>
  <c r="L62" i="115"/>
  <c r="L35" i="109"/>
  <c r="L30" i="109"/>
  <c r="P52" i="109"/>
  <c r="L43" i="120"/>
  <c r="P20" i="110"/>
  <c r="P14" i="110"/>
  <c r="L43" i="109"/>
  <c r="P30" i="115"/>
  <c r="O68" i="115"/>
  <c r="P53" i="116"/>
  <c r="O67" i="120"/>
  <c r="P30" i="120"/>
  <c r="P56" i="109"/>
  <c r="P22" i="109"/>
  <c r="P36" i="109"/>
  <c r="Q50" i="113"/>
  <c r="P10" i="109"/>
  <c r="P20" i="109"/>
  <c r="P23" i="109"/>
  <c r="L31" i="109"/>
  <c r="L9" i="110"/>
  <c r="L14" i="109"/>
  <c r="L37" i="109"/>
  <c r="P47" i="109"/>
  <c r="P61" i="118"/>
  <c r="I64" i="118"/>
  <c r="P27" i="109"/>
  <c r="P62" i="109"/>
  <c r="L9" i="109"/>
  <c r="P46" i="121"/>
  <c r="L39" i="109"/>
  <c r="P39" i="109"/>
  <c r="P54" i="109"/>
  <c r="P57" i="109"/>
  <c r="L9" i="115"/>
  <c r="P34" i="115"/>
  <c r="N63" i="110"/>
  <c r="L13" i="110"/>
  <c r="P17" i="109"/>
  <c r="L23" i="109"/>
  <c r="P48" i="109"/>
  <c r="O63" i="113"/>
  <c r="Q56" i="113"/>
  <c r="P53" i="109"/>
  <c r="P58" i="109"/>
  <c r="N64" i="118"/>
  <c r="I62" i="119"/>
  <c r="L15" i="109"/>
  <c r="L21" i="109"/>
  <c r="L29" i="109"/>
  <c r="P55" i="116"/>
  <c r="O64" i="116"/>
  <c r="L13" i="109"/>
  <c r="N65" i="109"/>
  <c r="P9" i="110"/>
  <c r="P8" i="121"/>
  <c r="P59" i="109"/>
  <c r="L8" i="111"/>
  <c r="P45" i="121"/>
  <c r="P14" i="109"/>
  <c r="P19" i="109"/>
  <c r="P35" i="109"/>
  <c r="P10" i="110"/>
  <c r="M8" i="113"/>
  <c r="P48" i="120"/>
  <c r="L52" i="120"/>
  <c r="P47" i="120"/>
  <c r="L58" i="120"/>
  <c r="P51" i="120"/>
  <c r="L44" i="120"/>
  <c r="L49" i="120"/>
  <c r="L56" i="120"/>
  <c r="P8" i="119"/>
  <c r="P8" i="120"/>
  <c r="P42" i="109"/>
  <c r="L42" i="109"/>
  <c r="P55" i="109"/>
  <c r="L28" i="109"/>
  <c r="L41" i="109"/>
  <c r="P41" i="109"/>
  <c r="P26" i="109"/>
  <c r="P24" i="109"/>
  <c r="L40" i="109"/>
  <c r="P49" i="109"/>
  <c r="L49" i="109"/>
  <c r="P50" i="109"/>
  <c r="L50" i="109"/>
  <c r="P9" i="109"/>
  <c r="P28" i="109"/>
  <c r="P13" i="110"/>
  <c r="P8" i="118"/>
  <c r="L25" i="109"/>
  <c r="L32" i="109"/>
  <c r="L34" i="109"/>
  <c r="K64" i="118"/>
  <c r="L36" i="109"/>
  <c r="P32" i="115"/>
  <c r="L16" i="109"/>
  <c r="L20" i="109"/>
  <c r="L27" i="109"/>
  <c r="L14" i="110"/>
  <c r="L20" i="110"/>
  <c r="Q63" i="113"/>
  <c r="L8" i="109"/>
  <c r="L10" i="109"/>
  <c r="P8" i="109"/>
  <c r="L24" i="109"/>
  <c r="P59" i="111"/>
  <c r="P48" i="115"/>
  <c r="P60" i="118"/>
  <c r="L33" i="109"/>
  <c r="L26" i="109"/>
  <c r="Q17" i="113"/>
  <c r="Q60" i="113"/>
  <c r="P45" i="120"/>
  <c r="L45" i="120"/>
  <c r="P8" i="115"/>
  <c r="L8" i="115"/>
  <c r="J57" i="116"/>
  <c r="L57" i="116" s="1"/>
  <c r="P49" i="116"/>
  <c r="P48" i="121"/>
  <c r="Q16" i="113"/>
  <c r="P27" i="115"/>
  <c r="P8" i="116"/>
  <c r="M9" i="113"/>
  <c r="P39" i="115"/>
  <c r="P13" i="116"/>
  <c r="G64" i="118"/>
  <c r="L66" i="118" s="1"/>
  <c r="J64" i="118"/>
  <c r="L8" i="121"/>
  <c r="L8" i="119"/>
  <c r="L10" i="115"/>
  <c r="L57" i="120"/>
  <c r="L62" i="120"/>
  <c r="L46" i="120"/>
  <c r="L38" i="122"/>
  <c r="L37" i="122"/>
  <c r="L54" i="122"/>
  <c r="L55" i="122"/>
  <c r="L56" i="122"/>
  <c r="L53" i="122"/>
  <c r="N57" i="122"/>
  <c r="P61" i="119"/>
  <c r="P57" i="119"/>
  <c r="H45" i="116"/>
  <c r="L56" i="117"/>
  <c r="L50" i="117"/>
  <c r="K54" i="117"/>
  <c r="L51" i="117"/>
  <c r="L8" i="117"/>
  <c r="P8" i="117"/>
  <c r="O69" i="119"/>
  <c r="K62" i="119"/>
  <c r="P58" i="119"/>
  <c r="L59" i="119"/>
  <c r="L11" i="110"/>
  <c r="L22" i="110"/>
  <c r="O70" i="110"/>
  <c r="P11" i="110"/>
  <c r="L15" i="110"/>
  <c r="P22" i="110"/>
  <c r="P15" i="110"/>
  <c r="L16" i="110"/>
  <c r="L18" i="110"/>
  <c r="L21" i="110"/>
  <c r="L12" i="110"/>
  <c r="P21" i="110"/>
  <c r="L8" i="110"/>
  <c r="P12" i="110"/>
  <c r="K63" i="110"/>
  <c r="L10" i="110"/>
  <c r="P16" i="110"/>
  <c r="L17" i="110"/>
  <c r="P17" i="110"/>
  <c r="P23" i="110"/>
  <c r="H48" i="116"/>
  <c r="H51" i="116"/>
  <c r="H53" i="116"/>
  <c r="H47" i="116"/>
  <c r="H50" i="116"/>
  <c r="H46" i="116"/>
  <c r="H32" i="116"/>
  <c r="H49" i="116"/>
  <c r="H52" i="116"/>
  <c r="L68" i="110" l="1"/>
  <c r="P60" i="120"/>
  <c r="P39" i="122"/>
  <c r="L65" i="109"/>
  <c r="L60" i="120"/>
  <c r="M60" i="120" s="1"/>
  <c r="J62" i="119"/>
  <c r="L62" i="119" s="1"/>
  <c r="L18" i="109"/>
  <c r="P18" i="109"/>
  <c r="P57" i="116"/>
  <c r="L54" i="117"/>
  <c r="P64" i="118"/>
  <c r="L64" i="118"/>
  <c r="P57" i="122"/>
  <c r="P54" i="117"/>
  <c r="J63" i="110"/>
  <c r="H65" i="122" l="1"/>
  <c r="H66" i="115" s="1"/>
  <c r="I65" i="122"/>
  <c r="I66" i="115" s="1"/>
  <c r="P62" i="119"/>
  <c r="L57" i="122"/>
  <c r="P63" i="110"/>
  <c r="L63" i="110"/>
  <c r="H53" i="119" l="1"/>
  <c r="H58" i="120"/>
  <c r="Q58" i="120"/>
  <c r="Q57" i="120"/>
  <c r="H57" i="120"/>
  <c r="H52" i="119" l="1"/>
  <c r="H51" i="119" l="1"/>
  <c r="H61" i="118" l="1"/>
  <c r="H60" i="118"/>
  <c r="H58" i="109" l="1"/>
  <c r="R58" i="109"/>
  <c r="H60" i="109"/>
  <c r="R60" i="109"/>
  <c r="R61" i="109"/>
  <c r="H61" i="109"/>
  <c r="R56" i="109"/>
  <c r="R57" i="109"/>
  <c r="H57" i="109"/>
  <c r="R59" i="109"/>
  <c r="H59" i="109"/>
  <c r="R55" i="109"/>
  <c r="H63" i="109"/>
  <c r="R63" i="109"/>
  <c r="R64" i="109"/>
  <c r="H64" i="109"/>
  <c r="H62" i="109"/>
  <c r="R62" i="109"/>
  <c r="R35" i="109"/>
  <c r="H35" i="109"/>
  <c r="J54" i="121" l="1"/>
  <c r="L54" i="121" s="1"/>
  <c r="L24" i="121"/>
  <c r="P54" i="121" l="1"/>
  <c r="H10" i="119" l="1"/>
  <c r="H54" i="118" l="1"/>
  <c r="H52" i="118" l="1"/>
  <c r="H48" i="118" l="1"/>
  <c r="H47" i="118" l="1"/>
  <c r="H16" i="119" l="1"/>
  <c r="H8" i="120"/>
  <c r="H37" i="118"/>
  <c r="H18" i="119"/>
  <c r="Q8" i="118"/>
  <c r="H15" i="118"/>
  <c r="H24" i="118"/>
  <c r="H35" i="118"/>
  <c r="H29" i="118"/>
  <c r="H49" i="118"/>
  <c r="H51" i="118"/>
  <c r="H53" i="118"/>
  <c r="H56" i="118"/>
  <c r="H11" i="120"/>
  <c r="H23" i="120"/>
  <c r="H27" i="120"/>
  <c r="H13" i="119"/>
  <c r="H20" i="118"/>
  <c r="H40" i="118"/>
  <c r="H18" i="118"/>
  <c r="H27" i="118"/>
  <c r="H55" i="118"/>
  <c r="H59" i="118"/>
  <c r="H15" i="119"/>
  <c r="H22" i="120"/>
  <c r="H26" i="120"/>
  <c r="H38" i="118"/>
  <c r="H45" i="118"/>
  <c r="H21" i="118"/>
  <c r="H49" i="121"/>
  <c r="H26" i="117"/>
  <c r="H30" i="118"/>
  <c r="H17" i="119"/>
  <c r="H19" i="119"/>
  <c r="H14" i="118"/>
  <c r="H32" i="118"/>
  <c r="H36" i="118"/>
  <c r="H13" i="118"/>
  <c r="H50" i="118"/>
  <c r="H58" i="118"/>
  <c r="H12" i="119"/>
  <c r="H25" i="120"/>
  <c r="H16" i="118"/>
  <c r="H25" i="118"/>
  <c r="H28" i="118"/>
  <c r="H39" i="118"/>
  <c r="H19" i="118"/>
  <c r="H43" i="118"/>
  <c r="H27" i="117"/>
  <c r="H14" i="119"/>
  <c r="H46" i="118"/>
  <c r="H57" i="118"/>
  <c r="H50" i="121"/>
  <c r="H11" i="119"/>
  <c r="H12" i="120"/>
  <c r="H24" i="120"/>
  <c r="H28" i="120"/>
  <c r="F64" i="118" l="1"/>
  <c r="Q64" i="118" s="1"/>
  <c r="H42" i="118"/>
  <c r="H26" i="118"/>
  <c r="H30" i="117"/>
  <c r="H41" i="118"/>
  <c r="H44" i="118"/>
  <c r="H34" i="118"/>
  <c r="H29" i="117"/>
  <c r="H23" i="118"/>
  <c r="H33" i="118"/>
  <c r="H31" i="118"/>
  <c r="H22" i="118"/>
  <c r="H17" i="118"/>
  <c r="H28" i="117"/>
  <c r="H64" i="118" l="1"/>
  <c r="H10" i="120" l="1"/>
  <c r="H15" i="120" l="1"/>
  <c r="H14" i="120"/>
  <c r="H13" i="120"/>
  <c r="H18" i="120" l="1"/>
  <c r="H17" i="120"/>
  <c r="H16" i="120"/>
  <c r="H20" i="120" l="1"/>
  <c r="H19" i="120"/>
  <c r="H21" i="120" l="1"/>
  <c r="H53" i="120" l="1"/>
  <c r="Q53" i="120"/>
  <c r="H35" i="120"/>
  <c r="H56" i="120"/>
  <c r="Q56" i="120"/>
  <c r="Q54" i="120"/>
  <c r="H54" i="120"/>
  <c r="H31" i="120"/>
  <c r="H29" i="120"/>
  <c r="Q52" i="120"/>
  <c r="H52" i="120"/>
  <c r="H36" i="120"/>
  <c r="H33" i="120"/>
  <c r="H34" i="120"/>
  <c r="H55" i="120"/>
  <c r="Q55" i="120"/>
  <c r="H30" i="120"/>
  <c r="M57" i="120"/>
  <c r="N51" i="113"/>
  <c r="M55" i="120"/>
  <c r="M54" i="120"/>
  <c r="M56" i="120"/>
  <c r="M52" i="120"/>
  <c r="M53" i="120"/>
  <c r="H32" i="120" l="1"/>
  <c r="F12" i="113" l="1"/>
  <c r="F11" i="113"/>
  <c r="F13" i="113"/>
  <c r="H11" i="113" l="1"/>
  <c r="H12" i="113"/>
  <c r="H13" i="113"/>
  <c r="F10" i="113"/>
  <c r="H10" i="113" l="1"/>
  <c r="F8" i="113"/>
  <c r="H8" i="113" l="1"/>
  <c r="F13" i="121" l="1"/>
  <c r="H13" i="121" l="1"/>
  <c r="F8" i="121"/>
  <c r="H8" i="121" l="1"/>
  <c r="F54" i="111" l="1"/>
  <c r="H54" i="111" l="1"/>
  <c r="F37" i="111"/>
  <c r="H37" i="111" l="1"/>
  <c r="F13" i="111"/>
  <c r="F14" i="111"/>
  <c r="F15" i="111"/>
  <c r="F16" i="111"/>
  <c r="F17" i="111"/>
  <c r="F18" i="111"/>
  <c r="F19" i="111"/>
  <c r="H17" i="111" l="1"/>
  <c r="H19" i="111"/>
  <c r="H18" i="111"/>
  <c r="H16" i="111"/>
  <c r="H15" i="111"/>
  <c r="H14" i="111"/>
  <c r="H13" i="111"/>
  <c r="F9" i="111"/>
  <c r="H9" i="111" l="1"/>
  <c r="F29" i="110"/>
  <c r="H29" i="110" l="1"/>
  <c r="F28" i="110"/>
  <c r="F27" i="110"/>
  <c r="F30" i="110"/>
  <c r="H27" i="110" l="1"/>
  <c r="H28" i="110"/>
  <c r="H30" i="110"/>
  <c r="F26" i="110"/>
  <c r="H26" i="110" l="1"/>
  <c r="F22" i="110"/>
  <c r="H22" i="110" l="1"/>
  <c r="F17" i="110"/>
  <c r="F19" i="110"/>
  <c r="F23" i="110"/>
  <c r="F24" i="110"/>
  <c r="F25" i="110"/>
  <c r="F18" i="110"/>
  <c r="H19" i="110" l="1"/>
  <c r="H18" i="110"/>
  <c r="H25" i="110"/>
  <c r="H23" i="110"/>
  <c r="H17" i="110"/>
  <c r="H24" i="110"/>
  <c r="F21" i="110"/>
  <c r="H21" i="110" l="1"/>
  <c r="F20" i="110"/>
  <c r="H20" i="110" l="1"/>
  <c r="F17" i="113" l="1"/>
  <c r="H17" i="113" l="1"/>
  <c r="F16" i="113"/>
  <c r="H16" i="113" l="1"/>
  <c r="F23" i="113" l="1"/>
  <c r="H23" i="113" l="1"/>
  <c r="F25" i="113" l="1"/>
  <c r="F29" i="113"/>
  <c r="F27" i="113"/>
  <c r="H29" i="113" l="1"/>
  <c r="H25" i="113"/>
  <c r="H27" i="113"/>
  <c r="F26" i="113"/>
  <c r="F24" i="113"/>
  <c r="H26" i="113" l="1"/>
  <c r="H24" i="113"/>
  <c r="F28" i="113" l="1"/>
  <c r="H28" i="113" l="1"/>
  <c r="F47" i="113" l="1"/>
  <c r="H47" i="113" l="1"/>
  <c r="F48" i="113" l="1"/>
  <c r="H48" i="113" s="1"/>
  <c r="F46" i="113"/>
  <c r="F32" i="113"/>
  <c r="F31" i="113"/>
  <c r="F15" i="113"/>
  <c r="F9" i="113"/>
  <c r="F45" i="113"/>
  <c r="F44" i="113"/>
  <c r="F43" i="113"/>
  <c r="F40" i="113"/>
  <c r="F38" i="113"/>
  <c r="F36" i="113"/>
  <c r="F30" i="113"/>
  <c r="H44" i="113" l="1"/>
  <c r="H40" i="113"/>
  <c r="H43" i="113"/>
  <c r="H46" i="113"/>
  <c r="H38" i="113"/>
  <c r="H45" i="113"/>
  <c r="H30" i="113"/>
  <c r="H36" i="113"/>
  <c r="H15" i="113"/>
  <c r="H31" i="113"/>
  <c r="H32" i="113"/>
  <c r="H9" i="113"/>
  <c r="F34" i="113"/>
  <c r="F33" i="113"/>
  <c r="F37" i="113"/>
  <c r="F39" i="113"/>
  <c r="F41" i="113"/>
  <c r="F35" i="113"/>
  <c r="F49" i="113"/>
  <c r="H49" i="113" s="1"/>
  <c r="F42" i="113"/>
  <c r="F10" i="110" l="1"/>
  <c r="H37" i="113"/>
  <c r="H41" i="113"/>
  <c r="H42" i="113"/>
  <c r="H39" i="113"/>
  <c r="H35" i="113"/>
  <c r="H34" i="113"/>
  <c r="F63" i="113"/>
  <c r="R57" i="116" s="1"/>
  <c r="H33" i="113"/>
  <c r="H10" i="110" l="1"/>
  <c r="H63" i="113"/>
  <c r="T63" i="113" s="1"/>
  <c r="R63" i="113"/>
  <c r="H23" i="122" l="1"/>
  <c r="F8" i="122" l="1"/>
  <c r="H8" i="122" l="1"/>
  <c r="F10" i="122"/>
  <c r="H10" i="122" l="1"/>
  <c r="F44" i="122" l="1"/>
  <c r="H44" i="122" s="1"/>
  <c r="F45" i="122"/>
  <c r="H45" i="122" s="1"/>
  <c r="F46" i="122"/>
  <c r="H46" i="122" s="1"/>
  <c r="F47" i="122"/>
  <c r="H47" i="122" s="1"/>
  <c r="F48" i="122"/>
  <c r="H48" i="122" s="1"/>
  <c r="F49" i="122"/>
  <c r="H49" i="122" s="1"/>
  <c r="F29" i="122" l="1"/>
  <c r="F9" i="122"/>
  <c r="H29" i="122" l="1"/>
  <c r="H9" i="122"/>
  <c r="F27" i="122"/>
  <c r="H27" i="122" l="1"/>
  <c r="H49" i="115" l="1"/>
  <c r="H38" i="115"/>
  <c r="Q38" i="115"/>
  <c r="H45" i="115"/>
  <c r="M8" i="122" l="1"/>
  <c r="F50" i="109" l="1"/>
  <c r="F58" i="115"/>
  <c r="F59" i="115"/>
  <c r="H50" i="109" l="1"/>
  <c r="R50" i="109"/>
  <c r="H59" i="115"/>
  <c r="H58" i="115"/>
  <c r="F57" i="115"/>
  <c r="F56" i="115"/>
  <c r="H56" i="115" l="1"/>
  <c r="H57" i="115"/>
  <c r="F55" i="115" l="1"/>
  <c r="H55" i="115" l="1"/>
  <c r="F47" i="115" l="1"/>
  <c r="H47" i="115" l="1"/>
  <c r="F44" i="115" l="1"/>
  <c r="H44" i="115" l="1"/>
  <c r="F37" i="115" l="1"/>
  <c r="F43" i="109" l="1"/>
  <c r="H37" i="115"/>
  <c r="H43" i="109" l="1"/>
  <c r="R43" i="109"/>
  <c r="F29" i="115"/>
  <c r="H29" i="115" l="1"/>
  <c r="F27" i="115"/>
  <c r="H27" i="115" l="1"/>
  <c r="F21" i="115" l="1"/>
  <c r="F36" i="109" l="1"/>
  <c r="H21" i="115"/>
  <c r="H36" i="109" l="1"/>
  <c r="R36" i="109"/>
  <c r="F14" i="115"/>
  <c r="F12" i="115"/>
  <c r="F15" i="115"/>
  <c r="F10" i="115"/>
  <c r="H15" i="115" l="1"/>
  <c r="H14" i="115"/>
  <c r="H10" i="115"/>
  <c r="H12" i="115"/>
  <c r="F13" i="115"/>
  <c r="F16" i="115"/>
  <c r="F17" i="115"/>
  <c r="F18" i="115"/>
  <c r="F19" i="115"/>
  <c r="F20" i="115"/>
  <c r="F23" i="115"/>
  <c r="F24" i="115"/>
  <c r="F25" i="115"/>
  <c r="F26" i="115"/>
  <c r="F28" i="115"/>
  <c r="F30" i="115"/>
  <c r="F31" i="115"/>
  <c r="F32" i="115"/>
  <c r="F33" i="115"/>
  <c r="F34" i="115"/>
  <c r="F35" i="115"/>
  <c r="F36" i="115"/>
  <c r="F39" i="115"/>
  <c r="F40" i="115"/>
  <c r="F41" i="115"/>
  <c r="F42" i="115"/>
  <c r="F43" i="115"/>
  <c r="F46" i="115"/>
  <c r="F48" i="115"/>
  <c r="F50" i="115"/>
  <c r="F51" i="115"/>
  <c r="F52" i="115"/>
  <c r="F53" i="115"/>
  <c r="F54" i="115"/>
  <c r="H20" i="115" l="1"/>
  <c r="H19" i="115"/>
  <c r="H24" i="115"/>
  <c r="H51" i="115"/>
  <c r="Q41" i="115"/>
  <c r="H41" i="115"/>
  <c r="H18" i="115"/>
  <c r="H35" i="115"/>
  <c r="H43" i="115"/>
  <c r="H50" i="115"/>
  <c r="H13" i="115"/>
  <c r="H52" i="115"/>
  <c r="H48" i="115"/>
  <c r="H42" i="115"/>
  <c r="H40" i="115"/>
  <c r="Q40" i="115"/>
  <c r="H36" i="115"/>
  <c r="H33" i="115"/>
  <c r="H32" i="115"/>
  <c r="H30" i="115"/>
  <c r="H28" i="115"/>
  <c r="H17" i="115"/>
  <c r="H39" i="115"/>
  <c r="H34" i="115"/>
  <c r="H31" i="115"/>
  <c r="H26" i="115"/>
  <c r="H23" i="115"/>
  <c r="H46" i="115"/>
  <c r="H16" i="115"/>
  <c r="H54" i="115"/>
  <c r="H53" i="115"/>
  <c r="H25" i="115"/>
  <c r="F11" i="115"/>
  <c r="F9" i="115"/>
  <c r="H11" i="115" l="1"/>
  <c r="H9" i="115"/>
  <c r="F8" i="115" l="1"/>
  <c r="F60" i="115" l="1"/>
  <c r="H60" i="115" s="1"/>
  <c r="H8" i="115"/>
  <c r="F16" i="116" l="1"/>
  <c r="H16" i="116" l="1"/>
  <c r="F15" i="116" l="1"/>
  <c r="H15" i="116" l="1"/>
  <c r="F14" i="116" l="1"/>
  <c r="H14" i="116" l="1"/>
  <c r="F17" i="116" l="1"/>
  <c r="F18" i="116"/>
  <c r="F19" i="116"/>
  <c r="H19" i="116" l="1"/>
  <c r="H18" i="116"/>
  <c r="H17" i="116"/>
  <c r="F20" i="116" l="1"/>
  <c r="F21" i="116"/>
  <c r="H21" i="116" l="1"/>
  <c r="H20" i="116"/>
  <c r="F27" i="116" l="1"/>
  <c r="H27" i="116" l="1"/>
  <c r="F28" i="116"/>
  <c r="H28" i="116" l="1"/>
  <c r="F22" i="116" l="1"/>
  <c r="F23" i="116"/>
  <c r="H23" i="116" l="1"/>
  <c r="H22" i="116"/>
  <c r="F38" i="116" l="1"/>
  <c r="H38" i="116" l="1"/>
  <c r="H34" i="116"/>
  <c r="F39" i="116"/>
  <c r="H33" i="116"/>
  <c r="H39" i="116" l="1"/>
  <c r="F35" i="116" l="1"/>
  <c r="H35" i="116" l="1"/>
  <c r="F44" i="116" l="1"/>
  <c r="F17" i="109" l="1"/>
  <c r="F19" i="109"/>
  <c r="H44" i="116"/>
  <c r="R17" i="109" l="1"/>
  <c r="H17" i="109"/>
  <c r="R19" i="109"/>
  <c r="H19" i="109"/>
  <c r="F16" i="109"/>
  <c r="R16" i="109" l="1"/>
  <c r="H16" i="109"/>
  <c r="F18" i="109" l="1"/>
  <c r="R18" i="109" l="1"/>
  <c r="H18" i="109"/>
  <c r="F8" i="117"/>
  <c r="H8" i="117" l="1"/>
  <c r="F14" i="109" l="1"/>
  <c r="F15" i="109"/>
  <c r="H14" i="109" l="1"/>
  <c r="R14" i="109"/>
  <c r="H15" i="109"/>
  <c r="R15" i="109"/>
  <c r="F13" i="109" l="1"/>
  <c r="F12" i="109"/>
  <c r="F8" i="110"/>
  <c r="R13" i="109" l="1"/>
  <c r="H13" i="109"/>
  <c r="H12" i="109"/>
  <c r="R12" i="109"/>
  <c r="H8" i="110"/>
  <c r="F10" i="117"/>
  <c r="H10" i="117" l="1"/>
  <c r="F9" i="109" l="1"/>
  <c r="F15" i="117"/>
  <c r="H9" i="109" l="1"/>
  <c r="R9" i="109"/>
  <c r="H15" i="117"/>
  <c r="F21" i="117" l="1"/>
  <c r="H21" i="117" l="1"/>
  <c r="F20" i="117"/>
  <c r="F9" i="110" l="1"/>
  <c r="F11" i="110"/>
  <c r="F12" i="110"/>
  <c r="F13" i="110"/>
  <c r="F14" i="110"/>
  <c r="F15" i="110"/>
  <c r="F16" i="110"/>
  <c r="F31" i="110"/>
  <c r="F32" i="110"/>
  <c r="F33" i="110"/>
  <c r="F34" i="110"/>
  <c r="F35" i="110"/>
  <c r="F36" i="110"/>
  <c r="F37" i="110"/>
  <c r="F38" i="110"/>
  <c r="F39" i="110"/>
  <c r="F40" i="110"/>
  <c r="F41" i="110"/>
  <c r="F42" i="110"/>
  <c r="F43" i="110"/>
  <c r="F44" i="110"/>
  <c r="F45" i="110"/>
  <c r="F46" i="110"/>
  <c r="F47" i="110"/>
  <c r="F48" i="110"/>
  <c r="H48" i="110" s="1"/>
  <c r="F49" i="110"/>
  <c r="H49" i="110" s="1"/>
  <c r="F50" i="110"/>
  <c r="H50" i="110" s="1"/>
  <c r="F51" i="110"/>
  <c r="H51" i="110" s="1"/>
  <c r="F52" i="110"/>
  <c r="H52" i="110" s="1"/>
  <c r="F53" i="110"/>
  <c r="H53" i="110" s="1"/>
  <c r="F54" i="110"/>
  <c r="H54" i="110" s="1"/>
  <c r="F55" i="110"/>
  <c r="H55" i="110" s="1"/>
  <c r="F56" i="110"/>
  <c r="H56" i="110" s="1"/>
  <c r="F10" i="109"/>
  <c r="F11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37" i="109"/>
  <c r="F38" i="109"/>
  <c r="F39" i="109"/>
  <c r="F40" i="109"/>
  <c r="F41" i="109"/>
  <c r="F42" i="109"/>
  <c r="F44" i="109"/>
  <c r="F45" i="109"/>
  <c r="F47" i="109"/>
  <c r="F48" i="109"/>
  <c r="F49" i="109"/>
  <c r="F51" i="109"/>
  <c r="F52" i="109"/>
  <c r="F53" i="109"/>
  <c r="F54" i="109"/>
  <c r="F8" i="109"/>
  <c r="H20" i="117"/>
  <c r="H38" i="110" l="1"/>
  <c r="H35" i="110"/>
  <c r="H34" i="110"/>
  <c r="H14" i="110"/>
  <c r="H36" i="110"/>
  <c r="H47" i="110"/>
  <c r="H13" i="110"/>
  <c r="H43" i="110"/>
  <c r="H42" i="110"/>
  <c r="H39" i="110"/>
  <c r="H37" i="110"/>
  <c r="H32" i="110"/>
  <c r="H46" i="110"/>
  <c r="H12" i="110"/>
  <c r="H41" i="110"/>
  <c r="H16" i="110"/>
  <c r="H45" i="110"/>
  <c r="H11" i="110"/>
  <c r="H40" i="110"/>
  <c r="H33" i="110"/>
  <c r="H15" i="110"/>
  <c r="H44" i="110"/>
  <c r="F63" i="110"/>
  <c r="H63" i="110" s="1"/>
  <c r="H9" i="110"/>
  <c r="Q9" i="110"/>
  <c r="H31" i="110"/>
  <c r="Q31" i="110"/>
  <c r="R10" i="109"/>
  <c r="H10" i="109"/>
  <c r="H11" i="109"/>
  <c r="R11" i="109"/>
  <c r="H20" i="109"/>
  <c r="R20" i="109"/>
  <c r="H21" i="109"/>
  <c r="R21" i="109"/>
  <c r="H22" i="109"/>
  <c r="R22" i="109"/>
  <c r="H23" i="109"/>
  <c r="R23" i="109"/>
  <c r="R24" i="109"/>
  <c r="H24" i="109"/>
  <c r="H25" i="109"/>
  <c r="R25" i="109"/>
  <c r="R26" i="109"/>
  <c r="H26" i="109"/>
  <c r="R27" i="109"/>
  <c r="H27" i="109"/>
  <c r="R28" i="109"/>
  <c r="H28" i="109"/>
  <c r="R29" i="109"/>
  <c r="H29" i="109"/>
  <c r="H30" i="109"/>
  <c r="R30" i="109"/>
  <c r="R31" i="109"/>
  <c r="H31" i="109"/>
  <c r="H32" i="109"/>
  <c r="R32" i="109"/>
  <c r="H33" i="109"/>
  <c r="R33" i="109"/>
  <c r="R34" i="109"/>
  <c r="H34" i="109"/>
  <c r="H37" i="109"/>
  <c r="R37" i="109"/>
  <c r="R38" i="109"/>
  <c r="H38" i="109"/>
  <c r="H39" i="109"/>
  <c r="R39" i="109"/>
  <c r="H40" i="109"/>
  <c r="R40" i="109"/>
  <c r="H41" i="109"/>
  <c r="R41" i="109"/>
  <c r="R42" i="109"/>
  <c r="H42" i="109"/>
  <c r="H44" i="109"/>
  <c r="R44" i="109"/>
  <c r="H45" i="109"/>
  <c r="R45" i="109"/>
  <c r="R47" i="109"/>
  <c r="H47" i="109"/>
  <c r="H48" i="109"/>
  <c r="R48" i="109"/>
  <c r="R49" i="109"/>
  <c r="H49" i="109"/>
  <c r="H51" i="109"/>
  <c r="R51" i="109"/>
  <c r="H52" i="109"/>
  <c r="R52" i="109"/>
  <c r="H53" i="109"/>
  <c r="R53" i="109"/>
  <c r="H54" i="109"/>
  <c r="R54" i="109"/>
  <c r="R8" i="109"/>
  <c r="H8" i="109"/>
  <c r="F65" i="109"/>
  <c r="F51" i="120"/>
  <c r="R65" i="109" l="1"/>
  <c r="H65" i="109"/>
  <c r="F25" i="117"/>
  <c r="F48" i="120" l="1"/>
  <c r="H48" i="120" s="1"/>
  <c r="F45" i="120"/>
  <c r="H45" i="120" s="1"/>
  <c r="H25" i="117"/>
  <c r="F47" i="120" l="1"/>
  <c r="H47" i="120" s="1"/>
  <c r="F46" i="120" l="1"/>
  <c r="H46" i="120" s="1"/>
  <c r="F44" i="120" l="1"/>
  <c r="H44" i="120" s="1"/>
  <c r="F43" i="120" l="1"/>
  <c r="H43" i="120" s="1"/>
  <c r="F31" i="117"/>
  <c r="F32" i="117"/>
  <c r="H33" i="117"/>
  <c r="H32" i="117" l="1"/>
  <c r="H31" i="117"/>
  <c r="F42" i="120" l="1"/>
  <c r="H42" i="120" s="1"/>
  <c r="F41" i="120" l="1"/>
  <c r="H41" i="120" s="1"/>
  <c r="F50" i="120" l="1"/>
  <c r="H50" i="120" s="1"/>
  <c r="F49" i="120"/>
  <c r="H49" i="120" s="1"/>
  <c r="F40" i="120"/>
  <c r="H40" i="120" s="1"/>
  <c r="F39" i="120"/>
  <c r="H39" i="120" s="1"/>
  <c r="F38" i="120"/>
  <c r="H38" i="120" s="1"/>
  <c r="F37" i="120"/>
  <c r="H37" i="120" s="1"/>
  <c r="F9" i="120"/>
  <c r="F9" i="119"/>
  <c r="H9" i="119" s="1"/>
  <c r="F8" i="119"/>
  <c r="F23" i="117"/>
  <c r="F22" i="117"/>
  <c r="F17" i="117"/>
  <c r="F16" i="117"/>
  <c r="F18" i="117"/>
  <c r="F13" i="117"/>
  <c r="F12" i="117"/>
  <c r="F11" i="117"/>
  <c r="F43" i="116"/>
  <c r="F40" i="116"/>
  <c r="F37" i="116"/>
  <c r="F25" i="116"/>
  <c r="F11" i="116"/>
  <c r="F42" i="116"/>
  <c r="F36" i="116"/>
  <c r="F31" i="116"/>
  <c r="F30" i="116"/>
  <c r="H30" i="116" s="1"/>
  <c r="F29" i="116"/>
  <c r="F24" i="116"/>
  <c r="F43" i="122"/>
  <c r="H43" i="122" s="1"/>
  <c r="F41" i="122"/>
  <c r="H41" i="122" s="1"/>
  <c r="F24" i="122"/>
  <c r="F18" i="122"/>
  <c r="F17" i="122"/>
  <c r="F15" i="122"/>
  <c r="F13" i="122"/>
  <c r="F11" i="122"/>
  <c r="F37" i="122"/>
  <c r="H37" i="122" s="1"/>
  <c r="F34" i="122"/>
  <c r="H34" i="122" s="1"/>
  <c r="F32" i="122"/>
  <c r="H32" i="122" s="1"/>
  <c r="F28" i="122"/>
  <c r="F14" i="122"/>
  <c r="F41" i="121"/>
  <c r="F40" i="121"/>
  <c r="F38" i="121"/>
  <c r="F37" i="121"/>
  <c r="F36" i="121"/>
  <c r="F32" i="121"/>
  <c r="F29" i="121"/>
  <c r="F27" i="121"/>
  <c r="F23" i="121"/>
  <c r="F21" i="121"/>
  <c r="F9" i="121"/>
  <c r="F47" i="121"/>
  <c r="F46" i="121"/>
  <c r="F42" i="121"/>
  <c r="F39" i="121"/>
  <c r="F34" i="121"/>
  <c r="F30" i="121"/>
  <c r="F26" i="121"/>
  <c r="F24" i="121"/>
  <c r="F20" i="121"/>
  <c r="F16" i="121"/>
  <c r="F12" i="121"/>
  <c r="F58" i="111"/>
  <c r="F57" i="111"/>
  <c r="F56" i="111"/>
  <c r="F55" i="111"/>
  <c r="F53" i="111"/>
  <c r="F52" i="111"/>
  <c r="F51" i="111"/>
  <c r="F50" i="111"/>
  <c r="F41" i="111"/>
  <c r="F34" i="111"/>
  <c r="F33" i="111"/>
  <c r="F27" i="111"/>
  <c r="F26" i="111"/>
  <c r="F25" i="111"/>
  <c r="F24" i="111"/>
  <c r="F20" i="111"/>
  <c r="F11" i="111"/>
  <c r="F8" i="111"/>
  <c r="F46" i="111"/>
  <c r="F39" i="111"/>
  <c r="F36" i="111"/>
  <c r="F32" i="111"/>
  <c r="F31" i="111"/>
  <c r="F28" i="111"/>
  <c r="M59" i="110"/>
  <c r="H37" i="116" l="1"/>
  <c r="H34" i="111"/>
  <c r="H11" i="111"/>
  <c r="H47" i="121"/>
  <c r="H51" i="111"/>
  <c r="H24" i="121"/>
  <c r="H20" i="111"/>
  <c r="H34" i="121"/>
  <c r="H13" i="122"/>
  <c r="H33" i="111"/>
  <c r="H21" i="121"/>
  <c r="H23" i="121"/>
  <c r="H27" i="121"/>
  <c r="H32" i="111"/>
  <c r="H46" i="121"/>
  <c r="H17" i="122"/>
  <c r="H18" i="122"/>
  <c r="H24" i="122"/>
  <c r="H23" i="117"/>
  <c r="H36" i="116"/>
  <c r="H28" i="122"/>
  <c r="H24" i="111"/>
  <c r="H11" i="117"/>
  <c r="H39" i="121"/>
  <c r="H42" i="121"/>
  <c r="H15" i="122"/>
  <c r="H17" i="117"/>
  <c r="H52" i="111"/>
  <c r="H29" i="121"/>
  <c r="H55" i="111"/>
  <c r="H29" i="116"/>
  <c r="H37" i="121"/>
  <c r="H12" i="121"/>
  <c r="H40" i="121"/>
  <c r="H42" i="116"/>
  <c r="H40" i="116"/>
  <c r="H30" i="121"/>
  <c r="H43" i="116"/>
  <c r="H12" i="117"/>
  <c r="H18" i="117"/>
  <c r="H57" i="111"/>
  <c r="H36" i="111"/>
  <c r="H38" i="121"/>
  <c r="H46" i="111"/>
  <c r="H16" i="121"/>
  <c r="H41" i="121"/>
  <c r="H11" i="116"/>
  <c r="H26" i="121"/>
  <c r="H25" i="111"/>
  <c r="H26" i="111"/>
  <c r="H27" i="111"/>
  <c r="H13" i="117"/>
  <c r="H16" i="117"/>
  <c r="H41" i="111"/>
  <c r="H50" i="111"/>
  <c r="H22" i="117"/>
  <c r="H53" i="111"/>
  <c r="H24" i="116"/>
  <c r="H28" i="111"/>
  <c r="H31" i="111"/>
  <c r="H56" i="111"/>
  <c r="H36" i="121"/>
  <c r="H31" i="116"/>
  <c r="H58" i="111"/>
  <c r="H39" i="111"/>
  <c r="H20" i="121"/>
  <c r="H14" i="122"/>
  <c r="H25" i="116"/>
  <c r="H9" i="120"/>
  <c r="F60" i="120"/>
  <c r="F62" i="119"/>
  <c r="H8" i="119"/>
  <c r="H11" i="122"/>
  <c r="H9" i="121"/>
  <c r="H8" i="111"/>
  <c r="M41" i="115"/>
  <c r="M50" i="115"/>
  <c r="M54" i="109"/>
  <c r="M52" i="109"/>
  <c r="M51" i="109"/>
  <c r="M49" i="109"/>
  <c r="M50" i="109"/>
  <c r="M53" i="109"/>
  <c r="M48" i="109"/>
  <c r="M44" i="109"/>
  <c r="M47" i="109"/>
  <c r="M45" i="109"/>
  <c r="M43" i="120"/>
  <c r="M40" i="110"/>
  <c r="M42" i="120"/>
  <c r="M30" i="120"/>
  <c r="M50" i="121"/>
  <c r="M34" i="120"/>
  <c r="M51" i="115"/>
  <c r="M26" i="120"/>
  <c r="N48" i="113"/>
  <c r="M18" i="120"/>
  <c r="M52" i="121"/>
  <c r="M17" i="119"/>
  <c r="M31" i="119"/>
  <c r="M40" i="118"/>
  <c r="M42" i="119"/>
  <c r="M14" i="120"/>
  <c r="M19" i="118"/>
  <c r="M12" i="119"/>
  <c r="M41" i="120"/>
  <c r="F12" i="111"/>
  <c r="F31" i="122"/>
  <c r="H31" i="122" s="1"/>
  <c r="F12" i="122"/>
  <c r="F21" i="122"/>
  <c r="M22" i="121"/>
  <c r="F23" i="111"/>
  <c r="F11" i="121"/>
  <c r="F42" i="122"/>
  <c r="H42" i="122" s="1"/>
  <c r="F35" i="121"/>
  <c r="F19" i="117"/>
  <c r="F22" i="122"/>
  <c r="F35" i="122"/>
  <c r="H35" i="122" s="1"/>
  <c r="M15" i="118"/>
  <c r="F25" i="122"/>
  <c r="F39" i="122"/>
  <c r="H39" i="122" s="1"/>
  <c r="F49" i="111"/>
  <c r="M41" i="121"/>
  <c r="M27" i="121"/>
  <c r="M13" i="119"/>
  <c r="M10" i="120"/>
  <c r="F22" i="111"/>
  <c r="N26" i="113"/>
  <c r="F9" i="116"/>
  <c r="M17" i="122"/>
  <c r="F48" i="121"/>
  <c r="F40" i="122"/>
  <c r="H40" i="122" s="1"/>
  <c r="F44" i="111"/>
  <c r="F12" i="116"/>
  <c r="F24" i="117"/>
  <c r="F29" i="111"/>
  <c r="F48" i="111"/>
  <c r="F33" i="121"/>
  <c r="F19" i="122"/>
  <c r="F43" i="111"/>
  <c r="F38" i="111"/>
  <c r="F40" i="111"/>
  <c r="F18" i="121"/>
  <c r="F26" i="122"/>
  <c r="F26" i="116"/>
  <c r="F21" i="111"/>
  <c r="F25" i="121"/>
  <c r="M56" i="115"/>
  <c r="N31" i="113"/>
  <c r="M46" i="122"/>
  <c r="M16" i="119"/>
  <c r="M23" i="109"/>
  <c r="M24" i="116"/>
  <c r="M22" i="120"/>
  <c r="M19" i="121"/>
  <c r="M44" i="122"/>
  <c r="M43" i="118"/>
  <c r="N50" i="113"/>
  <c r="M31" i="109"/>
  <c r="M54" i="118"/>
  <c r="M55" i="111"/>
  <c r="M25" i="119"/>
  <c r="N17" i="113"/>
  <c r="M44" i="119"/>
  <c r="M28" i="118"/>
  <c r="N32" i="113"/>
  <c r="M29" i="121"/>
  <c r="M51" i="121"/>
  <c r="M35" i="119"/>
  <c r="M39" i="120"/>
  <c r="M56" i="111"/>
  <c r="M11" i="119"/>
  <c r="M35" i="120"/>
  <c r="N14" i="113"/>
  <c r="M14" i="122"/>
  <c r="M29" i="119"/>
  <c r="M33" i="120"/>
  <c r="M9" i="119"/>
  <c r="M21" i="120"/>
  <c r="M40" i="120"/>
  <c r="M46" i="119"/>
  <c r="M17" i="120"/>
  <c r="M36" i="120"/>
  <c r="M37" i="119"/>
  <c r="M27" i="119"/>
  <c r="M37" i="120"/>
  <c r="M49" i="120"/>
  <c r="M33" i="119"/>
  <c r="M37" i="118"/>
  <c r="M48" i="120"/>
  <c r="M44" i="120"/>
  <c r="M50" i="120"/>
  <c r="M41" i="110"/>
  <c r="M45" i="120"/>
  <c r="M51" i="120"/>
  <c r="M46" i="120"/>
  <c r="M47" i="120"/>
  <c r="F43" i="121"/>
  <c r="F30" i="111"/>
  <c r="F28" i="121"/>
  <c r="F19" i="121"/>
  <c r="F47" i="111"/>
  <c r="F35" i="111"/>
  <c r="F17" i="121"/>
  <c r="F22" i="121"/>
  <c r="F10" i="111"/>
  <c r="N27" i="113"/>
  <c r="F45" i="111"/>
  <c r="F31" i="121"/>
  <c r="F14" i="121"/>
  <c r="F15" i="121"/>
  <c r="F45" i="121"/>
  <c r="F10" i="121"/>
  <c r="F16" i="122"/>
  <c r="N30" i="113"/>
  <c r="F36" i="122"/>
  <c r="H36" i="122" s="1"/>
  <c r="F33" i="122"/>
  <c r="H33" i="122" s="1"/>
  <c r="F38" i="122"/>
  <c r="H38" i="122" s="1"/>
  <c r="F44" i="121"/>
  <c r="F20" i="122"/>
  <c r="F30" i="122"/>
  <c r="F10" i="116"/>
  <c r="F8" i="116"/>
  <c r="F41" i="116"/>
  <c r="F14" i="117"/>
  <c r="F13" i="116"/>
  <c r="F9" i="117"/>
  <c r="H12" i="116" l="1"/>
  <c r="H17" i="121"/>
  <c r="H19" i="121"/>
  <c r="H38" i="111"/>
  <c r="H43" i="111"/>
  <c r="H48" i="111"/>
  <c r="H29" i="111"/>
  <c r="H35" i="111"/>
  <c r="H40" i="111"/>
  <c r="H20" i="122"/>
  <c r="H44" i="121"/>
  <c r="H45" i="121"/>
  <c r="H21" i="122"/>
  <c r="H10" i="116"/>
  <c r="H49" i="111"/>
  <c r="H28" i="121"/>
  <c r="H25" i="122"/>
  <c r="H30" i="111"/>
  <c r="H11" i="121"/>
  <c r="H48" i="121"/>
  <c r="H31" i="121"/>
  <c r="H9" i="116"/>
  <c r="H19" i="117"/>
  <c r="H24" i="117"/>
  <c r="H35" i="121"/>
  <c r="H44" i="111"/>
  <c r="H45" i="111"/>
  <c r="H41" i="116"/>
  <c r="H18" i="121"/>
  <c r="H47" i="111"/>
  <c r="H30" i="122"/>
  <c r="H22" i="122"/>
  <c r="H26" i="122"/>
  <c r="H23" i="111"/>
  <c r="H15" i="121"/>
  <c r="H14" i="121"/>
  <c r="H25" i="121"/>
  <c r="H22" i="111"/>
  <c r="H12" i="111"/>
  <c r="H13" i="116"/>
  <c r="H21" i="111"/>
  <c r="H19" i="122"/>
  <c r="H43" i="121"/>
  <c r="H32" i="121"/>
  <c r="H16" i="122"/>
  <c r="H14" i="117"/>
  <c r="H22" i="121"/>
  <c r="H26" i="116"/>
  <c r="Q60" i="120"/>
  <c r="H60" i="120"/>
  <c r="Q62" i="119"/>
  <c r="H62" i="119"/>
  <c r="F57" i="122"/>
  <c r="H12" i="122"/>
  <c r="F62" i="111"/>
  <c r="H10" i="111"/>
  <c r="F54" i="121"/>
  <c r="H54" i="121" s="1"/>
  <c r="H10" i="121"/>
  <c r="F57" i="116"/>
  <c r="H8" i="116"/>
  <c r="H9" i="117"/>
  <c r="M36" i="116"/>
  <c r="M32" i="116"/>
  <c r="M59" i="115"/>
  <c r="M55" i="115"/>
  <c r="M38" i="115"/>
  <c r="M9" i="122"/>
  <c r="M10" i="122"/>
  <c r="M21" i="122"/>
  <c r="M20" i="111"/>
  <c r="M43" i="109"/>
  <c r="M9" i="109"/>
  <c r="N21" i="113"/>
  <c r="M19" i="109"/>
  <c r="M9" i="118"/>
  <c r="M38" i="120"/>
  <c r="N23" i="113"/>
  <c r="M8" i="119"/>
  <c r="M32" i="120"/>
  <c r="M25" i="120"/>
  <c r="M43" i="110"/>
  <c r="M45" i="121"/>
  <c r="M18" i="118"/>
  <c r="M33" i="111"/>
  <c r="M28" i="120"/>
  <c r="M53" i="110"/>
  <c r="M29" i="120"/>
  <c r="M31" i="120"/>
  <c r="M27" i="120"/>
  <c r="M8" i="117"/>
  <c r="M38" i="121"/>
  <c r="M19" i="120"/>
  <c r="M22" i="118"/>
  <c r="N29" i="113"/>
  <c r="M20" i="120"/>
  <c r="M17" i="109"/>
  <c r="M26" i="118"/>
  <c r="M10" i="111"/>
  <c r="M20" i="121"/>
  <c r="M48" i="110"/>
  <c r="M21" i="119"/>
  <c r="M26" i="111"/>
  <c r="M49" i="121"/>
  <c r="N22" i="113"/>
  <c r="M36" i="115"/>
  <c r="M20" i="118"/>
  <c r="M34" i="122"/>
  <c r="M21" i="117"/>
  <c r="M47" i="117"/>
  <c r="M13" i="118"/>
  <c r="M46" i="115"/>
  <c r="M19" i="110"/>
  <c r="N49" i="113"/>
  <c r="M42" i="115"/>
  <c r="M11" i="111"/>
  <c r="M43" i="121"/>
  <c r="M44" i="115"/>
  <c r="M48" i="122"/>
  <c r="M30" i="117"/>
  <c r="M41" i="109"/>
  <c r="M46" i="117"/>
  <c r="M11" i="109"/>
  <c r="M33" i="115"/>
  <c r="M24" i="121"/>
  <c r="M35" i="122"/>
  <c r="M16" i="117"/>
  <c r="M26" i="122"/>
  <c r="M35" i="116"/>
  <c r="M35" i="115"/>
  <c r="M9" i="115"/>
  <c r="M44" i="111"/>
  <c r="M27" i="117"/>
  <c r="M47" i="122"/>
  <c r="M48" i="115"/>
  <c r="M26" i="116"/>
  <c r="N18" i="113"/>
  <c r="M16" i="110"/>
  <c r="M43" i="122"/>
  <c r="M13" i="121"/>
  <c r="M42" i="118"/>
  <c r="M48" i="111"/>
  <c r="M26" i="121"/>
  <c r="M44" i="118"/>
  <c r="M34" i="117"/>
  <c r="N16" i="113"/>
  <c r="M25" i="122"/>
  <c r="M14" i="117"/>
  <c r="M13" i="122"/>
  <c r="N36" i="113"/>
  <c r="M23" i="121"/>
  <c r="M28" i="115"/>
  <c r="M10" i="109"/>
  <c r="M14" i="115"/>
  <c r="N33" i="113"/>
  <c r="M39" i="122"/>
  <c r="M37" i="122"/>
  <c r="M55" i="110"/>
  <c r="M50" i="111"/>
  <c r="M34" i="110"/>
  <c r="M13" i="111"/>
  <c r="M47" i="115"/>
  <c r="M34" i="118"/>
  <c r="M22" i="116"/>
  <c r="M16" i="111"/>
  <c r="M22" i="109"/>
  <c r="M29" i="116"/>
  <c r="N38" i="113"/>
  <c r="M36" i="110"/>
  <c r="M22" i="111"/>
  <c r="M44" i="110"/>
  <c r="M35" i="109"/>
  <c r="M20" i="110"/>
  <c r="M34" i="116"/>
  <c r="M26" i="109"/>
  <c r="M30" i="111"/>
  <c r="M26" i="117"/>
  <c r="M15" i="109"/>
  <c r="M42" i="122"/>
  <c r="M37" i="110"/>
  <c r="M27" i="122"/>
  <c r="M20" i="116"/>
  <c r="M28" i="117"/>
  <c r="M14" i="110"/>
  <c r="M17" i="116"/>
  <c r="M42" i="109"/>
  <c r="N42" i="113"/>
  <c r="N19" i="113"/>
  <c r="M32" i="118"/>
  <c r="M17" i="111"/>
  <c r="M24" i="119"/>
  <c r="M21" i="118"/>
  <c r="M28" i="109"/>
  <c r="M11" i="116"/>
  <c r="M22" i="115"/>
  <c r="M18" i="109"/>
  <c r="M55" i="118"/>
  <c r="M20" i="119"/>
  <c r="M30" i="122"/>
  <c r="N41" i="113"/>
  <c r="M40" i="115"/>
  <c r="M47" i="110"/>
  <c r="M34" i="109"/>
  <c r="M36" i="109"/>
  <c r="M52" i="110"/>
  <c r="M41" i="111"/>
  <c r="M52" i="118"/>
  <c r="M21" i="121"/>
  <c r="M17" i="115"/>
  <c r="M26" i="110"/>
  <c r="M58" i="111"/>
  <c r="M38" i="110"/>
  <c r="M45" i="111"/>
  <c r="M43" i="119"/>
  <c r="M19" i="115"/>
  <c r="M31" i="111"/>
  <c r="M49" i="110"/>
  <c r="M29" i="110"/>
  <c r="M28" i="119"/>
  <c r="M12" i="118"/>
  <c r="M31" i="118"/>
  <c r="M31" i="117"/>
  <c r="M59" i="118"/>
  <c r="M47" i="121"/>
  <c r="M49" i="119"/>
  <c r="M39" i="117"/>
  <c r="M39" i="110"/>
  <c r="M40" i="116"/>
  <c r="M39" i="115"/>
  <c r="M41" i="122"/>
  <c r="M39" i="121"/>
  <c r="M45" i="110"/>
  <c r="M47" i="111"/>
  <c r="M26" i="119"/>
  <c r="M32" i="122"/>
  <c r="M51" i="118"/>
  <c r="M32" i="121"/>
  <c r="M36" i="121"/>
  <c r="M16" i="121"/>
  <c r="N34" i="113"/>
  <c r="M43" i="116"/>
  <c r="M49" i="122"/>
  <c r="M52" i="119"/>
  <c r="M23" i="116"/>
  <c r="M45" i="117"/>
  <c r="M31" i="122"/>
  <c r="M58" i="118"/>
  <c r="M27" i="111"/>
  <c r="M40" i="111"/>
  <c r="M46" i="118"/>
  <c r="M24" i="109"/>
  <c r="M39" i="109"/>
  <c r="M41" i="116"/>
  <c r="M38" i="117"/>
  <c r="M33" i="118"/>
  <c r="M35" i="110"/>
  <c r="M53" i="118"/>
  <c r="M54" i="111"/>
  <c r="M53" i="111"/>
  <c r="M50" i="118"/>
  <c r="M38" i="116"/>
  <c r="M48" i="118"/>
  <c r="M12" i="120"/>
  <c r="M16" i="120"/>
  <c r="M30" i="119"/>
  <c r="M57" i="115"/>
  <c r="M29" i="118"/>
  <c r="M32" i="119"/>
  <c r="M35" i="121"/>
  <c r="M24" i="118"/>
  <c r="M9" i="121"/>
  <c r="M49" i="118"/>
  <c r="M51" i="119"/>
  <c r="M33" i="121"/>
  <c r="M15" i="117"/>
  <c r="M22" i="122"/>
  <c r="M38" i="122"/>
  <c r="N43" i="113"/>
  <c r="M57" i="118"/>
  <c r="M24" i="111"/>
  <c r="M23" i="119"/>
  <c r="M21" i="111"/>
  <c r="M10" i="117"/>
  <c r="M14" i="116"/>
  <c r="M34" i="119"/>
  <c r="M18" i="119"/>
  <c r="M16" i="118"/>
  <c r="N39" i="113"/>
  <c r="M13" i="115"/>
  <c r="M42" i="116"/>
  <c r="M36" i="119"/>
  <c r="M17" i="117"/>
  <c r="M15" i="119"/>
  <c r="M36" i="111"/>
  <c r="M35" i="118"/>
  <c r="M45" i="119"/>
  <c r="M21" i="115"/>
  <c r="M25" i="118"/>
  <c r="M50" i="110"/>
  <c r="M39" i="118"/>
  <c r="M18" i="121"/>
  <c r="M11" i="117"/>
  <c r="M39" i="119"/>
  <c r="M32" i="110"/>
  <c r="M19" i="119"/>
  <c r="M43" i="115"/>
  <c r="M17" i="110"/>
  <c r="M11" i="118"/>
  <c r="N10" i="113"/>
  <c r="M27" i="110"/>
  <c r="M37" i="111"/>
  <c r="M8" i="120"/>
  <c r="M20" i="122"/>
  <c r="M33" i="110"/>
  <c r="M13" i="120"/>
  <c r="M37" i="109"/>
  <c r="M38" i="119"/>
  <c r="M12" i="109"/>
  <c r="M23" i="115"/>
  <c r="M33" i="109"/>
  <c r="M14" i="118"/>
  <c r="M27" i="115"/>
  <c r="M20" i="117"/>
  <c r="M36" i="122"/>
  <c r="M11" i="110"/>
  <c r="M30" i="110"/>
  <c r="M31" i="115"/>
  <c r="M23" i="117"/>
  <c r="N47" i="113"/>
  <c r="M23" i="120"/>
  <c r="M43" i="117"/>
  <c r="M9" i="120"/>
  <c r="M25" i="115"/>
  <c r="M15" i="122"/>
  <c r="M41" i="118"/>
  <c r="M22" i="110"/>
  <c r="M41" i="119"/>
  <c r="N40" i="113"/>
  <c r="M39" i="111"/>
  <c r="M46" i="110"/>
  <c r="M30" i="115"/>
  <c r="M28" i="110"/>
  <c r="M10" i="119"/>
  <c r="M9" i="116"/>
  <c r="M24" i="115"/>
  <c r="M29" i="122"/>
  <c r="M15" i="110"/>
  <c r="M36" i="117"/>
  <c r="M57" i="111"/>
  <c r="M54" i="110"/>
  <c r="M15" i="120"/>
  <c r="N15" i="113"/>
  <c r="M14" i="121"/>
  <c r="M45" i="122"/>
  <c r="N12" i="113"/>
  <c r="M21" i="116"/>
  <c r="M18" i="116"/>
  <c r="M15" i="116"/>
  <c r="M60" i="118"/>
  <c r="M24" i="120"/>
  <c r="M47" i="119"/>
  <c r="N46" i="113"/>
  <c r="M48" i="119"/>
  <c r="M11" i="122"/>
  <c r="M37" i="116"/>
  <c r="M16" i="109"/>
  <c r="M17" i="118"/>
  <c r="M27" i="116"/>
  <c r="M10" i="115"/>
  <c r="M12" i="121"/>
  <c r="M14" i="119"/>
  <c r="M10" i="116"/>
  <c r="M40" i="121"/>
  <c r="M56" i="118"/>
  <c r="M22" i="119"/>
  <c r="M14" i="109"/>
  <c r="M11" i="120"/>
  <c r="M19" i="116"/>
  <c r="M12" i="110"/>
  <c r="M48" i="121"/>
  <c r="M11" i="115"/>
  <c r="M32" i="109"/>
  <c r="M51" i="110"/>
  <c r="M45" i="115"/>
  <c r="M12" i="116"/>
  <c r="M18" i="117"/>
  <c r="M42" i="121"/>
  <c r="M30" i="109"/>
  <c r="N24" i="113"/>
  <c r="M26" i="115"/>
  <c r="M53" i="115"/>
  <c r="M25" i="111"/>
  <c r="M54" i="115"/>
  <c r="M36" i="118"/>
  <c r="M24" i="110"/>
  <c r="M28" i="111"/>
  <c r="M34" i="121"/>
  <c r="M13" i="110"/>
  <c r="M39" i="116"/>
  <c r="M17" i="121"/>
  <c r="M15" i="111"/>
  <c r="M58" i="115"/>
  <c r="M27" i="118"/>
  <c r="M16" i="115"/>
  <c r="M38" i="118"/>
  <c r="M37" i="121"/>
  <c r="M12" i="117"/>
  <c r="M53" i="119"/>
  <c r="M40" i="109"/>
  <c r="M10" i="121"/>
  <c r="M18" i="110"/>
  <c r="M19" i="111"/>
  <c r="M32" i="117"/>
  <c r="M42" i="110"/>
  <c r="M12" i="111"/>
  <c r="M13" i="109"/>
  <c r="M21" i="109"/>
  <c r="M52" i="115"/>
  <c r="M48" i="117"/>
  <c r="M29" i="115"/>
  <c r="N35" i="113"/>
  <c r="M27" i="109"/>
  <c r="M12" i="122"/>
  <c r="M23" i="118"/>
  <c r="N28" i="113"/>
  <c r="M52" i="111"/>
  <c r="M28" i="121"/>
  <c r="M40" i="122"/>
  <c r="M51" i="111"/>
  <c r="M28" i="122"/>
  <c r="M31" i="121"/>
  <c r="N25" i="113"/>
  <c r="M31" i="110"/>
  <c r="M29" i="111"/>
  <c r="M24" i="122"/>
  <c r="M22" i="117"/>
  <c r="M29" i="117"/>
  <c r="M33" i="122"/>
  <c r="M23" i="122"/>
  <c r="M23" i="111"/>
  <c r="M30" i="116"/>
  <c r="M30" i="121"/>
  <c r="M21" i="110"/>
  <c r="M25" i="116"/>
  <c r="M37" i="115"/>
  <c r="M38" i="111"/>
  <c r="N9" i="113"/>
  <c r="M20" i="115"/>
  <c r="M34" i="111"/>
  <c r="M25" i="117"/>
  <c r="M37" i="117"/>
  <c r="M56" i="110"/>
  <c r="M47" i="118"/>
  <c r="M45" i="118"/>
  <c r="R57" i="122" l="1"/>
  <c r="H57" i="122"/>
  <c r="R60" i="115"/>
  <c r="H62" i="111"/>
  <c r="H57" i="116"/>
  <c r="Q57" i="116"/>
  <c r="M62" i="119"/>
  <c r="M18" i="122"/>
  <c r="M44" i="116"/>
  <c r="N8" i="113"/>
  <c r="M43" i="111"/>
  <c r="M38" i="109"/>
  <c r="M8" i="111"/>
  <c r="N20" i="113"/>
  <c r="M30" i="118"/>
  <c r="M18" i="115"/>
  <c r="M13" i="116"/>
  <c r="M13" i="117"/>
  <c r="M33" i="116"/>
  <c r="M34" i="115"/>
  <c r="M40" i="117"/>
  <c r="M15" i="115"/>
  <c r="M18" i="111"/>
  <c r="M8" i="118"/>
  <c r="M24" i="117"/>
  <c r="M10" i="118"/>
  <c r="M32" i="111"/>
  <c r="M31" i="116"/>
  <c r="M14" i="111"/>
  <c r="M49" i="111"/>
  <c r="M35" i="111"/>
  <c r="M8" i="109"/>
  <c r="M19" i="122"/>
  <c r="M16" i="116"/>
  <c r="M49" i="115"/>
  <c r="M23" i="110"/>
  <c r="M25" i="110"/>
  <c r="M20" i="109"/>
  <c r="M29" i="109"/>
  <c r="M9" i="111"/>
  <c r="M44" i="121"/>
  <c r="N44" i="113"/>
  <c r="M11" i="121"/>
  <c r="M15" i="121"/>
  <c r="M19" i="117"/>
  <c r="N11" i="113"/>
  <c r="M9" i="110"/>
  <c r="M25" i="109"/>
  <c r="M32" i="115"/>
  <c r="M8" i="116"/>
  <c r="M8" i="110"/>
  <c r="M10" i="110"/>
  <c r="M8" i="115"/>
  <c r="M9" i="117"/>
  <c r="M46" i="121"/>
  <c r="N13" i="113"/>
  <c r="M16" i="122"/>
  <c r="M12" i="115"/>
  <c r="M25" i="121"/>
  <c r="M28" i="116"/>
  <c r="M46" i="111"/>
  <c r="M8" i="121"/>
  <c r="M62" i="111" l="1"/>
  <c r="M64" i="118"/>
  <c r="M65" i="109"/>
  <c r="M57" i="116"/>
  <c r="M63" i="110"/>
  <c r="M60" i="115"/>
  <c r="M57" i="122"/>
  <c r="M54" i="121"/>
  <c r="N37" i="113" l="1"/>
  <c r="N45" i="113" l="1"/>
  <c r="N63" i="113" s="1"/>
  <c r="M41" i="117" l="1"/>
  <c r="M42" i="117" l="1"/>
  <c r="F44" i="117" l="1"/>
  <c r="H44" i="117" l="1"/>
  <c r="F54" i="117"/>
  <c r="R54" i="117" l="1"/>
  <c r="R64" i="118"/>
  <c r="H54" i="117"/>
  <c r="R62" i="119"/>
  <c r="Q54" i="117"/>
  <c r="S60" i="120"/>
  <c r="M44" i="117" l="1"/>
  <c r="M54" i="1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I8" authorId="0" shapeId="0" xr:uid="{BFB43F31-100F-4663-813A-B354459EBC8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old crates</t>
        </r>
      </text>
    </comment>
    <comment ref="G9" authorId="0" shapeId="0" xr:uid="{D66C9E11-842F-4EE0-976E-BCC041FB576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19</t>
        </r>
      </text>
    </comment>
    <comment ref="J9" authorId="0" shapeId="0" xr:uid="{EC511509-2F45-4E33-87A0-4761B246935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14hls for shandy Sorrel</t>
        </r>
      </text>
    </comment>
    <comment ref="O11" authorId="0" shapeId="0" xr:uid="{6A57E7EA-A776-416D-B292-7699069B160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45FBB- Carib</t>
        </r>
      </text>
    </comment>
    <comment ref="J12" authorId="0" shapeId="0" xr:uid="{7AA458C7-5649-4E08-ADFA-E3A75597ABC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45kegs FBB- Jan 7th (breakdown)</t>
        </r>
      </text>
    </comment>
    <comment ref="J16" authorId="0" shapeId="0" xr:uid="{B2FF167D-0A21-409D-9D71-00210B0F89A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1.5hls added to adjust neagative bottling loss</t>
        </r>
      </text>
    </comment>
    <comment ref="I17" authorId="0" shapeId="0" xr:uid="{75BA02ED-A711-4B37-8529-EFFA4228668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O22" authorId="0" shapeId="0" xr:uid="{76C92D9A-C6A4-47A2-BD8D-FD0E9ECB7EF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10FAB</t>
        </r>
      </text>
    </comment>
    <comment ref="G27" authorId="0" shapeId="0" xr:uid="{9C7B17B4-82E7-46D3-B10F-8AD765088F1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5918</t>
        </r>
      </text>
    </comment>
    <comment ref="O27" authorId="0" shapeId="0" xr:uid="{E02FC8B7-6552-4815-8745-11042AB3B5C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35FAB</t>
        </r>
      </text>
    </comment>
    <comment ref="G29" authorId="0" shapeId="0" xr:uid="{F0C8E4E6-D29F-484B-9203-91604AE8D22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3527</t>
        </r>
      </text>
    </comment>
    <comment ref="I30" authorId="0" shapeId="0" xr:uid="{3CD4227D-6BEF-409B-9A1A-D02DF24A018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P31" authorId="0" shapeId="0" xr:uid="{09D12227-5D19-4F68-9E22-6AC1DF30A0E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DP suggested losses since they nly produce what is instructed.</t>
        </r>
      </text>
    </comment>
    <comment ref="J32" authorId="0" shapeId="0" xr:uid="{FD9C73D9-69B7-4A81-8BDB-BF84EFD7BCC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Theoretical case volume expected used as there is not a meter to measure</t>
        </r>
      </text>
    </comment>
    <comment ref="G39" authorId="0" shapeId="0" xr:uid="{8BD26CE9-49EF-4FEC-AD59-BA30ECC430C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636</t>
        </r>
      </text>
    </comment>
    <comment ref="G44" authorId="0" shapeId="0" xr:uid="{4702F082-6A58-48EE-9913-4F432F89185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1783</t>
        </r>
      </text>
    </comment>
    <comment ref="J48" authorId="0" shapeId="0" xr:uid="{C6E9B1A9-B035-41FF-9A20-2534FFE1485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50hls for ginger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J16" authorId="0" shapeId="0" xr:uid="{B2C8F6D7-702C-4E40-9AC6-2FA2157617B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28hls taken for Shandy Ginger </t>
        </r>
      </text>
    </comment>
    <comment ref="I17" authorId="0" shapeId="0" xr:uid="{0CC66007-7F75-49DF-9CC4-FD8EA8A060F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 </t>
        </r>
      </text>
    </comment>
    <comment ref="G18" authorId="0" shapeId="0" xr:uid="{AAAF72B1-7045-4257-849E-33C163BDCBF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 additional cases after reported found on palletizing sheet- previous 954cases</t>
        </r>
      </text>
    </comment>
    <comment ref="J21" authorId="0" shapeId="0" xr:uid="{7B3E7C65-F21B-46E3-9801-BFB1292E3DF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got more than projected case output</t>
        </r>
      </text>
    </comment>
    <comment ref="O24" authorId="0" shapeId="0" xr:uid="{6281E8D9-5965-4299-BC5D-3CA0E3E8610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42kegs FAB</t>
        </r>
      </text>
    </comment>
    <comment ref="I25" authorId="0" shapeId="0" xr:uid="{1C8D9BE8-E191-4C99-8BB7-291BB5EA253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25cases missing labels </t>
        </r>
      </text>
    </comment>
    <comment ref="O25" authorId="0" shapeId="0" xr:uid="{06162C7B-92E5-4B1D-85CE-D615DDF9CCD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33FAB</t>
        </r>
      </text>
    </comment>
    <comment ref="O29" authorId="0" shapeId="0" xr:uid="{3B24D861-F308-4902-B08C-890D5EF7707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25FAB</t>
        </r>
      </text>
    </comment>
    <comment ref="O32" authorId="0" shapeId="0" xr:uid="{B9FFE467-980F-4E2F-8E21-B4A1DB4B655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18FAB </t>
        </r>
      </text>
    </comment>
    <comment ref="J39" authorId="0" shapeId="0" xr:uid="{5CB79FF3-A08D-4850-AE62-B641CC5275D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2hls added to adjust negative loss</t>
        </r>
      </text>
    </comment>
    <comment ref="G40" authorId="0" shapeId="0" xr:uid="{56F99CD7-F759-44B4-9301-853484CB8E6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3868- figure was changed after sent to Ansa</t>
        </r>
      </text>
    </comment>
    <comment ref="I40" authorId="0" shapeId="0" xr:uid="{B0CB5BB3-CB4E-422E-B34B-881D07998A5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140cases possible high PU</t>
        </r>
      </text>
    </comment>
    <comment ref="I44" authorId="0" shapeId="0" xr:uid="{D9777BA4-51D2-47FE-8027-2EFD51FA5DE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O10" authorId="0" shapeId="0" xr:uid="{31309B22-E05B-4379-A286-340B08832D4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21FAB</t>
        </r>
      </text>
    </comment>
    <comment ref="I12" authorId="0" shapeId="0" xr:uid="{DDB2F59A-DFBD-4FE8-9DF6-2BF39292B52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140cases missing code</t>
        </r>
      </text>
    </comment>
    <comment ref="O12" authorId="0" shapeId="0" xr:uid="{B5EA79EE-8998-40DF-8E09-670499A099D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27FAB</t>
        </r>
      </text>
    </comment>
    <comment ref="J14" authorId="0" shapeId="0" xr:uid="{71844CD4-F2BC-414B-A49A-208EC275535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50hls left back in BBT2 for Ginger</t>
        </r>
      </text>
    </comment>
    <comment ref="G17" authorId="0" shapeId="0" xr:uid="{89A3B09B-89BE-4BA0-BA11-D5D7FE83225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2790</t>
        </r>
      </text>
    </comment>
    <comment ref="O24" authorId="0" shapeId="0" xr:uid="{25E2ED2E-4445-4F1C-95D7-E361B23C863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19FAB</t>
        </r>
      </text>
    </comment>
    <comment ref="G25" authorId="0" shapeId="0" xr:uid="{B1BE9062-7AE8-4372-AA9C-5D0EC3C3378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5256</t>
        </r>
      </text>
    </comment>
    <comment ref="J31" authorId="0" shapeId="0" xr:uid="{A072DB45-CD0D-4EFC-AA54-7EF11305242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3hls added to adjust negative loss</t>
        </r>
      </text>
    </comment>
    <comment ref="O32" authorId="0" shapeId="0" xr:uid="{85C521BF-9F4C-40D4-B772-85994951DBC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61 +39 Carib FBB 
16th</t>
        </r>
      </text>
    </comment>
    <comment ref="I37" authorId="0" shapeId="0" xr:uid="{9A1F8784-C3C7-46AA-B72E-E70FA2F5ABC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5pallets, 48cases in damaged crates</t>
        </r>
      </text>
    </comment>
    <comment ref="O38" authorId="0" shapeId="0" xr:uid="{7CB8052C-8113-44E5-BA37-1D6818622C4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20FBB</t>
        </r>
      </text>
    </comment>
    <comment ref="J39" authorId="0" shapeId="0" xr:uid="{81F60D85-6680-4DE8-8A83-74E34E19F65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14hls taken for Shandy Ginger</t>
        </r>
      </text>
    </comment>
    <comment ref="O39" authorId="0" shapeId="0" xr:uid="{5BCFEAE3-3E63-4549-9B26-5B063C2976F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79FAB</t>
        </r>
      </text>
    </comment>
    <comment ref="G41" authorId="0" shapeId="0" xr:uid="{5491572B-F813-4804-B271-10804A9321C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226</t>
        </r>
      </text>
    </comment>
    <comment ref="P45" authorId="0" shapeId="0" xr:uid="{8E3E2DF1-313B-41EF-A251-EB7C5E2EE82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DP suggested losses since they nly produce what is instructed.</t>
        </r>
      </text>
    </comment>
    <comment ref="G49" authorId="0" shapeId="0" xr:uid="{4A25181C-3872-4B95-AFEC-7197E512403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1452</t>
        </r>
      </text>
    </comment>
    <comment ref="J49" authorId="0" shapeId="0" xr:uid="{0523D3F6-7F33-4BEC-A908-BAA9C1E5E2D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Yeilded more than expected</t>
        </r>
      </text>
    </comment>
    <comment ref="G50" authorId="0" shapeId="0" xr:uid="{5A233412-F7D8-412C-A4BC-A1447E0D279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1367</t>
        </r>
      </text>
    </comment>
    <comment ref="G51" authorId="0" shapeId="0" xr:uid="{195E1290-4A6F-4CF6-BFC6-04A139179A6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958</t>
        </r>
      </text>
    </comment>
    <comment ref="G53" authorId="0" shapeId="0" xr:uid="{D75B644C-CABA-4539-938C-ACEFFC2C9EC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5965</t>
        </r>
      </text>
    </comment>
    <comment ref="I53" authorId="0" shapeId="0" xr:uid="{B1B471BD-63E9-41D3-9C0E-B1FC3100DF6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10cases flagging labels</t>
        </r>
      </text>
    </comment>
    <comment ref="O53" authorId="0" shapeId="0" xr:uid="{9EFC6DA9-1F4A-490F-B1F3-567E1198840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22FBB on 25th</t>
        </r>
      </text>
    </comment>
    <comment ref="G54" authorId="0" shapeId="0" xr:uid="{4BF0A97F-B3FA-4E92-92D2-76C091AA4EF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6714</t>
        </r>
      </text>
    </comment>
    <comment ref="J58" authorId="0" shapeId="0" xr:uid="{D014A0C7-13C8-4B25-8358-F444D6FD470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50hls for Vitamalt Ginger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8" authorId="0" shapeId="0" xr:uid="{ECC354C8-F7AA-4AB4-BFC6-E00A3FECDB9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2480
</t>
        </r>
      </text>
    </comment>
    <comment ref="J8" authorId="0" shapeId="0" xr:uid="{1E29410F-CD3E-43B8-8B37-4DA45A56ABA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2hls added to adjust negative bottling loss
cases altered after month end submission- adjusted accordinly to have sufficient liquid. </t>
        </r>
      </text>
    </comment>
    <comment ref="O12" authorId="0" shapeId="0" xr:uid="{A7228526-2478-4E54-9EC2-E9E6DFC60B4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75FAB</t>
        </r>
      </text>
    </comment>
    <comment ref="I13" authorId="0" shapeId="0" xr:uid="{A8F6B106-1782-4502-9BEB-B41F862E532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1075 cases in crates to be transferred
3 cases twisted labels</t>
        </r>
      </text>
    </comment>
    <comment ref="O14" authorId="0" shapeId="0" xr:uid="{62B0B05F-797C-4355-A555-B34F51162C4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43FBB</t>
        </r>
      </text>
    </comment>
    <comment ref="J15" authorId="0" shapeId="0" xr:uid="{5D4CEF33-1B69-4058-9EFA-AD23B9BE23D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14hls taken for Shandy Sorrel </t>
        </r>
      </text>
    </comment>
    <comment ref="J18" authorId="0" shapeId="0" xr:uid="{7D25625B-1615-47BF-850F-7A2193DB92C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14hls taken for Shandy Sorrel
</t>
        </r>
      </text>
    </comment>
    <comment ref="J20" authorId="0" shapeId="0" xr:uid="{C6261FC2-34D7-424C-92FB-99A9146A699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14hls taken for Shandy Lime</t>
        </r>
      </text>
    </comment>
    <comment ref="J21" authorId="0" shapeId="0" xr:uid="{D9B679C6-FC32-404C-BB42-EF1E68E95F8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11hls left back in BBT 2  on 10th was added to 84.6hls vol
14hls taken for Shandy Lime</t>
        </r>
      </text>
    </comment>
    <comment ref="G22" authorId="0" shapeId="0" xr:uid="{20718E12-C9D9-4AF3-A587-8DA560A6F85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1708</t>
        </r>
      </text>
    </comment>
    <comment ref="O27" authorId="0" shapeId="0" xr:uid="{2F2639EE-8057-4EBF-B31B-7DC9D2A9762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35FAB</t>
        </r>
      </text>
    </comment>
    <comment ref="I29" authorId="0" shapeId="0" xr:uid="{6A8BC073-ECAC-400F-8501-2812FA970BB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21 missing labels </t>
        </r>
      </text>
    </comment>
    <comment ref="G31" authorId="0" shapeId="0" xr:uid="{8C5BD1DB-4ECF-471F-A6D7-93C9027D853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2580</t>
        </r>
      </text>
    </comment>
    <comment ref="I32" authorId="0" shapeId="0" xr:uid="{C2773D82-488E-4E98-B3C3-3AF1492B4E2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 </t>
        </r>
      </text>
    </comment>
    <comment ref="I35" authorId="0" shapeId="0" xr:uid="{21E1CB4A-A18C-42AA-88A7-9B0E9332CE7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5case, 20pints missing labels</t>
        </r>
      </text>
    </comment>
    <comment ref="G37" authorId="0" shapeId="0" xr:uid="{00FE068C-2641-427F-B3BB-2456FA90E01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2cases added after submission- added to D365 but not on bottle sheet online ( case made up using extra pints from run)</t>
        </r>
      </text>
    </comment>
    <comment ref="I37" authorId="0" shapeId="0" xr:uid="{A3623AC6-0D9C-4925-A1F7-2E998341F5D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368cases damaged crates </t>
        </r>
      </text>
    </comment>
    <comment ref="G38" authorId="0" shapeId="0" xr:uid="{034A1217-6C44-450F-BFB6-E76D68FCEEE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5652</t>
        </r>
      </text>
    </comment>
    <comment ref="J38" authorId="0" shapeId="0" xr:uid="{AECE950B-DDD9-435D-8BD4-B5064DDFF12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8hls added to adjust negative bottling  loss</t>
        </r>
      </text>
    </comment>
    <comment ref="G39" authorId="0" shapeId="0" xr:uid="{1788F942-DE1E-49E9-869E-F61F5744089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2098</t>
        </r>
      </text>
    </comment>
    <comment ref="G40" authorId="0" shapeId="0" xr:uid="{B3A6E2AB-480D-4BE3-B433-837F157C2D3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1561</t>
        </r>
      </text>
    </comment>
    <comment ref="O44" authorId="0" shapeId="0" xr:uid="{A2129F26-23C3-4B83-83BF-92A371D270B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40FAB</t>
        </r>
      </text>
    </comment>
    <comment ref="O46" authorId="0" shapeId="0" xr:uid="{485AAEB2-8A02-4B84-91C4-BC9FCD01790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12FAB</t>
        </r>
      </text>
    </comment>
    <comment ref="I47" authorId="0" shapeId="0" xr:uid="{54ACCAD1-EA2C-4B77-B9A9-1129829A105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I48" authorId="0" shapeId="0" xr:uid="{12706039-5CAF-48CE-BED7-1793C3F9AF0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1697 damaged crates
6 missing labels </t>
        </r>
      </text>
    </comment>
    <comment ref="G54" authorId="0" shapeId="0" xr:uid="{023C8CF3-D021-4512-A8B1-1F68DADBA48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+2cases added May 14th -cases was added to D365 but not in bottling figures file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</author>
    <author>Kaylil Baptiste</author>
  </authors>
  <commentList>
    <comment ref="J5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David:</t>
        </r>
        <r>
          <rPr>
            <sz val="8"/>
            <color indexed="81"/>
            <rFont val="Tahoma"/>
            <family val="2"/>
          </rPr>
          <t xml:space="preserve">
Average cases/Hr 466
.
</t>
        </r>
      </text>
    </comment>
    <comment ref="I9" authorId="1" shapeId="0" xr:uid="{B3B4C570-03CF-41F0-8647-D397741A4AA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damaged crates</t>
        </r>
      </text>
    </comment>
    <comment ref="I12" authorId="1" shapeId="0" xr:uid="{BCAA6543-F2E6-4C93-81F4-801E99BFAC2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P12" authorId="1" shapeId="0" xr:uid="{953AC17B-49A8-49AF-AE3C-BB4EAD95668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47FAB</t>
        </r>
      </text>
    </comment>
    <comment ref="G14" authorId="1" shapeId="0" xr:uid="{584881AE-6D11-4A35-B1D5-713F4B460A1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1775</t>
        </r>
      </text>
    </comment>
    <comment ref="I14" authorId="1" shapeId="0" xr:uid="{31FDDD22-1079-49EF-82F3-5BF0F00E46F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low TA</t>
        </r>
      </text>
    </comment>
    <comment ref="I15" authorId="1" shapeId="0" xr:uid="{6ACFD1BD-6645-442D-B0BA-2A08F922BA4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+ twisted labels</t>
        </r>
      </text>
    </comment>
    <comment ref="P15" authorId="1" shapeId="0" xr:uid="{AB4E5D54-9956-4A93-9A98-AFD8FA1F949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30FAB</t>
        </r>
      </text>
    </comment>
    <comment ref="K23" authorId="1" shapeId="0" xr:uid="{0259DA83-DD12-4DBB-A587-5AB0DC51D63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28hls taken for Shandy Sorrel</t>
        </r>
      </text>
    </comment>
    <comment ref="G26" authorId="1" shapeId="0" xr:uid="{84E4EA1D-3F94-499B-975D-FF02AE1C49D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2581</t>
        </r>
      </text>
    </comment>
    <comment ref="K28" authorId="1" shapeId="0" xr:uid="{1C266BA4-C202-485F-862B-FD62C7A9006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2hls was transferred in BBT 3 ( Ginger) </t>
        </r>
      </text>
    </comment>
    <comment ref="P32" authorId="1" shapeId="0" xr:uid="{0E25CEE4-0199-4DB9-8B91-BCC496A89BB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30FAB</t>
        </r>
      </text>
    </comment>
    <comment ref="G33" authorId="1" shapeId="0" xr:uid="{659C3BF2-440B-4C11-AE0E-93D456B0390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3926</t>
        </r>
      </text>
    </comment>
    <comment ref="I37" authorId="1" shapeId="0" xr:uid="{061F0F79-B3CF-4CCB-A5C0-00C5BAD9D0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
</t>
        </r>
      </text>
    </comment>
    <comment ref="I39" authorId="1" shapeId="0" xr:uid="{78BAA74A-F5D2-4EF3-82A4-320ACAA0D22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in damaged cases</t>
        </r>
      </text>
    </comment>
    <comment ref="G41" authorId="1" shapeId="0" xr:uid="{3564D773-E33E-4E25-8A7D-5D9891A6A8A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2396</t>
        </r>
      </text>
    </comment>
    <comment ref="P45" authorId="1" shapeId="0" xr:uid="{1EB3E79A-4F64-46F1-8223-A54208A1D06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120FAB</t>
        </r>
      </text>
    </comment>
    <comment ref="E47" authorId="1" shapeId="0" xr:uid="{06004E8A-4D39-4EFF-8D0E-B8891BF37B6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beginning of pasteurizer shut down</t>
        </r>
      </text>
    </comment>
    <comment ref="G47" authorId="1" shapeId="0" xr:uid="{66FC464A-6E15-4FC0-B249-E2EA695B901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1488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O8" authorId="0" shapeId="0" xr:uid="{75EDBD9B-3536-4B13-A783-9479A9494D5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60FBB on 15th</t>
        </r>
      </text>
    </comment>
    <comment ref="O12" authorId="0" shapeId="0" xr:uid="{C2D3027E-BCF5-45B8-A66D-388E6381934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70FAB</t>
        </r>
      </text>
    </comment>
    <comment ref="I16" authorId="0" shapeId="0" xr:uid="{6FB87AA4-94B9-43FD-98C6-D68DF122C62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52cases missing code </t>
        </r>
      </text>
    </comment>
    <comment ref="J16" authorId="0" shapeId="0" xr:uid="{73D657E0-4934-47B4-9E0B-E42D2F6225E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2hls added to adjust negative bottling loss</t>
        </r>
      </text>
    </comment>
    <comment ref="O17" authorId="0" shapeId="0" xr:uid="{4F890960-684A-4942-A3AB-AFC275A5ED2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77FAB</t>
        </r>
      </text>
    </comment>
    <comment ref="J20" authorId="0" shapeId="0" xr:uid="{3547C201-11B0-46BA-861F-CB2E6EA163F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24hls of Carib left in BBT4 and filtered on top
BBT5 taken back at 10hls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11" authorId="0" shapeId="0" xr:uid="{2DCCBC11-B316-4F19-8169-DBAD9EB0948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1395</t>
        </r>
      </text>
    </comment>
    <comment ref="I11" authorId="0" shapeId="0" xr:uid="{AE38249F-3BEA-46A1-B372-FD6C2BD1C30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3mins missing labels </t>
        </r>
      </text>
    </comment>
    <comment ref="G13" authorId="0" shapeId="0" xr:uid="{C484C0DE-5B9B-4C78-A401-DCE91D03D6A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3444</t>
        </r>
      </text>
    </comment>
    <comment ref="I14" authorId="0" shapeId="0" xr:uid="{D0AA57ED-D6A8-4DFE-BD6A-C0D0F9A2727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 </t>
        </r>
      </text>
    </comment>
    <comment ref="J17" authorId="0" shapeId="0" xr:uid="{09839B3A-70F3-4C52-BFF6-036346B42A6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28hls taken for Shandy Sorrel </t>
        </r>
      </text>
    </comment>
    <comment ref="G18" authorId="0" shapeId="0" xr:uid="{F8D48393-FA9A-4926-93AC-77F91FD0F9D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3468</t>
        </r>
      </text>
    </comment>
    <comment ref="J18" authorId="0" shapeId="0" xr:uid="{831FE298-90B0-4730-93E4-534F24BC15F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14hls taken for Shandy Lime &amp; 28hls taken for Shandy Ginger</t>
        </r>
      </text>
    </comment>
    <comment ref="G19" authorId="0" shapeId="0" xr:uid="{94CD99F9-B6A7-4F39-8EE1-E2E21B348D7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665</t>
        </r>
      </text>
    </comment>
    <comment ref="G20" authorId="0" shapeId="0" xr:uid="{08737DB0-B880-4685-8118-16258BB9F15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768</t>
        </r>
      </text>
    </comment>
    <comment ref="I27" authorId="0" shapeId="0" xr:uid="{31591D3F-D44B-4605-82C1-756ADC8CD1D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flagging labels </t>
        </r>
      </text>
    </comment>
    <comment ref="J27" authorId="0" shapeId="0" xr:uid="{8BD23464-CFA6-426B-9B4C-26B90F390A1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BBT3 taken back at 25hls and topped up to 77.2hls</t>
        </r>
      </text>
    </comment>
    <comment ref="G28" authorId="0" shapeId="0" xr:uid="{01285B9D-9BD0-4F8D-9989-809A480EFDF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4200</t>
        </r>
      </text>
    </comment>
    <comment ref="J28" authorId="0" shapeId="0" xr:uid="{C622BF0E-7D10-4676-B259-EB7D4BFFC03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4hls added to adjust negative bottling loss</t>
        </r>
      </text>
    </comment>
    <comment ref="G33" authorId="0" shapeId="0" xr:uid="{C979DE87-B9A0-43C4-BB82-13C19D4DB0B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1386</t>
        </r>
      </text>
    </comment>
    <comment ref="I34" authorId="0" shapeId="0" xr:uid="{74D05E10-AC0C-47D0-9085-3E1EE3FC571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31cases missing labels</t>
        </r>
      </text>
    </comment>
    <comment ref="J34" authorId="0" shapeId="0" xr:uid="{CCD166E2-5693-4027-AAAB-0DA61AAF12B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BBT3 taken back from bottling at 7.2hls </t>
        </r>
      </text>
    </comment>
    <comment ref="G35" authorId="0" shapeId="0" xr:uid="{61DD83C7-2A4A-46A5-9158-3E47E2922D9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1175</t>
        </r>
      </text>
    </comment>
    <comment ref="D38" authorId="0" shapeId="0" xr:uid="{D7204433-BA61-4727-A170-FEB20E879C5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Carbo cooler issue- no production</t>
        </r>
      </text>
    </comment>
    <comment ref="J39" authorId="0" shapeId="0" xr:uid="{1794FDD3-F758-45FD-94D9-6F48A628751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BBT4 was taken back @15hls
8hls added to address negative bottling loss - DP</t>
        </r>
      </text>
    </comment>
    <comment ref="D41" authorId="0" shapeId="0" xr:uid="{08C3D0F6-BDA9-434F-99E8-B5C1E6F8658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 btches yeild 4800</t>
        </r>
      </text>
    </comment>
    <comment ref="D43" authorId="0" shapeId="0" xr:uid="{59671913-99E1-4473-97B2-B3A7A90DE40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 btches yeild 4800</t>
        </r>
      </text>
    </comment>
    <comment ref="I46" authorId="0" shapeId="0" xr:uid="{250F5D10-929F-4643-AC34-3E36D7C9ECB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G47" authorId="0" shapeId="0" xr:uid="{95FDB2CF-273F-4769-B17B-8B6138AFBA3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1308
</t>
        </r>
      </text>
    </comment>
    <comment ref="I50" authorId="0" shapeId="0" xr:uid="{19DFD0DE-40FC-4BDF-8227-605069A7E15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15cases missing date code
2cases missing labels</t>
        </r>
      </text>
    </comment>
    <comment ref="J50" authorId="0" shapeId="0" xr:uid="{4F88A71F-99D9-42EC-81F3-43764E780F3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11hls transferred to BBT3
15hls transferred from BBT5</t>
        </r>
      </text>
    </comment>
    <comment ref="O50" authorId="0" shapeId="0" xr:uid="{6255F2B6-7C4D-4783-813E-50F97074CB4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44FAB</t>
        </r>
      </text>
    </comment>
    <comment ref="J56" authorId="0" shapeId="0" xr:uid="{48932F1D-93BF-42E3-BAE2-94D089852A9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6hls added to adjust negative bottling loss</t>
        </r>
      </text>
    </comment>
    <comment ref="J59" authorId="0" shapeId="0" xr:uid="{FB8A5AE2-EC6C-4E69-BC3A-1EFCF7C9E13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73.5hls recorded by bottling 61hls recorded by filtration- filtration volume is insufficient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  <author>Reshelle Fleming</author>
  </authors>
  <commentList>
    <comment ref="I8" authorId="0" shapeId="0" xr:uid="{19625D4E-ECEE-4D32-9D96-4D03FE0EA81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64cases missing neck labels </t>
        </r>
      </text>
    </comment>
    <comment ref="O9" authorId="0" shapeId="0" xr:uid="{98C9E08E-BA35-4F05-8DC5-8CDE95E1CC9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38FAB</t>
        </r>
      </text>
    </comment>
    <comment ref="J10" authorId="1" shapeId="0" xr:uid="{1A5F1740-D056-406E-8DF4-ED80A217B27D}">
      <text>
        <r>
          <rPr>
            <b/>
            <sz val="9"/>
            <color indexed="81"/>
            <rFont val="Tahoma"/>
            <family val="2"/>
          </rPr>
          <t>Reshelle Fleming:
65.7hls remained due to high Haze. To be refiltered on the 5th when filtering Carib</t>
        </r>
      </text>
    </comment>
    <comment ref="O11" authorId="0" shapeId="0" xr:uid="{B384F170-6E78-480C-9785-9049E404EE5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30FAB</t>
        </r>
      </text>
    </comment>
    <comment ref="J12" authorId="1" shapeId="0" xr:uid="{7B6279DF-4077-4581-80AE-24E004E470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65.7 was refiltered beer from the 4th</t>
        </r>
      </text>
    </comment>
    <comment ref="O12" authorId="1" shapeId="0" xr:uid="{E3BF740A-5F9D-4033-8D25-47710C8C21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100FAB</t>
        </r>
      </text>
    </comment>
    <comment ref="O13" authorId="1" shapeId="0" xr:uid="{53A7E82E-3DDE-47D7-AC79-2ED9C4BD67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82FAB</t>
        </r>
      </text>
    </comment>
    <comment ref="I16" authorId="1" shapeId="0" xr:uid="{08CA2706-88B6-4F4F-8785-2D7B44A9C9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8 missing labels </t>
        </r>
      </text>
    </comment>
    <comment ref="I20" authorId="1" shapeId="0" xr:uid="{B2936771-0249-45AD-8619-E59780854C3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13cases damaged crates </t>
        </r>
      </text>
    </comment>
    <comment ref="I21" authorId="1" shapeId="0" xr:uid="{7D21CE25-1DA5-42DF-8721-7E288872EC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280cases damaged crates </t>
        </r>
      </text>
    </comment>
    <comment ref="J35" authorId="0" shapeId="0" xr:uid="{98F6AC8A-6725-4C1E-AC6E-F5A9A9448C0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3hls added to adjust negative bottling loss</t>
        </r>
      </text>
    </comment>
    <comment ref="I37" authorId="0" shapeId="0" xr:uid="{937FFD09-2243-4088-997E-92987E2DB88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damaged crates</t>
        </r>
      </text>
    </comment>
    <comment ref="J42" authorId="0" shapeId="0" xr:uid="{EB070CF5-EED8-4FFE-89CF-11DAF495DC0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2" authorId="0" shapeId="0" xr:uid="{B9220A2C-E932-4790-96C6-92F3141D0A8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More than expected</t>
        </r>
      </text>
    </comment>
    <comment ref="J44" authorId="0" shapeId="0" xr:uid="{B2484CB2-8663-4121-AE21-0918753F681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5hls added due to negative bottling loss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B17" authorId="0" shapeId="0" xr:uid="{B27BAAF9-216E-4AA1-A394-351E9B9FB9B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double shift</t>
        </r>
      </text>
    </comment>
    <comment ref="J25" authorId="0" shapeId="0" xr:uid="{929B9A44-CCDA-4623-AD34-C1D9946EFB4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30hls taken for Shandy Sorrel</t>
        </r>
      </text>
    </comment>
    <comment ref="I26" authorId="0" shapeId="0" xr:uid="{85032183-52B9-475A-926D-C287B9378F0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damaged crates</t>
        </r>
      </text>
    </comment>
    <comment ref="J26" authorId="0" shapeId="0" xr:uid="{849610AE-3BB6-4273-A5B2-963FB752250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8hls remained after bottling- volume was transferred and split between SVs 15 and 16 </t>
        </r>
      </text>
    </comment>
    <comment ref="I30" authorId="0" shapeId="0" xr:uid="{9E6241AE-2C38-42EC-9FF3-3446511A4A6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labels</t>
        </r>
      </text>
    </comment>
    <comment ref="J31" authorId="0" shapeId="0" xr:uid="{0090AF3C-DA9F-4D0B-B20F-532E3F29A18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15hls taken for Lime + Ginger (7.5hls both)</t>
        </r>
      </text>
    </comment>
    <comment ref="J38" authorId="0" shapeId="0" xr:uid="{D19EAB89-FAA7-4EFA-857B-F84EDD21E07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21.2hls was pushed into BBT5 from BBT3</t>
        </r>
      </text>
    </comment>
    <comment ref="J45" authorId="0" shapeId="0" xr:uid="{C406F83D-C773-4703-8D19-7D63F971EFD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1hl added to adjust negative loss</t>
        </r>
      </text>
    </comment>
    <comment ref="O46" authorId="0" shapeId="0" xr:uid="{8A9D68BF-0F27-4CF7-9338-252606E5FD4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45FAB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Audlyn Andrews</author>
  </authors>
  <commentList>
    <comment ref="E5" authorId="0" shapeId="0" xr:uid="{687B67A8-19EC-4DF5-9D2F-EA77035D637F}">
      <text>
        <r>
          <rPr>
            <b/>
            <sz val="9"/>
            <color indexed="81"/>
            <rFont val="Tahoma"/>
            <family val="2"/>
          </rPr>
          <t>Audlyn Andrews:</t>
        </r>
        <r>
          <rPr>
            <sz val="9"/>
            <color indexed="81"/>
            <rFont val="Tahoma"/>
            <family val="2"/>
          </rPr>
          <t xml:space="preserve">
GBL line downtime Avail. Time 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O8" authorId="0" shapeId="0" xr:uid="{E3CA0BA7-1DE2-497F-BEB0-CEF3BF084D0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60FBB on June 15th</t>
        </r>
      </text>
    </comment>
  </commentList>
</comments>
</file>

<file path=xl/sharedStrings.xml><?xml version="1.0" encoding="utf-8"?>
<sst xmlns="http://schemas.openxmlformats.org/spreadsheetml/2006/main" count="872" uniqueCount="165">
  <si>
    <t>GRENADA  BREWERIES  LIMITED</t>
  </si>
  <si>
    <t>PRODUCTION DEPARTMENT</t>
  </si>
  <si>
    <t xml:space="preserve">DATE </t>
  </si>
  <si>
    <t>DAY</t>
  </si>
  <si>
    <t>PRODUCT</t>
  </si>
  <si>
    <t>CASES</t>
  </si>
  <si>
    <t>BOTTLED</t>
  </si>
  <si>
    <t>EFFICIENCY</t>
  </si>
  <si>
    <t>GROSS</t>
  </si>
  <si>
    <t>AVERAGE</t>
  </si>
  <si>
    <t>CASE/HR</t>
  </si>
  <si>
    <t>TIME</t>
  </si>
  <si>
    <t>FILL</t>
  </si>
  <si>
    <t>Line Rated</t>
  </si>
  <si>
    <t>Efficiency</t>
  </si>
  <si>
    <t>Mins</t>
  </si>
  <si>
    <t>%</t>
  </si>
  <si>
    <t>HLS</t>
  </si>
  <si>
    <t>BBT</t>
  </si>
  <si>
    <t>LOSS</t>
  </si>
  <si>
    <t>YTD</t>
  </si>
  <si>
    <t>Ave Case per hour</t>
  </si>
  <si>
    <t>Diff BBT Hls vs Hls in Package</t>
  </si>
  <si>
    <t>KEGS</t>
  </si>
  <si>
    <t>DOWNTIME (Mins)</t>
  </si>
  <si>
    <t>REJECTS (Cases)</t>
  </si>
  <si>
    <t>Cases on Hold</t>
  </si>
  <si>
    <t>STAG</t>
  </si>
  <si>
    <t>ex</t>
  </si>
  <si>
    <t>no shields</t>
  </si>
  <si>
    <t>CARIB</t>
  </si>
  <si>
    <t>TOTAL CASES</t>
  </si>
  <si>
    <t>Stag</t>
  </si>
  <si>
    <t>Carib</t>
  </si>
  <si>
    <t>Bad Dog</t>
  </si>
  <si>
    <t>Total Kegs</t>
  </si>
  <si>
    <t xml:space="preserve">Produced </t>
  </si>
  <si>
    <t>AVAIL.</t>
  </si>
  <si>
    <t xml:space="preserve"> </t>
  </si>
  <si>
    <t>YTD CASES</t>
  </si>
  <si>
    <t>With Kegs</t>
  </si>
  <si>
    <t>With out Kegs</t>
  </si>
  <si>
    <t>Smalt</t>
  </si>
  <si>
    <t>Guinn</t>
  </si>
  <si>
    <t>GUINNESS</t>
  </si>
  <si>
    <t>CARIB AMBER</t>
  </si>
  <si>
    <t>GINSENG ORIGINAL</t>
  </si>
  <si>
    <t>VITAMALT CLASSIC</t>
  </si>
  <si>
    <t>STAR MALT</t>
  </si>
  <si>
    <t>MACKESON</t>
  </si>
  <si>
    <t xml:space="preserve">STAR MALT </t>
  </si>
  <si>
    <t>CARIBE ROSE</t>
  </si>
  <si>
    <t>SHANDY SORREL</t>
  </si>
  <si>
    <t>VITA MALT CLASSIC</t>
  </si>
  <si>
    <t>VITA MALT GINGER</t>
  </si>
  <si>
    <t>TING ORIGINAL</t>
  </si>
  <si>
    <t>SHANDY GINGER ( LOCAL)</t>
  </si>
  <si>
    <t>SHANDY GINGER (EXPORT)</t>
  </si>
  <si>
    <t>VITA MALT (GINGER)</t>
  </si>
  <si>
    <t>PINK TING</t>
  </si>
  <si>
    <t>GINSENG APPLE</t>
  </si>
  <si>
    <t>WASHER BREAKDOWN</t>
  </si>
  <si>
    <t>CARIB FLINT (LOCAL)</t>
  </si>
  <si>
    <t xml:space="preserve">    </t>
  </si>
  <si>
    <t>VITA MALT ( CLASSIC)</t>
  </si>
  <si>
    <t>Added</t>
  </si>
  <si>
    <t>CARIB AMBER (SHORT)</t>
  </si>
  <si>
    <t xml:space="preserve">GLUE </t>
  </si>
  <si>
    <t>USAGE</t>
  </si>
  <si>
    <t>`</t>
  </si>
  <si>
    <t>EBI/FILLER COMMUNICATION BREAKDOWN</t>
  </si>
  <si>
    <t>SHANDY SORREL (LOC)</t>
  </si>
  <si>
    <t>TING( GREEN)</t>
  </si>
  <si>
    <t>GINSENG UP (ORG)</t>
  </si>
  <si>
    <t>SODA WATER</t>
  </si>
  <si>
    <t xml:space="preserve">CREAM SODA </t>
  </si>
  <si>
    <t>BANANA</t>
  </si>
  <si>
    <t>BANANA J.COOL</t>
  </si>
  <si>
    <t>KOLA CHAMP J.COOL</t>
  </si>
  <si>
    <t>NO PRODUCTION- LOW WATER PRESSURE</t>
  </si>
  <si>
    <t>Avail Time</t>
  </si>
  <si>
    <t>Fill Time</t>
  </si>
  <si>
    <t>j COOL GINGER</t>
  </si>
  <si>
    <t xml:space="preserve">J COOL GRAPE </t>
  </si>
  <si>
    <t>J COOL SORREL</t>
  </si>
  <si>
    <t>CIDER PEARSECCO</t>
  </si>
  <si>
    <t>CIDER ROSE</t>
  </si>
  <si>
    <t>CIDER ROSE (EXPORT)</t>
  </si>
  <si>
    <t>Usage</t>
  </si>
  <si>
    <t>Glue</t>
  </si>
  <si>
    <t>lbs/case</t>
  </si>
  <si>
    <t>CARIB FLINT ( EXP)</t>
  </si>
  <si>
    <t>SHANDY GINGER</t>
  </si>
  <si>
    <t xml:space="preserve">GREEN TING </t>
  </si>
  <si>
    <t>BOTTLED2</t>
  </si>
  <si>
    <t>AVG</t>
  </si>
  <si>
    <t xml:space="preserve">CASE PER </t>
  </si>
  <si>
    <t xml:space="preserve">Diff BBT </t>
  </si>
  <si>
    <t>Hls vs Hls in Package</t>
  </si>
  <si>
    <t>DOWNTIME</t>
  </si>
  <si>
    <t xml:space="preserve"> (Mins)</t>
  </si>
  <si>
    <t>REJECTS</t>
  </si>
  <si>
    <t xml:space="preserve"> (Cases)</t>
  </si>
  <si>
    <t>Ave Case</t>
  </si>
  <si>
    <t xml:space="preserve"> per hour</t>
  </si>
  <si>
    <t>SHANDY SORREL ( LOCAL )</t>
  </si>
  <si>
    <t>CARIBE PERSSECO (LOCAL )</t>
  </si>
  <si>
    <t>CARIBE ROSE (LOCAL)</t>
  </si>
  <si>
    <t>CARIB FLINT (LOC)</t>
  </si>
  <si>
    <t>SHANDY CARIB GINGER (EXPORT)</t>
  </si>
  <si>
    <t>SHANDY CARIB GINGER LOCAL</t>
  </si>
  <si>
    <t>CLUB SODA</t>
  </si>
  <si>
    <t>VITA MALT (CLASSIC</t>
  </si>
  <si>
    <t>VITAMALT GINGER</t>
  </si>
  <si>
    <t>PEARSECCO</t>
  </si>
  <si>
    <t>CARIBE ROSE'</t>
  </si>
  <si>
    <t>SHANDY SORREL(EXP</t>
  </si>
  <si>
    <t>SHANDY LIME( EXP)</t>
  </si>
  <si>
    <t xml:space="preserve">SHANDY LIME ( LOC ) </t>
  </si>
  <si>
    <t>SHANDY SOREL (LOC)</t>
  </si>
  <si>
    <t>BANANA (EXPORT)</t>
  </si>
  <si>
    <t>GINGER (EXPORT)</t>
  </si>
  <si>
    <t>GRAPE (EXPORT)</t>
  </si>
  <si>
    <t>JUICY COOL SORREL (EXPORT)</t>
  </si>
  <si>
    <t>CREAM SODA (EXPORT)</t>
  </si>
  <si>
    <t>KOLA CHAMPAGNE (EXPORT)</t>
  </si>
  <si>
    <t>CIDER PEARSECCO (EXPORT)</t>
  </si>
  <si>
    <t>GINSENG APPLE (medium)</t>
  </si>
  <si>
    <r>
      <t>GINSENG APPLE (</t>
    </r>
    <r>
      <rPr>
        <b/>
        <sz val="10"/>
        <rFont val="Copperplate Gothic Light"/>
        <family val="2"/>
      </rPr>
      <t>SHORT</t>
    </r>
    <r>
      <rPr>
        <b/>
        <sz val="12"/>
        <rFont val="Copperplate Gothic Light"/>
        <family val="2"/>
      </rPr>
      <t>)</t>
    </r>
  </si>
  <si>
    <t>CARIB EXPORT (explorer)</t>
  </si>
  <si>
    <t xml:space="preserve">VITA MALT ( CLASSIC ) </t>
  </si>
  <si>
    <t xml:space="preserve">VITA MALT ( GINGER ) </t>
  </si>
  <si>
    <t>CARIBE PEARSECO</t>
  </si>
  <si>
    <t>ORIGINAL TING</t>
  </si>
  <si>
    <t>STARMALT</t>
  </si>
  <si>
    <t>CARIB FLINT</t>
  </si>
  <si>
    <t>TING</t>
  </si>
  <si>
    <t>GINSENG UP ORIGINAL</t>
  </si>
  <si>
    <t>SHANDY LIME LOCAL</t>
  </si>
  <si>
    <t>SHANDY LIME EXPORT</t>
  </si>
  <si>
    <t>SHANDY GINGER EXPORT</t>
  </si>
  <si>
    <t>SHANDY GINGER LOCAL</t>
  </si>
  <si>
    <t>SHANDY SORREL EXPORT</t>
  </si>
  <si>
    <t>SHANDY SORREL LOCAL</t>
  </si>
  <si>
    <t xml:space="preserve">CARIB FLINT EXPORT </t>
  </si>
  <si>
    <t>CARIB FLINT LOCAL</t>
  </si>
  <si>
    <t xml:space="preserve">CARIB AMBER </t>
  </si>
  <si>
    <t>PORNSTAR MARTINI (TRIAL)</t>
  </si>
  <si>
    <t>DARK BERRY ROYALE (TRAIL)</t>
  </si>
  <si>
    <t>CARIB FLINT (EXPORT)</t>
  </si>
  <si>
    <t>CARIB FLINT EXPORT</t>
  </si>
  <si>
    <t>CARIB EXPORT</t>
  </si>
  <si>
    <t>NO BOTTLING</t>
  </si>
  <si>
    <t xml:space="preserve">J. COOL SODA WATER </t>
  </si>
  <si>
    <t>J.COOL. KOLA CHMAP</t>
  </si>
  <si>
    <t xml:space="preserve">J.COOL. CREAM SODA </t>
  </si>
  <si>
    <t>J.COO GRAPE</t>
  </si>
  <si>
    <t>J COOL  BANANA</t>
  </si>
  <si>
    <t>VITA MALT</t>
  </si>
  <si>
    <t xml:space="preserve">VITA MALT </t>
  </si>
  <si>
    <t>GLUE USAGE</t>
  </si>
  <si>
    <t>PORNSTAR</t>
  </si>
  <si>
    <t>ROYALE</t>
  </si>
  <si>
    <t>BELLINI</t>
  </si>
  <si>
    <t xml:space="preserve">SHANDY SORREL LOCAL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</si>
</sst>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m\ yyyy;@"/>
    <numFmt numFmtId="165" formatCode="0.0"/>
    <numFmt numFmtId="166" formatCode="_(* #,##0_);_(* \(#,##0\);_(* &quot;-&quot;??_);_(@_)"/>
  </numFmts>
  <fonts count="47">
    <font>
      <sz val="10"/>
      <name val="Arial"/>
    </font>
    <font>
      <sz val="11"/>
      <color theme="1"/>
      <name val="Calibri"/>
      <family val="2"/>
      <scheme val="minor"/>
    </font>
    <font>
      <b/>
      <sz val="16"/>
      <name val="Bradley Hand ITC"/>
      <family val="4"/>
    </font>
    <font>
      <b/>
      <sz val="12"/>
      <name val="Garamond"/>
      <family val="1"/>
    </font>
    <font>
      <b/>
      <u/>
      <sz val="20"/>
      <color indexed="12"/>
      <name val="Castellar"/>
      <family val="1"/>
    </font>
    <font>
      <sz val="12"/>
      <name val="Script MT Bold"/>
      <family val="4"/>
    </font>
    <font>
      <b/>
      <sz val="16"/>
      <name val="Copperplate Gothic Bold"/>
      <family val="2"/>
    </font>
    <font>
      <b/>
      <sz val="12"/>
      <name val="Copperplate Gothic Light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Garamond"/>
      <family val="1"/>
    </font>
    <font>
      <b/>
      <sz val="12"/>
      <name val="Arial"/>
      <family val="2"/>
    </font>
    <font>
      <b/>
      <sz val="11"/>
      <name val="Garamond"/>
      <family val="1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Garamond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Adobe Song Std L"/>
      <family val="1"/>
      <charset val="128"/>
    </font>
    <font>
      <b/>
      <sz val="12"/>
      <color theme="1"/>
      <name val="Garamond"/>
      <family val="1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theme="1"/>
      <name val="Copperplate Gothic Light"/>
      <family val="2"/>
    </font>
    <font>
      <b/>
      <sz val="12"/>
      <name val="Script MT Bold"/>
      <family val="4"/>
    </font>
    <font>
      <b/>
      <u/>
      <sz val="14"/>
      <color indexed="12"/>
      <name val="Castellar"/>
      <family val="1"/>
    </font>
    <font>
      <sz val="14"/>
      <name val="Arial"/>
      <family val="2"/>
    </font>
    <font>
      <b/>
      <sz val="14"/>
      <name val="Bradley Hand ITC"/>
      <family val="4"/>
    </font>
    <font>
      <b/>
      <sz val="14"/>
      <name val="Copperplate Gothic Bold"/>
      <family val="2"/>
    </font>
    <font>
      <b/>
      <sz val="14"/>
      <name val="Garamond"/>
      <family val="1"/>
    </font>
    <font>
      <sz val="14"/>
      <name val="Script MT Bold"/>
      <family val="4"/>
    </font>
    <font>
      <b/>
      <sz val="14"/>
      <name val="Copperplate Gothic Light"/>
      <family val="2"/>
    </font>
    <font>
      <b/>
      <i/>
      <sz val="14"/>
      <name val="Garamond"/>
      <family val="1"/>
    </font>
    <font>
      <sz val="14"/>
      <name val="Garamond"/>
      <family val="1"/>
    </font>
    <font>
      <b/>
      <i/>
      <sz val="11"/>
      <name val="Arial"/>
      <family val="2"/>
    </font>
    <font>
      <b/>
      <sz val="14"/>
      <color theme="1"/>
      <name val="Garamond"/>
      <family val="1"/>
    </font>
    <font>
      <sz val="14"/>
      <color theme="1"/>
      <name val="Arial"/>
      <family val="2"/>
    </font>
    <font>
      <b/>
      <sz val="18"/>
      <color rgb="FFFF0000"/>
      <name val="Arial"/>
      <family val="2"/>
    </font>
    <font>
      <b/>
      <sz val="14"/>
      <color rgb="FFFF0000"/>
      <name val="Garamond"/>
      <family val="1"/>
    </font>
    <font>
      <b/>
      <sz val="12"/>
      <color rgb="FFFF0000"/>
      <name val="Garamond"/>
      <family val="1"/>
    </font>
    <font>
      <sz val="12"/>
      <name val="Copperplate Gothic Bold"/>
      <family val="2"/>
    </font>
    <font>
      <b/>
      <sz val="11"/>
      <color rgb="FF000000"/>
      <name val="Garamond"/>
      <family val="1"/>
    </font>
    <font>
      <b/>
      <i/>
      <sz val="14"/>
      <color rgb="FFFF0000"/>
      <name val="Garamond"/>
      <family val="1"/>
    </font>
    <font>
      <b/>
      <sz val="10"/>
      <name val="Garamond"/>
      <family val="1"/>
    </font>
    <font>
      <b/>
      <sz val="12"/>
      <color theme="1"/>
      <name val="Arial"/>
      <family val="2"/>
    </font>
    <font>
      <b/>
      <sz val="10"/>
      <name val="Copperplate Gothic Light"/>
      <family val="2"/>
    </font>
    <font>
      <b/>
      <sz val="11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22"/>
      </top>
      <bottom style="hair">
        <color indexed="22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hair">
        <color indexed="22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2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hair">
        <color indexed="22"/>
      </top>
      <bottom style="hair">
        <color indexed="22"/>
      </bottom>
      <diagonal/>
    </border>
    <border>
      <left/>
      <right style="double">
        <color indexed="64"/>
      </right>
      <top style="hair">
        <color indexed="22"/>
      </top>
      <bottom/>
      <diagonal/>
    </border>
    <border>
      <left style="double">
        <color indexed="64"/>
      </left>
      <right/>
      <top style="double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52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2" fontId="0" fillId="0" borderId="0" xfId="0" applyNumberFormat="1" applyAlignment="1">
      <alignment horizontal="center"/>
    </xf>
    <xf numFmtId="0" fontId="3" fillId="2" borderId="3" xfId="0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0" fillId="0" borderId="3" xfId="0" applyBorder="1"/>
    <xf numFmtId="1" fontId="11" fillId="0" borderId="6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0" xfId="0" applyAlignment="1">
      <alignment horizontal="left"/>
    </xf>
    <xf numFmtId="2" fontId="3" fillId="0" borderId="3" xfId="0" applyNumberFormat="1" applyFont="1" applyBorder="1" applyAlignment="1">
      <alignment vertical="center"/>
    </xf>
    <xf numFmtId="2" fontId="3" fillId="0" borderId="7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/>
    </xf>
    <xf numFmtId="1" fontId="15" fillId="0" borderId="6" xfId="0" applyNumberFormat="1" applyFont="1" applyBorder="1" applyAlignment="1">
      <alignment horizontal="center" vertical="center"/>
    </xf>
    <xf numFmtId="1" fontId="14" fillId="0" borderId="0" xfId="0" applyNumberFormat="1" applyFont="1"/>
    <xf numFmtId="1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" fontId="3" fillId="7" borderId="10" xfId="0" applyNumberFormat="1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2" fontId="18" fillId="0" borderId="0" xfId="0" applyNumberFormat="1" applyFont="1" applyAlignment="1">
      <alignment horizontal="center"/>
    </xf>
    <xf numFmtId="2" fontId="3" fillId="10" borderId="0" xfId="0" applyNumberFormat="1" applyFont="1" applyFill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/>
    </xf>
    <xf numFmtId="16" fontId="5" fillId="3" borderId="4" xfId="0" applyNumberFormat="1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3" fillId="0" borderId="10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1" fontId="3" fillId="7" borderId="10" xfId="0" applyNumberFormat="1" applyFont="1" applyFill="1" applyBorder="1" applyAlignment="1">
      <alignment horizontal="center" vertical="center"/>
    </xf>
    <xf numFmtId="2" fontId="3" fillId="5" borderId="6" xfId="0" applyNumberFormat="1" applyFont="1" applyFill="1" applyBorder="1" applyAlignment="1">
      <alignment horizontal="center"/>
    </xf>
    <xf numFmtId="1" fontId="3" fillId="5" borderId="6" xfId="0" applyNumberFormat="1" applyFont="1" applyFill="1" applyBorder="1" applyAlignment="1">
      <alignment horizontal="center" vertical="center"/>
    </xf>
    <xf numFmtId="1" fontId="3" fillId="11" borderId="0" xfId="0" applyNumberFormat="1" applyFont="1" applyFill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3" fontId="3" fillId="5" borderId="6" xfId="0" applyNumberFormat="1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1" fontId="3" fillId="0" borderId="1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43" fontId="22" fillId="0" borderId="0" xfId="4" applyFont="1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66" fontId="11" fillId="8" borderId="0" xfId="4" applyNumberFormat="1" applyFont="1" applyFill="1" applyAlignment="1">
      <alignment horizontal="center"/>
    </xf>
    <xf numFmtId="0" fontId="20" fillId="13" borderId="0" xfId="0" applyFont="1" applyFill="1" applyAlignment="1">
      <alignment horizontal="center"/>
    </xf>
    <xf numFmtId="2" fontId="3" fillId="11" borderId="0" xfId="0" applyNumberFormat="1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16" fontId="5" fillId="0" borderId="4" xfId="0" applyNumberFormat="1" applyFont="1" applyBorder="1" applyAlignment="1">
      <alignment horizontal="center" vertical="center"/>
    </xf>
    <xf numFmtId="0" fontId="26" fillId="0" borderId="0" xfId="0" applyFont="1"/>
    <xf numFmtId="0" fontId="29" fillId="2" borderId="1" xfId="0" applyFont="1" applyFill="1" applyBorder="1" applyAlignment="1">
      <alignment horizontal="center"/>
    </xf>
    <xf numFmtId="0" fontId="29" fillId="2" borderId="1" xfId="0" applyFont="1" applyFill="1" applyBorder="1" applyAlignment="1">
      <alignment horizontal="left"/>
    </xf>
    <xf numFmtId="0" fontId="29" fillId="2" borderId="1" xfId="0" applyFont="1" applyFill="1" applyBorder="1" applyAlignment="1">
      <alignment horizontal="center" vertical="center"/>
    </xf>
    <xf numFmtId="1" fontId="29" fillId="2" borderId="1" xfId="0" applyNumberFormat="1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/>
    </xf>
    <xf numFmtId="0" fontId="29" fillId="2" borderId="3" xfId="0" applyFont="1" applyFill="1" applyBorder="1" applyAlignment="1">
      <alignment horizontal="left"/>
    </xf>
    <xf numFmtId="0" fontId="29" fillId="2" borderId="3" xfId="0" applyFont="1" applyFill="1" applyBorder="1" applyAlignment="1">
      <alignment horizontal="center" vertical="center"/>
    </xf>
    <xf numFmtId="1" fontId="29" fillId="2" borderId="3" xfId="0" applyNumberFormat="1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left"/>
    </xf>
    <xf numFmtId="0" fontId="29" fillId="2" borderId="5" xfId="0" applyFont="1" applyFill="1" applyBorder="1" applyAlignment="1">
      <alignment horizontal="center" vertical="center"/>
    </xf>
    <xf numFmtId="1" fontId="29" fillId="2" borderId="5" xfId="0" applyNumberFormat="1" applyFont="1" applyFill="1" applyBorder="1" applyAlignment="1">
      <alignment horizontal="center"/>
    </xf>
    <xf numFmtId="0" fontId="30" fillId="3" borderId="4" xfId="0" applyFont="1" applyFill="1" applyBorder="1" applyAlignment="1">
      <alignment horizontal="center" vertical="center"/>
    </xf>
    <xf numFmtId="0" fontId="29" fillId="9" borderId="13" xfId="0" applyFont="1" applyFill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2" fontId="29" fillId="0" borderId="3" xfId="0" applyNumberFormat="1" applyFont="1" applyBorder="1" applyAlignment="1">
      <alignment horizontal="center" vertical="center"/>
    </xf>
    <xf numFmtId="1" fontId="29" fillId="0" borderId="3" xfId="0" applyNumberFormat="1" applyFont="1" applyBorder="1" applyAlignment="1">
      <alignment horizontal="center" vertical="center"/>
    </xf>
    <xf numFmtId="2" fontId="29" fillId="0" borderId="12" xfId="0" applyNumberFormat="1" applyFont="1" applyBorder="1" applyAlignment="1">
      <alignment horizontal="center" vertical="center"/>
    </xf>
    <xf numFmtId="0" fontId="26" fillId="0" borderId="3" xfId="0" applyFont="1" applyBorder="1"/>
    <xf numFmtId="1" fontId="26" fillId="0" borderId="0" xfId="0" applyNumberFormat="1" applyFont="1"/>
    <xf numFmtId="16" fontId="30" fillId="0" borderId="4" xfId="0" applyNumberFormat="1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3" xfId="0" applyFont="1" applyBorder="1" applyAlignment="1">
      <alignment horizontal="left"/>
    </xf>
    <xf numFmtId="1" fontId="22" fillId="0" borderId="0" xfId="0" applyNumberFormat="1" applyFont="1"/>
    <xf numFmtId="2" fontId="26" fillId="0" borderId="0" xfId="0" applyNumberFormat="1" applyFont="1"/>
    <xf numFmtId="0" fontId="30" fillId="3" borderId="6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29" fillId="0" borderId="6" xfId="0" applyFont="1" applyBorder="1" applyAlignment="1">
      <alignment horizontal="center" vertical="center"/>
    </xf>
    <xf numFmtId="2" fontId="29" fillId="0" borderId="6" xfId="0" applyNumberFormat="1" applyFont="1" applyBorder="1" applyAlignment="1">
      <alignment horizontal="center"/>
    </xf>
    <xf numFmtId="1" fontId="29" fillId="0" borderId="6" xfId="0" applyNumberFormat="1" applyFont="1" applyBorder="1" applyAlignment="1">
      <alignment horizontal="center"/>
    </xf>
    <xf numFmtId="2" fontId="29" fillId="0" borderId="6" xfId="0" applyNumberFormat="1" applyFont="1" applyBorder="1" applyAlignment="1">
      <alignment horizontal="center" vertical="center"/>
    </xf>
    <xf numFmtId="1" fontId="29" fillId="0" borderId="6" xfId="0" applyNumberFormat="1" applyFont="1" applyBorder="1" applyAlignment="1">
      <alignment horizontal="center" vertical="center"/>
    </xf>
    <xf numFmtId="1" fontId="32" fillId="0" borderId="6" xfId="0" applyNumberFormat="1" applyFont="1" applyBorder="1" applyAlignment="1">
      <alignment horizontal="center" vertical="center"/>
    </xf>
    <xf numFmtId="10" fontId="29" fillId="0" borderId="6" xfId="0" applyNumberFormat="1" applyFont="1" applyBorder="1" applyAlignment="1">
      <alignment horizontal="center" vertical="center"/>
    </xf>
    <xf numFmtId="1" fontId="22" fillId="0" borderId="6" xfId="0" applyNumberFormat="1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33" fillId="0" borderId="0" xfId="0" applyFont="1" applyAlignment="1">
      <alignment horizontal="center" vertical="center"/>
    </xf>
    <xf numFmtId="2" fontId="26" fillId="0" borderId="0" xfId="0" applyNumberFormat="1" applyFont="1" applyAlignment="1">
      <alignment horizontal="center"/>
    </xf>
    <xf numFmtId="2" fontId="29" fillId="0" borderId="0" xfId="0" applyNumberFormat="1" applyFont="1" applyAlignment="1">
      <alignment horizontal="center" vertical="center"/>
    </xf>
    <xf numFmtId="2" fontId="29" fillId="6" borderId="0" xfId="0" applyNumberFormat="1" applyFont="1" applyFill="1" applyAlignment="1">
      <alignment horizontal="center" vertical="center"/>
    </xf>
    <xf numFmtId="2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/>
    </xf>
    <xf numFmtId="2" fontId="29" fillId="0" borderId="10" xfId="0" applyNumberFormat="1" applyFont="1" applyBorder="1" applyAlignment="1">
      <alignment horizontal="center" vertical="center"/>
    </xf>
    <xf numFmtId="1" fontId="29" fillId="0" borderId="10" xfId="0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2" fontId="29" fillId="7" borderId="10" xfId="0" applyNumberFormat="1" applyFont="1" applyFill="1" applyBorder="1" applyAlignment="1">
      <alignment horizontal="center" vertical="center"/>
    </xf>
    <xf numFmtId="0" fontId="29" fillId="7" borderId="10" xfId="0" applyFont="1" applyFill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0" fontId="13" fillId="0" borderId="0" xfId="0" applyFont="1"/>
    <xf numFmtId="0" fontId="0" fillId="14" borderId="0" xfId="0" applyFill="1"/>
    <xf numFmtId="1" fontId="3" fillId="0" borderId="17" xfId="0" applyNumberFormat="1" applyFont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4" fillId="5" borderId="0" xfId="0" applyFont="1" applyFill="1" applyAlignment="1">
      <alignment horizontal="center"/>
    </xf>
    <xf numFmtId="0" fontId="0" fillId="12" borderId="0" xfId="0" applyFill="1"/>
    <xf numFmtId="0" fontId="0" fillId="15" borderId="0" xfId="0" applyFill="1"/>
    <xf numFmtId="0" fontId="7" fillId="0" borderId="12" xfId="0" applyFont="1" applyBorder="1" applyAlignment="1">
      <alignment horizontal="left"/>
    </xf>
    <xf numFmtId="0" fontId="3" fillId="0" borderId="17" xfId="0" applyFont="1" applyBorder="1" applyAlignment="1">
      <alignment horizontal="center" vertical="center"/>
    </xf>
    <xf numFmtId="16" fontId="5" fillId="3" borderId="2" xfId="0" applyNumberFormat="1" applyFont="1" applyFill="1" applyBorder="1" applyAlignment="1">
      <alignment horizontal="center" vertical="center"/>
    </xf>
    <xf numFmtId="16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6" fontId="11" fillId="8" borderId="0" xfId="4" applyNumberFormat="1" applyFont="1" applyFill="1" applyAlignment="1"/>
    <xf numFmtId="0" fontId="3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6" fontId="5" fillId="0" borderId="4" xfId="0" applyNumberFormat="1" applyFont="1" applyBorder="1" applyAlignment="1">
      <alignment horizontal="left" vertical="center"/>
    </xf>
    <xf numFmtId="16" fontId="5" fillId="0" borderId="3" xfId="0" applyNumberFormat="1" applyFont="1" applyBorder="1" applyAlignment="1">
      <alignment horizontal="left" vertical="center"/>
    </xf>
    <xf numFmtId="0" fontId="24" fillId="0" borderId="6" xfId="0" applyFont="1" applyBorder="1" applyAlignment="1">
      <alignment horizontal="left" vertical="center"/>
    </xf>
    <xf numFmtId="2" fontId="3" fillId="10" borderId="10" xfId="0" applyNumberFormat="1" applyFont="1" applyFill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3" fontId="29" fillId="11" borderId="6" xfId="0" applyNumberFormat="1" applyFont="1" applyFill="1" applyBorder="1" applyAlignment="1">
      <alignment horizontal="center"/>
    </xf>
    <xf numFmtId="165" fontId="26" fillId="0" borderId="0" xfId="0" applyNumberFormat="1" applyFont="1"/>
    <xf numFmtId="0" fontId="3" fillId="9" borderId="10" xfId="0" applyFont="1" applyFill="1" applyBorder="1" applyAlignment="1">
      <alignment vertical="center"/>
    </xf>
    <xf numFmtId="3" fontId="3" fillId="17" borderId="6" xfId="0" applyNumberFormat="1" applyFont="1" applyFill="1" applyBorder="1" applyAlignment="1">
      <alignment horizontal="center"/>
    </xf>
    <xf numFmtId="1" fontId="3" fillId="17" borderId="6" xfId="0" applyNumberFormat="1" applyFont="1" applyFill="1" applyBorder="1" applyAlignment="1">
      <alignment horizontal="center"/>
    </xf>
    <xf numFmtId="2" fontId="3" fillId="18" borderId="0" xfId="0" applyNumberFormat="1" applyFont="1" applyFill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6" fillId="0" borderId="3" xfId="0" applyFont="1" applyBorder="1"/>
    <xf numFmtId="16" fontId="5" fillId="0" borderId="4" xfId="0" applyNumberFormat="1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vertical="center"/>
    </xf>
    <xf numFmtId="2" fontId="37" fillId="0" borderId="0" xfId="0" applyNumberFormat="1" applyFont="1" applyAlignment="1">
      <alignment horizontal="center"/>
    </xf>
    <xf numFmtId="43" fontId="22" fillId="0" borderId="0" xfId="4" applyFont="1" applyFill="1" applyAlignment="1">
      <alignment horizontal="center"/>
    </xf>
    <xf numFmtId="165" fontId="3" fillId="0" borderId="3" xfId="0" applyNumberFormat="1" applyFont="1" applyBorder="1" applyAlignment="1">
      <alignment vertical="center"/>
    </xf>
    <xf numFmtId="165" fontId="29" fillId="0" borderId="3" xfId="0" applyNumberFormat="1" applyFont="1" applyBorder="1" applyAlignment="1">
      <alignment horizontal="center" vertical="center"/>
    </xf>
    <xf numFmtId="165" fontId="38" fillId="0" borderId="3" xfId="0" applyNumberFormat="1" applyFont="1" applyBorder="1" applyAlignment="1">
      <alignment horizontal="center" vertical="center"/>
    </xf>
    <xf numFmtId="2" fontId="3" fillId="5" borderId="3" xfId="0" applyNumberFormat="1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center"/>
    </xf>
    <xf numFmtId="165" fontId="15" fillId="0" borderId="3" xfId="0" applyNumberFormat="1" applyFont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left" vertical="center"/>
    </xf>
    <xf numFmtId="16" fontId="5" fillId="5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/>
    </xf>
    <xf numFmtId="0" fontId="0" fillId="19" borderId="0" xfId="0" applyFill="1"/>
    <xf numFmtId="0" fontId="23" fillId="0" borderId="3" xfId="0" applyFont="1" applyBorder="1" applyAlignment="1">
      <alignment horizontal="left"/>
    </xf>
    <xf numFmtId="0" fontId="0" fillId="17" borderId="0" xfId="0" applyFill="1"/>
    <xf numFmtId="0" fontId="3" fillId="19" borderId="1" xfId="0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/>
    </xf>
    <xf numFmtId="0" fontId="3" fillId="19" borderId="5" xfId="0" applyFont="1" applyFill="1" applyBorder="1" applyAlignment="1">
      <alignment horizontal="center"/>
    </xf>
    <xf numFmtId="0" fontId="0" fillId="19" borderId="0" xfId="0" applyFill="1" applyAlignment="1">
      <alignment horizontal="center"/>
    </xf>
    <xf numFmtId="2" fontId="0" fillId="19" borderId="0" xfId="0" applyNumberFormat="1" applyFill="1" applyAlignment="1">
      <alignment horizontal="center"/>
    </xf>
    <xf numFmtId="0" fontId="3" fillId="19" borderId="1" xfId="0" applyFont="1" applyFill="1" applyBorder="1" applyAlignment="1">
      <alignment horizontal="left"/>
    </xf>
    <xf numFmtId="0" fontId="3" fillId="19" borderId="3" xfId="0" applyFont="1" applyFill="1" applyBorder="1" applyAlignment="1">
      <alignment horizontal="left"/>
    </xf>
    <xf numFmtId="0" fontId="3" fillId="19" borderId="5" xfId="0" applyFont="1" applyFill="1" applyBorder="1" applyAlignment="1">
      <alignment horizontal="left"/>
    </xf>
    <xf numFmtId="0" fontId="0" fillId="19" borderId="0" xfId="0" applyFill="1" applyAlignment="1">
      <alignment horizontal="left"/>
    </xf>
    <xf numFmtId="0" fontId="29" fillId="9" borderId="23" xfId="0" applyFont="1" applyFill="1" applyBorder="1" applyAlignment="1">
      <alignment vertical="center"/>
    </xf>
    <xf numFmtId="0" fontId="29" fillId="9" borderId="23" xfId="0" applyFont="1" applyFill="1" applyBorder="1" applyAlignment="1">
      <alignment horizontal="center" vertical="center"/>
    </xf>
    <xf numFmtId="0" fontId="29" fillId="9" borderId="24" xfId="0" applyFont="1" applyFill="1" applyBorder="1" applyAlignment="1">
      <alignment horizontal="center" vertical="center"/>
    </xf>
    <xf numFmtId="16" fontId="30" fillId="3" borderId="2" xfId="0" applyNumberFormat="1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1" fontId="29" fillId="0" borderId="3" xfId="0" applyNumberFormat="1" applyFont="1" applyBorder="1" applyAlignment="1">
      <alignment vertical="center"/>
    </xf>
    <xf numFmtId="3" fontId="3" fillId="19" borderId="0" xfId="0" applyNumberFormat="1" applyFont="1" applyFill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  <xf numFmtId="1" fontId="42" fillId="0" borderId="3" xfId="0" applyNumberFormat="1" applyFont="1" applyBorder="1" applyAlignment="1">
      <alignment horizontal="center" vertical="center"/>
    </xf>
    <xf numFmtId="16" fontId="5" fillId="0" borderId="4" xfId="0" applyNumberFormat="1" applyFont="1" applyBorder="1" applyAlignment="1">
      <alignment horizontal="right" vertical="center"/>
    </xf>
    <xf numFmtId="0" fontId="3" fillId="16" borderId="19" xfId="0" applyFont="1" applyFill="1" applyBorder="1" applyAlignment="1">
      <alignment horizontal="center" vertical="center"/>
    </xf>
    <xf numFmtId="1" fontId="14" fillId="0" borderId="12" xfId="0" applyNumberFormat="1" applyFont="1" applyBorder="1"/>
    <xf numFmtId="0" fontId="0" fillId="0" borderId="12" xfId="0" applyBorder="1"/>
    <xf numFmtId="0" fontId="0" fillId="5" borderId="3" xfId="0" applyFill="1" applyBorder="1"/>
    <xf numFmtId="1" fontId="3" fillId="0" borderId="12" xfId="0" applyNumberFormat="1" applyFont="1" applyBorder="1" applyAlignment="1">
      <alignment horizontal="center" vertical="center"/>
    </xf>
    <xf numFmtId="166" fontId="11" fillId="0" borderId="0" xfId="4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16" fontId="5" fillId="0" borderId="3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2" fontId="39" fillId="0" borderId="3" xfId="0" applyNumberFormat="1" applyFont="1" applyBorder="1" applyAlignment="1">
      <alignment horizontal="center" vertical="center"/>
    </xf>
    <xf numFmtId="0" fontId="40" fillId="0" borderId="22" xfId="0" applyFont="1" applyBorder="1" applyAlignment="1">
      <alignment horizontal="left"/>
    </xf>
    <xf numFmtId="1" fontId="20" fillId="0" borderId="0" xfId="0" applyNumberFormat="1" applyFont="1" applyAlignment="1">
      <alignment horizontal="center" vertical="center"/>
    </xf>
    <xf numFmtId="2" fontId="3" fillId="20" borderId="3" xfId="0" applyNumberFormat="1" applyFont="1" applyFill="1" applyBorder="1" applyAlignment="1">
      <alignment horizontal="center" vertical="center"/>
    </xf>
    <xf numFmtId="16" fontId="5" fillId="20" borderId="4" xfId="0" applyNumberFormat="1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3" fillId="20" borderId="10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1" fontId="3" fillId="20" borderId="3" xfId="0" applyNumberFormat="1" applyFont="1" applyFill="1" applyBorder="1" applyAlignment="1">
      <alignment horizontal="center" vertical="center"/>
    </xf>
    <xf numFmtId="0" fontId="0" fillId="20" borderId="3" xfId="0" applyFill="1" applyBorder="1"/>
    <xf numFmtId="0" fontId="0" fillId="20" borderId="0" xfId="0" applyFill="1"/>
    <xf numFmtId="0" fontId="4" fillId="2" borderId="0" xfId="0" applyFont="1" applyFill="1"/>
    <xf numFmtId="2" fontId="2" fillId="4" borderId="0" xfId="0" applyNumberFormat="1" applyFont="1" applyFill="1"/>
    <xf numFmtId="2" fontId="3" fillId="2" borderId="1" xfId="0" applyNumberFormat="1" applyFont="1" applyFill="1" applyBorder="1" applyAlignment="1">
      <alignment vertical="center" wrapText="1"/>
    </xf>
    <xf numFmtId="2" fontId="3" fillId="2" borderId="3" xfId="0" applyNumberFormat="1" applyFont="1" applyFill="1" applyBorder="1" applyAlignment="1">
      <alignment vertical="center" wrapText="1"/>
    </xf>
    <xf numFmtId="2" fontId="3" fillId="2" borderId="5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0" borderId="17" xfId="0" applyFont="1" applyBorder="1" applyAlignment="1">
      <alignment horizontal="center"/>
    </xf>
    <xf numFmtId="0" fontId="7" fillId="20" borderId="12" xfId="0" applyFont="1" applyFill="1" applyBorder="1" applyAlignment="1">
      <alignment horizontal="left"/>
    </xf>
    <xf numFmtId="0" fontId="3" fillId="20" borderId="17" xfId="0" applyFont="1" applyFill="1" applyBorder="1" applyAlignment="1">
      <alignment horizontal="center" vertical="center"/>
    </xf>
    <xf numFmtId="3" fontId="3" fillId="20" borderId="3" xfId="0" applyNumberFormat="1" applyFont="1" applyFill="1" applyBorder="1" applyAlignment="1">
      <alignment horizontal="center"/>
    </xf>
    <xf numFmtId="0" fontId="7" fillId="20" borderId="3" xfId="0" applyFont="1" applyFill="1" applyBorder="1" applyAlignment="1">
      <alignment horizontal="left"/>
    </xf>
    <xf numFmtId="1" fontId="0" fillId="20" borderId="0" xfId="0" applyNumberFormat="1" applyFill="1"/>
    <xf numFmtId="1" fontId="14" fillId="5" borderId="0" xfId="0" applyNumberFormat="1" applyFont="1" applyFill="1"/>
    <xf numFmtId="1" fontId="0" fillId="5" borderId="0" xfId="0" applyNumberFormat="1" applyFill="1"/>
    <xf numFmtId="0" fontId="0" fillId="5" borderId="0" xfId="0" applyFill="1"/>
    <xf numFmtId="0" fontId="31" fillId="0" borderId="12" xfId="0" applyFont="1" applyBorder="1" applyAlignment="1">
      <alignment horizontal="left"/>
    </xf>
    <xf numFmtId="0" fontId="4" fillId="2" borderId="0" xfId="0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0" fontId="29" fillId="9" borderId="14" xfId="0" applyFont="1" applyFill="1" applyBorder="1" applyAlignment="1">
      <alignment vertical="center"/>
    </xf>
    <xf numFmtId="2" fontId="29" fillId="20" borderId="3" xfId="0" applyNumberFormat="1" applyFont="1" applyFill="1" applyBorder="1" applyAlignment="1">
      <alignment horizontal="center" vertical="center"/>
    </xf>
    <xf numFmtId="1" fontId="3" fillId="20" borderId="3" xfId="0" applyNumberFormat="1" applyFont="1" applyFill="1" applyBorder="1" applyAlignment="1">
      <alignment vertical="center"/>
    </xf>
    <xf numFmtId="1" fontId="29" fillId="20" borderId="3" xfId="0" applyNumberFormat="1" applyFont="1" applyFill="1" applyBorder="1" applyAlignment="1">
      <alignment horizontal="center" vertical="center"/>
    </xf>
    <xf numFmtId="1" fontId="26" fillId="20" borderId="0" xfId="0" applyNumberFormat="1" applyFont="1" applyFill="1"/>
    <xf numFmtId="0" fontId="26" fillId="20" borderId="0" xfId="0" applyFont="1" applyFill="1"/>
    <xf numFmtId="2" fontId="29" fillId="5" borderId="12" xfId="0" applyNumberFormat="1" applyFont="1" applyFill="1" applyBorder="1" applyAlignment="1">
      <alignment horizontal="center" vertical="center"/>
    </xf>
    <xf numFmtId="16" fontId="30" fillId="18" borderId="2" xfId="0" applyNumberFormat="1" applyFont="1" applyFill="1" applyBorder="1" applyAlignment="1">
      <alignment horizontal="center" vertical="center"/>
    </xf>
    <xf numFmtId="0" fontId="30" fillId="18" borderId="4" xfId="0" applyFont="1" applyFill="1" applyBorder="1" applyAlignment="1">
      <alignment horizontal="center" vertical="center"/>
    </xf>
    <xf numFmtId="0" fontId="7" fillId="18" borderId="3" xfId="0" applyFont="1" applyFill="1" applyBorder="1" applyAlignment="1">
      <alignment horizontal="left"/>
    </xf>
    <xf numFmtId="0" fontId="3" fillId="18" borderId="10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3" fontId="29" fillId="18" borderId="3" xfId="0" applyNumberFormat="1" applyFont="1" applyFill="1" applyBorder="1" applyAlignment="1">
      <alignment horizontal="center"/>
    </xf>
    <xf numFmtId="2" fontId="29" fillId="18" borderId="3" xfId="0" applyNumberFormat="1" applyFont="1" applyFill="1" applyBorder="1" applyAlignment="1">
      <alignment horizontal="center" vertical="center"/>
    </xf>
    <xf numFmtId="1" fontId="29" fillId="18" borderId="3" xfId="0" applyNumberFormat="1" applyFont="1" applyFill="1" applyBorder="1" applyAlignment="1">
      <alignment horizontal="center" vertical="center"/>
    </xf>
    <xf numFmtId="165" fontId="3" fillId="18" borderId="3" xfId="0" applyNumberFormat="1" applyFont="1" applyFill="1" applyBorder="1" applyAlignment="1">
      <alignment horizontal="center" vertical="center"/>
    </xf>
    <xf numFmtId="1" fontId="3" fillId="18" borderId="3" xfId="0" applyNumberFormat="1" applyFont="1" applyFill="1" applyBorder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 vertical="center"/>
    </xf>
    <xf numFmtId="0" fontId="36" fillId="18" borderId="3" xfId="0" applyFont="1" applyFill="1" applyBorder="1"/>
    <xf numFmtId="1" fontId="22" fillId="18" borderId="0" xfId="0" applyNumberFormat="1" applyFont="1" applyFill="1"/>
    <xf numFmtId="1" fontId="26" fillId="18" borderId="0" xfId="0" applyNumberFormat="1" applyFont="1" applyFill="1"/>
    <xf numFmtId="0" fontId="26" fillId="18" borderId="0" xfId="0" applyFont="1" applyFill="1"/>
    <xf numFmtId="165" fontId="3" fillId="5" borderId="3" xfId="0" applyNumberFormat="1" applyFont="1" applyFill="1" applyBorder="1" applyAlignment="1">
      <alignment horizontal="center" vertical="center"/>
    </xf>
    <xf numFmtId="0" fontId="29" fillId="9" borderId="5" xfId="0" applyFont="1" applyFill="1" applyBorder="1" applyAlignment="1">
      <alignment vertical="center"/>
    </xf>
    <xf numFmtId="0" fontId="29" fillId="9" borderId="25" xfId="0" applyFont="1" applyFill="1" applyBorder="1" applyAlignment="1">
      <alignment vertical="center"/>
    </xf>
    <xf numFmtId="0" fontId="29" fillId="9" borderId="26" xfId="0" applyFont="1" applyFill="1" applyBorder="1" applyAlignment="1">
      <alignment vertical="center"/>
    </xf>
    <xf numFmtId="3" fontId="29" fillId="5" borderId="3" xfId="0" applyNumberFormat="1" applyFont="1" applyFill="1" applyBorder="1" applyAlignment="1">
      <alignment horizontal="center"/>
    </xf>
    <xf numFmtId="0" fontId="29" fillId="9" borderId="14" xfId="0" applyFont="1" applyFill="1" applyBorder="1" applyAlignment="1">
      <alignment horizontal="center" vertical="center"/>
    </xf>
    <xf numFmtId="2" fontId="29" fillId="5" borderId="3" xfId="0" applyNumberFormat="1" applyFont="1" applyFill="1" applyBorder="1" applyAlignment="1">
      <alignment horizontal="center" vertical="center"/>
    </xf>
    <xf numFmtId="2" fontId="3" fillId="15" borderId="3" xfId="0" applyNumberFormat="1" applyFont="1" applyFill="1" applyBorder="1" applyAlignment="1">
      <alignment horizontal="center" vertical="center"/>
    </xf>
    <xf numFmtId="2" fontId="3" fillId="12" borderId="3" xfId="0" applyNumberFormat="1" applyFont="1" applyFill="1" applyBorder="1" applyAlignment="1">
      <alignment horizontal="center" vertical="center"/>
    </xf>
    <xf numFmtId="2" fontId="3" fillId="26" borderId="3" xfId="0" applyNumberFormat="1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29" fillId="9" borderId="18" xfId="0" applyFont="1" applyFill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 wrapText="1"/>
    </xf>
    <xf numFmtId="2" fontId="3" fillId="2" borderId="5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2" fontId="3" fillId="25" borderId="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43" fillId="0" borderId="0" xfId="0" applyFont="1" applyAlignment="1">
      <alignment horizontal="center" vertical="center"/>
    </xf>
    <xf numFmtId="3" fontId="20" fillId="0" borderId="0" xfId="0" applyNumberFormat="1" applyFont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6" fontId="30" fillId="0" borderId="29" xfId="0" applyNumberFormat="1" applyFont="1" applyBorder="1" applyAlignment="1">
      <alignment horizontal="center" vertical="center"/>
    </xf>
    <xf numFmtId="16" fontId="5" fillId="0" borderId="30" xfId="0" applyNumberFormat="1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/>
    </xf>
    <xf numFmtId="1" fontId="11" fillId="0" borderId="15" xfId="0" applyNumberFormat="1" applyFont="1" applyBorder="1" applyAlignment="1">
      <alignment horizontal="center"/>
    </xf>
    <xf numFmtId="0" fontId="36" fillId="0" borderId="0" xfId="0" applyFont="1"/>
    <xf numFmtId="1" fontId="29" fillId="0" borderId="12" xfId="0" applyNumberFormat="1" applyFont="1" applyBorder="1" applyAlignment="1">
      <alignment horizontal="center" vertical="center"/>
    </xf>
    <xf numFmtId="0" fontId="12" fillId="2" borderId="15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 wrapText="1"/>
    </xf>
    <xf numFmtId="16" fontId="30" fillId="18" borderId="29" xfId="0" applyNumberFormat="1" applyFont="1" applyFill="1" applyBorder="1" applyAlignment="1">
      <alignment horizontal="center" vertical="center"/>
    </xf>
    <xf numFmtId="0" fontId="31" fillId="18" borderId="3" xfId="0" applyFont="1" applyFill="1" applyBorder="1" applyAlignment="1">
      <alignment horizontal="left"/>
    </xf>
    <xf numFmtId="0" fontId="29" fillId="18" borderId="14" xfId="0" applyFont="1" applyFill="1" applyBorder="1" applyAlignment="1">
      <alignment vertical="center"/>
    </xf>
    <xf numFmtId="0" fontId="29" fillId="18" borderId="3" xfId="0" applyFont="1" applyFill="1" applyBorder="1" applyAlignment="1">
      <alignment horizontal="center" vertical="center"/>
    </xf>
    <xf numFmtId="2" fontId="35" fillId="18" borderId="3" xfId="0" applyNumberFormat="1" applyFont="1" applyFill="1" applyBorder="1" applyAlignment="1">
      <alignment horizontal="center" vertical="center"/>
    </xf>
    <xf numFmtId="0" fontId="36" fillId="18" borderId="12" xfId="0" applyFont="1" applyFill="1" applyBorder="1"/>
    <xf numFmtId="1" fontId="29" fillId="18" borderId="12" xfId="0" applyNumberFormat="1" applyFont="1" applyFill="1" applyBorder="1" applyAlignment="1">
      <alignment horizontal="center" vertical="center"/>
    </xf>
    <xf numFmtId="0" fontId="36" fillId="18" borderId="0" xfId="0" applyFont="1" applyFill="1"/>
    <xf numFmtId="2" fontId="3" fillId="14" borderId="3" xfId="0" applyNumberFormat="1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19" fillId="2" borderId="31" xfId="0" applyFont="1" applyFill="1" applyBorder="1" applyAlignment="1">
      <alignment horizontal="center"/>
    </xf>
    <xf numFmtId="0" fontId="19" fillId="2" borderId="12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2" fontId="20" fillId="0" borderId="3" xfId="0" applyNumberFormat="1" applyFont="1" applyBorder="1" applyAlignment="1">
      <alignment horizontal="center"/>
    </xf>
    <xf numFmtId="0" fontId="3" fillId="20" borderId="10" xfId="0" applyFont="1" applyFill="1" applyBorder="1" applyAlignment="1">
      <alignment vertical="center"/>
    </xf>
    <xf numFmtId="1" fontId="19" fillId="20" borderId="3" xfId="0" applyNumberFormat="1" applyFont="1" applyFill="1" applyBorder="1" applyAlignment="1">
      <alignment horizontal="center" vertical="center"/>
    </xf>
    <xf numFmtId="2" fontId="20" fillId="20" borderId="3" xfId="0" applyNumberFormat="1" applyFont="1" applyFill="1" applyBorder="1" applyAlignment="1">
      <alignment horizontal="center"/>
    </xf>
    <xf numFmtId="2" fontId="20" fillId="5" borderId="3" xfId="0" applyNumberFormat="1" applyFont="1" applyFill="1" applyBorder="1" applyAlignment="1">
      <alignment horizontal="center"/>
    </xf>
    <xf numFmtId="1" fontId="44" fillId="0" borderId="6" xfId="0" applyNumberFormat="1" applyFont="1" applyBorder="1" applyAlignment="1">
      <alignment horizontal="center"/>
    </xf>
    <xf numFmtId="1" fontId="3" fillId="20" borderId="17" xfId="0" applyNumberFormat="1" applyFont="1" applyFill="1" applyBorder="1" applyAlignment="1">
      <alignment horizontal="center" vertical="center"/>
    </xf>
    <xf numFmtId="2" fontId="20" fillId="0" borderId="3" xfId="0" applyNumberFormat="1" applyFont="1" applyBorder="1"/>
    <xf numFmtId="2" fontId="20" fillId="20" borderId="3" xfId="0" applyNumberFormat="1" applyFont="1" applyFill="1" applyBorder="1"/>
    <xf numFmtId="2" fontId="3" fillId="27" borderId="3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3" fillId="0" borderId="12" xfId="0" applyNumberFormat="1" applyFont="1" applyBorder="1" applyAlignment="1">
      <alignment vertical="center"/>
    </xf>
    <xf numFmtId="10" fontId="39" fillId="0" borderId="6" xfId="0" applyNumberFormat="1" applyFont="1" applyBorder="1" applyAlignment="1">
      <alignment horizontal="center" vertical="center"/>
    </xf>
    <xf numFmtId="3" fontId="3" fillId="17" borderId="3" xfId="0" applyNumberFormat="1" applyFont="1" applyFill="1" applyBorder="1" applyAlignment="1">
      <alignment horizontal="center"/>
    </xf>
    <xf numFmtId="2" fontId="3" fillId="19" borderId="3" xfId="0" applyNumberFormat="1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vertical="center"/>
    </xf>
    <xf numFmtId="0" fontId="3" fillId="9" borderId="14" xfId="0" applyFont="1" applyFill="1" applyBorder="1" applyAlignment="1">
      <alignment vertical="center"/>
    </xf>
    <xf numFmtId="0" fontId="3" fillId="9" borderId="3" xfId="0" applyFont="1" applyFill="1" applyBorder="1" applyAlignment="1">
      <alignment vertical="center"/>
    </xf>
    <xf numFmtId="2" fontId="3" fillId="0" borderId="11" xfId="0" applyNumberFormat="1" applyFont="1" applyBorder="1" applyAlignment="1">
      <alignment vertical="center"/>
    </xf>
    <xf numFmtId="3" fontId="41" fillId="0" borderId="3" xfId="0" applyNumberFormat="1" applyFont="1" applyBorder="1" applyAlignment="1">
      <alignment horizontal="center"/>
    </xf>
    <xf numFmtId="16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22" xfId="0" applyFont="1" applyBorder="1" applyAlignment="1">
      <alignment horizontal="left"/>
    </xf>
    <xf numFmtId="1" fontId="5" fillId="0" borderId="4" xfId="0" applyNumberFormat="1" applyFont="1" applyBorder="1" applyAlignment="1">
      <alignment horizontal="center" vertical="center"/>
    </xf>
    <xf numFmtId="165" fontId="0" fillId="0" borderId="0" xfId="0" applyNumberFormat="1"/>
    <xf numFmtId="165" fontId="44" fillId="0" borderId="6" xfId="0" applyNumberFormat="1" applyFont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2" fontId="3" fillId="5" borderId="12" xfId="0" applyNumberFormat="1" applyFont="1" applyFill="1" applyBorder="1" applyAlignment="1">
      <alignment horizontal="center" vertical="center"/>
    </xf>
    <xf numFmtId="2" fontId="19" fillId="5" borderId="3" xfId="0" applyNumberFormat="1" applyFont="1" applyFill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0" fontId="5" fillId="20" borderId="8" xfId="0" applyFont="1" applyFill="1" applyBorder="1" applyAlignment="1">
      <alignment horizontal="center" vertical="center"/>
    </xf>
    <xf numFmtId="1" fontId="15" fillId="20" borderId="3" xfId="0" applyNumberFormat="1" applyFont="1" applyFill="1" applyBorder="1" applyAlignment="1">
      <alignment horizontal="center" vertical="center"/>
    </xf>
    <xf numFmtId="2" fontId="3" fillId="20" borderId="12" xfId="0" applyNumberFormat="1" applyFont="1" applyFill="1" applyBorder="1" applyAlignment="1">
      <alignment horizontal="center" vertical="center"/>
    </xf>
    <xf numFmtId="1" fontId="3" fillId="20" borderId="3" xfId="0" applyNumberFormat="1" applyFont="1" applyFill="1" applyBorder="1" applyAlignment="1">
      <alignment horizontal="center"/>
    </xf>
    <xf numFmtId="2" fontId="3" fillId="20" borderId="3" xfId="0" applyNumberFormat="1" applyFont="1" applyFill="1" applyBorder="1" applyAlignment="1">
      <alignment vertical="center"/>
    </xf>
    <xf numFmtId="0" fontId="3" fillId="9" borderId="41" xfId="0" applyFont="1" applyFill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/>
    </xf>
    <xf numFmtId="165" fontId="46" fillId="0" borderId="6" xfId="0" applyNumberFormat="1" applyFont="1" applyBorder="1" applyAlignment="1">
      <alignment horizontal="center"/>
    </xf>
    <xf numFmtId="165" fontId="39" fillId="12" borderId="3" xfId="0" applyNumberFormat="1" applyFont="1" applyFill="1" applyBorder="1" applyAlignment="1">
      <alignment horizontal="center" vertical="center"/>
    </xf>
    <xf numFmtId="2" fontId="3" fillId="28" borderId="3" xfId="0" applyNumberFormat="1" applyFont="1" applyFill="1" applyBorder="1" applyAlignment="1">
      <alignment horizontal="center" vertical="center"/>
    </xf>
    <xf numFmtId="16" fontId="5" fillId="0" borderId="2" xfId="0" applyNumberFormat="1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2" fontId="3" fillId="5" borderId="3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wrapText="1"/>
    </xf>
    <xf numFmtId="0" fontId="12" fillId="2" borderId="5" xfId="0" applyFont="1" applyFill="1" applyBorder="1" applyAlignment="1">
      <alignment wrapText="1"/>
    </xf>
    <xf numFmtId="0" fontId="4" fillId="2" borderId="0" xfId="0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2" borderId="3" xfId="0" applyNumberFormat="1" applyFont="1" applyFill="1" applyBorder="1" applyAlignment="1">
      <alignment horizontal="center" vertical="center" wrapText="1"/>
    </xf>
    <xf numFmtId="2" fontId="3" fillId="2" borderId="5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9" fillId="9" borderId="3" xfId="0" applyFont="1" applyFill="1" applyBorder="1" applyAlignment="1">
      <alignment horizontal="center" vertical="center"/>
    </xf>
    <xf numFmtId="0" fontId="29" fillId="9" borderId="14" xfId="0" applyFont="1" applyFill="1" applyBorder="1" applyAlignment="1">
      <alignment horizontal="center" vertical="center"/>
    </xf>
    <xf numFmtId="2" fontId="3" fillId="26" borderId="3" xfId="0" applyNumberFormat="1" applyFont="1" applyFill="1" applyBorder="1" applyAlignment="1">
      <alignment horizontal="center" vertical="center"/>
    </xf>
    <xf numFmtId="2" fontId="29" fillId="0" borderId="3" xfId="0" applyNumberFormat="1" applyFont="1" applyBorder="1" applyAlignment="1">
      <alignment horizontal="center" vertical="center"/>
    </xf>
    <xf numFmtId="1" fontId="29" fillId="0" borderId="3" xfId="0" applyNumberFormat="1" applyFont="1" applyBorder="1" applyAlignment="1">
      <alignment horizontal="center" vertical="center"/>
    </xf>
    <xf numFmtId="0" fontId="29" fillId="9" borderId="18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2" fontId="3" fillId="21" borderId="3" xfId="0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/>
    </xf>
    <xf numFmtId="2" fontId="27" fillId="4" borderId="0" xfId="0" applyNumberFormat="1" applyFont="1" applyFill="1" applyAlignment="1">
      <alignment horizontal="center"/>
    </xf>
    <xf numFmtId="164" fontId="28" fillId="0" borderId="9" xfId="0" applyNumberFormat="1" applyFont="1" applyBorder="1" applyAlignment="1">
      <alignment horizontal="center"/>
    </xf>
    <xf numFmtId="2" fontId="29" fillId="2" borderId="1" xfId="0" applyNumberFormat="1" applyFont="1" applyFill="1" applyBorder="1" applyAlignment="1">
      <alignment horizontal="center" vertical="center" wrapText="1"/>
    </xf>
    <xf numFmtId="2" fontId="29" fillId="2" borderId="3" xfId="0" applyNumberFormat="1" applyFont="1" applyFill="1" applyBorder="1" applyAlignment="1">
      <alignment horizontal="center" vertical="center" wrapText="1"/>
    </xf>
    <xf numFmtId="2" fontId="29" fillId="2" borderId="5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wrapText="1"/>
    </xf>
    <xf numFmtId="0" fontId="29" fillId="2" borderId="3" xfId="0" applyFont="1" applyFill="1" applyBorder="1" applyAlignment="1">
      <alignment horizontal="center" wrapText="1"/>
    </xf>
    <xf numFmtId="0" fontId="29" fillId="2" borderId="5" xfId="0" applyFont="1" applyFill="1" applyBorder="1" applyAlignment="1">
      <alignment horizont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wrapText="1"/>
    </xf>
    <xf numFmtId="0" fontId="29" fillId="2" borderId="5" xfId="0" applyFont="1" applyFill="1" applyBorder="1" applyAlignment="1">
      <alignment wrapText="1"/>
    </xf>
    <xf numFmtId="2" fontId="3" fillId="9" borderId="3" xfId="0" applyNumberFormat="1" applyFont="1" applyFill="1" applyBorder="1" applyAlignment="1">
      <alignment horizontal="center" vertical="center"/>
    </xf>
    <xf numFmtId="2" fontId="3" fillId="15" borderId="3" xfId="0" applyNumberFormat="1" applyFont="1" applyFill="1" applyBorder="1" applyAlignment="1">
      <alignment horizontal="center" vertical="center"/>
    </xf>
    <xf numFmtId="2" fontId="3" fillId="24" borderId="3" xfId="0" applyNumberFormat="1" applyFont="1" applyFill="1" applyBorder="1" applyAlignment="1">
      <alignment horizontal="center" vertical="center"/>
    </xf>
    <xf numFmtId="2" fontId="3" fillId="12" borderId="3" xfId="0" applyNumberFormat="1" applyFont="1" applyFill="1" applyBorder="1" applyAlignment="1">
      <alignment horizontal="center" vertical="center"/>
    </xf>
    <xf numFmtId="2" fontId="3" fillId="23" borderId="3" xfId="0" applyNumberFormat="1" applyFont="1" applyFill="1" applyBorder="1" applyAlignment="1">
      <alignment horizontal="center" vertical="center"/>
    </xf>
    <xf numFmtId="2" fontId="3" fillId="22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3" fillId="9" borderId="39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40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/>
    </xf>
    <xf numFmtId="0" fontId="3" fillId="9" borderId="37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/>
    </xf>
    <xf numFmtId="0" fontId="3" fillId="0" borderId="38" xfId="0" applyFont="1" applyBorder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16" borderId="19" xfId="0" applyFont="1" applyFill="1" applyBorder="1" applyAlignment="1">
      <alignment horizontal="center" vertical="center"/>
    </xf>
    <xf numFmtId="0" fontId="3" fillId="16" borderId="20" xfId="0" applyFont="1" applyFill="1" applyBorder="1" applyAlignment="1">
      <alignment horizontal="center" vertical="center"/>
    </xf>
    <xf numFmtId="0" fontId="3" fillId="16" borderId="21" xfId="0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wrapText="1"/>
    </xf>
    <xf numFmtId="0" fontId="3" fillId="19" borderId="3" xfId="0" applyFont="1" applyFill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</cellXfs>
  <cellStyles count="7">
    <cellStyle name="Comma" xfId="4" builtinId="3"/>
    <cellStyle name="Comma 2" xfId="6" xr:uid="{2A9E6141-0988-46EA-911C-66F3F8CC0BBE}"/>
    <cellStyle name="Normal" xfId="0" builtinId="0"/>
    <cellStyle name="Normal 2" xfId="1" xr:uid="{00000000-0005-0000-0000-000002000000}"/>
    <cellStyle name="Normal 3" xfId="5" xr:uid="{FCF3860C-8292-4972-A743-918436AEFB85}"/>
    <cellStyle name="Percent 2" xfId="2" xr:uid="{00000000-0005-0000-0000-000003000000}"/>
    <cellStyle name="Percent 3" xfId="3" xr:uid="{00000000-0005-0000-0000-000004000000}"/>
  </cellStyles>
  <dxfs count="11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/>
        <condense val="0"/>
        <extend val="0"/>
        <color indexed="10"/>
      </font>
    </dxf>
    <dxf>
      <border diagonalUp="0" diagonalDown="0">
        <left style="double">
          <color indexed="64"/>
        </left>
        <right/>
        <top/>
        <bottom/>
        <vertical/>
        <horizontal/>
      </border>
    </dxf>
    <dxf>
      <border diagonalUp="0" diagonalDown="0">
        <left style="double">
          <color indexed="64"/>
        </left>
        <right/>
        <top/>
        <bottom/>
        <vertical/>
        <horizontal/>
      </border>
    </dxf>
    <dxf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aramond"/>
        <family val="1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aramond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Garamond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opperplate Gothic Light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Script MT Bold"/>
        <family val="4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hair">
          <color indexed="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cript MT Bold"/>
        <family val="4"/>
        <scheme val="none"/>
      </font>
      <numFmt numFmtId="21" formatCode="d\-mmm"/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hair">
          <color indexed="22"/>
        </top>
        <bottom/>
        <vertical/>
        <horizontal/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</dxfs>
  <tableStyles count="0" defaultTableStyle="TableStyleMedium9" defaultPivotStyle="PivotStyleLight16"/>
  <colors>
    <mruColors>
      <color rgb="FF00FF00"/>
      <color rgb="FF2E2E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UBLIC\NIGEL\New%20line%20downtim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%20Reporting\2012%20Business%20Plan%20rev5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Forsyth\Bottling%20Reports%20'26\GBL_Line_Downtime_2026.xlsx" TargetMode="External"/><Relationship Id="rId1" Type="http://schemas.openxmlformats.org/officeDocument/2006/relationships/externalLinkPath" Target="GBL_Line_Downtime_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Forsyth\Bottling%20Reports%20'26\Glue%20usage%20for%20Bottling%202026.xlsb.xlsx" TargetMode="External"/><Relationship Id="rId1" Type="http://schemas.openxmlformats.org/officeDocument/2006/relationships/externalLinkPath" Target="Glue%20usage%20for%20Bottling%202026.xlsb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Bottling%20Reports%20'25/GBL_Line_Downtime_2025.xlsx" TargetMode="External"/><Relationship Id="rId2" Type="http://schemas.openxmlformats.org/officeDocument/2006/relationships/externalLinkPath" Target="file:///O:\Forsyth\Bottling%20Reports%20'25\GBL_Line_Downtime_2025.xlsx" TargetMode="External"/><Relationship Id="rId1" Type="http://schemas.openxmlformats.org/officeDocument/2006/relationships/externalLinkPath" Target="/Forsyth/Bottling%20Reports%20'25/GBL_Line_Downtime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Monthly summary loss"/>
      <sheetName val="Pareto analysis month "/>
      <sheetName val=" Jan"/>
      <sheetName val="Feb"/>
      <sheetName val="Mar"/>
      <sheetName val="April"/>
      <sheetName val="May"/>
      <sheetName val="June"/>
      <sheetName val="July"/>
      <sheetName val="Aug"/>
      <sheetName val="Sept"/>
      <sheetName val="Oct"/>
      <sheetName val="Nov"/>
      <sheetName val="Dec"/>
      <sheetName val="Pareto Data"/>
    </sheetNames>
    <sheetDataSet>
      <sheetData sheetId="0" refreshError="1"/>
      <sheetData sheetId="1" refreshError="1"/>
      <sheetData sheetId="2" refreshError="1"/>
      <sheetData sheetId="3" refreshError="1">
        <row r="2">
          <cell r="F2" t="str">
            <v>Line Downtime for January 2003</v>
          </cell>
        </row>
        <row r="4">
          <cell r="E4" t="str">
            <v>Delays (mins)</v>
          </cell>
        </row>
        <row r="5">
          <cell r="B5" t="str">
            <v>Start time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P8">
            <v>0</v>
          </cell>
        </row>
        <row r="9">
          <cell r="A9">
            <v>2</v>
          </cell>
          <cell r="P9">
            <v>0</v>
          </cell>
        </row>
        <row r="10">
          <cell r="A10">
            <v>3</v>
          </cell>
          <cell r="M10">
            <v>11</v>
          </cell>
          <cell r="P10">
            <v>11</v>
          </cell>
          <cell r="Q10">
            <v>27</v>
          </cell>
        </row>
        <row r="11">
          <cell r="A11">
            <v>4</v>
          </cell>
          <cell r="F11">
            <v>13</v>
          </cell>
          <cell r="I11">
            <v>8</v>
          </cell>
          <cell r="J11">
            <v>43</v>
          </cell>
          <cell r="P11">
            <v>64</v>
          </cell>
        </row>
        <row r="12">
          <cell r="A12">
            <v>5</v>
          </cell>
          <cell r="F12">
            <v>20</v>
          </cell>
          <cell r="G12">
            <v>8</v>
          </cell>
          <cell r="I12">
            <v>40</v>
          </cell>
          <cell r="P12">
            <v>68</v>
          </cell>
        </row>
        <row r="13">
          <cell r="A13">
            <v>6</v>
          </cell>
          <cell r="F13">
            <v>6</v>
          </cell>
          <cell r="I13">
            <v>9</v>
          </cell>
          <cell r="P13">
            <v>15</v>
          </cell>
        </row>
        <row r="14">
          <cell r="A14">
            <v>7</v>
          </cell>
          <cell r="F14">
            <v>33</v>
          </cell>
          <cell r="P14">
            <v>33</v>
          </cell>
        </row>
        <row r="15">
          <cell r="A15">
            <v>8</v>
          </cell>
          <cell r="F15">
            <v>9</v>
          </cell>
          <cell r="G15">
            <v>4</v>
          </cell>
          <cell r="I15">
            <v>18</v>
          </cell>
          <cell r="P15">
            <v>31</v>
          </cell>
        </row>
        <row r="16">
          <cell r="A16">
            <v>9</v>
          </cell>
          <cell r="F16">
            <v>10</v>
          </cell>
          <cell r="G16">
            <v>4</v>
          </cell>
          <cell r="I16">
            <v>4</v>
          </cell>
          <cell r="P16">
            <v>18</v>
          </cell>
        </row>
        <row r="17">
          <cell r="A17">
            <v>10</v>
          </cell>
          <cell r="F17">
            <v>61</v>
          </cell>
          <cell r="P17">
            <v>61</v>
          </cell>
        </row>
        <row r="18">
          <cell r="A18">
            <v>11</v>
          </cell>
          <cell r="F18">
            <v>7</v>
          </cell>
          <cell r="K18">
            <v>18</v>
          </cell>
          <cell r="P18">
            <v>25</v>
          </cell>
        </row>
        <row r="19">
          <cell r="A19">
            <v>12</v>
          </cell>
          <cell r="F19">
            <v>30</v>
          </cell>
          <cell r="G19">
            <v>4</v>
          </cell>
          <cell r="H19">
            <v>25</v>
          </cell>
          <cell r="I19">
            <v>5</v>
          </cell>
          <cell r="P19">
            <v>64</v>
          </cell>
        </row>
        <row r="20">
          <cell r="A20">
            <v>13</v>
          </cell>
          <cell r="F20">
            <v>24</v>
          </cell>
          <cell r="P20">
            <v>24</v>
          </cell>
        </row>
        <row r="21">
          <cell r="A21">
            <v>14</v>
          </cell>
          <cell r="F21">
            <v>78</v>
          </cell>
          <cell r="J21">
            <v>15</v>
          </cell>
          <cell r="P21">
            <v>93</v>
          </cell>
        </row>
        <row r="22">
          <cell r="A22">
            <v>15</v>
          </cell>
          <cell r="F22">
            <v>14</v>
          </cell>
          <cell r="I22">
            <v>4</v>
          </cell>
          <cell r="P22">
            <v>18</v>
          </cell>
        </row>
        <row r="23">
          <cell r="A23">
            <v>16</v>
          </cell>
          <cell r="H23">
            <v>8</v>
          </cell>
          <cell r="K23">
            <v>5</v>
          </cell>
          <cell r="M23">
            <v>20</v>
          </cell>
          <cell r="P23">
            <v>33</v>
          </cell>
        </row>
        <row r="24">
          <cell r="A24">
            <v>17</v>
          </cell>
          <cell r="F24">
            <v>6</v>
          </cell>
          <cell r="K24">
            <v>6</v>
          </cell>
          <cell r="O24">
            <v>6</v>
          </cell>
          <cell r="P24">
            <v>18</v>
          </cell>
        </row>
        <row r="25">
          <cell r="A25">
            <v>18</v>
          </cell>
          <cell r="F25">
            <v>14</v>
          </cell>
          <cell r="I25">
            <v>4</v>
          </cell>
          <cell r="P25">
            <v>18</v>
          </cell>
        </row>
        <row r="26">
          <cell r="A26">
            <v>19</v>
          </cell>
          <cell r="F26">
            <v>10</v>
          </cell>
          <cell r="I26">
            <v>32</v>
          </cell>
          <cell r="M26">
            <v>5</v>
          </cell>
          <cell r="P26">
            <v>47</v>
          </cell>
        </row>
        <row r="27">
          <cell r="A27">
            <v>20</v>
          </cell>
          <cell r="F27">
            <v>129</v>
          </cell>
          <cell r="G27">
            <v>3</v>
          </cell>
          <cell r="J27">
            <v>8</v>
          </cell>
          <cell r="P27">
            <v>140</v>
          </cell>
        </row>
        <row r="28">
          <cell r="A28">
            <v>21</v>
          </cell>
          <cell r="F28">
            <v>99</v>
          </cell>
          <cell r="P28">
            <v>99</v>
          </cell>
        </row>
        <row r="29">
          <cell r="A29">
            <v>22</v>
          </cell>
          <cell r="F29">
            <v>90</v>
          </cell>
          <cell r="P29">
            <v>90</v>
          </cell>
        </row>
        <row r="30">
          <cell r="A30">
            <v>23</v>
          </cell>
          <cell r="F30">
            <v>41</v>
          </cell>
          <cell r="H30">
            <v>10</v>
          </cell>
          <cell r="O30">
            <v>13</v>
          </cell>
          <cell r="P30">
            <v>64</v>
          </cell>
        </row>
        <row r="31">
          <cell r="A31">
            <v>24</v>
          </cell>
          <cell r="F31">
            <v>43</v>
          </cell>
          <cell r="H31">
            <v>11</v>
          </cell>
          <cell r="M31">
            <v>12</v>
          </cell>
          <cell r="P31">
            <v>66</v>
          </cell>
        </row>
        <row r="32">
          <cell r="A32" t="str">
            <v>Totals</v>
          </cell>
          <cell r="D32">
            <v>0</v>
          </cell>
          <cell r="E32">
            <v>0</v>
          </cell>
          <cell r="F32">
            <v>737</v>
          </cell>
          <cell r="G32">
            <v>23</v>
          </cell>
          <cell r="H32">
            <v>54</v>
          </cell>
          <cell r="I32">
            <v>124</v>
          </cell>
          <cell r="J32">
            <v>66</v>
          </cell>
          <cell r="K32">
            <v>29</v>
          </cell>
          <cell r="L32">
            <v>0</v>
          </cell>
          <cell r="M32">
            <v>48</v>
          </cell>
          <cell r="N32">
            <v>0</v>
          </cell>
          <cell r="O32">
            <v>19</v>
          </cell>
          <cell r="P32">
            <v>1100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4" refreshError="1">
        <row r="2">
          <cell r="F2" t="str">
            <v>Line Downtime for February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F8">
            <v>21</v>
          </cell>
          <cell r="I8">
            <v>5</v>
          </cell>
          <cell r="M8">
            <v>77</v>
          </cell>
          <cell r="P8">
            <v>103</v>
          </cell>
        </row>
        <row r="9">
          <cell r="A9">
            <v>2</v>
          </cell>
          <cell r="F9">
            <v>55</v>
          </cell>
          <cell r="I9">
            <v>5</v>
          </cell>
          <cell r="P9">
            <v>60</v>
          </cell>
        </row>
        <row r="10">
          <cell r="A10">
            <v>3</v>
          </cell>
          <cell r="H10">
            <v>114</v>
          </cell>
          <cell r="M10">
            <v>26</v>
          </cell>
          <cell r="P10">
            <v>140</v>
          </cell>
        </row>
        <row r="11">
          <cell r="A11">
            <v>4</v>
          </cell>
          <cell r="F11">
            <v>14</v>
          </cell>
          <cell r="I11">
            <v>10</v>
          </cell>
          <cell r="M11">
            <v>82</v>
          </cell>
          <cell r="P11">
            <v>106</v>
          </cell>
        </row>
        <row r="12">
          <cell r="A12">
            <v>5</v>
          </cell>
          <cell r="M12">
            <v>40</v>
          </cell>
          <cell r="P12">
            <v>40</v>
          </cell>
        </row>
        <row r="13">
          <cell r="A13">
            <v>6</v>
          </cell>
          <cell r="F13">
            <v>8</v>
          </cell>
          <cell r="M13">
            <v>11</v>
          </cell>
          <cell r="O13">
            <v>6</v>
          </cell>
          <cell r="P13">
            <v>25</v>
          </cell>
        </row>
        <row r="14">
          <cell r="A14">
            <v>7</v>
          </cell>
          <cell r="F14">
            <v>43</v>
          </cell>
          <cell r="H14">
            <v>69</v>
          </cell>
          <cell r="P14">
            <v>112</v>
          </cell>
        </row>
        <row r="15">
          <cell r="A15">
            <v>8</v>
          </cell>
          <cell r="F15">
            <v>71</v>
          </cell>
          <cell r="H15">
            <v>126</v>
          </cell>
          <cell r="J15">
            <v>9</v>
          </cell>
          <cell r="P15">
            <v>206</v>
          </cell>
        </row>
        <row r="16">
          <cell r="A16">
            <v>9</v>
          </cell>
          <cell r="P16">
            <v>0</v>
          </cell>
        </row>
        <row r="17">
          <cell r="A17">
            <v>10</v>
          </cell>
          <cell r="F17">
            <v>48</v>
          </cell>
          <cell r="G17">
            <v>8</v>
          </cell>
          <cell r="H17">
            <v>6</v>
          </cell>
          <cell r="P17">
            <v>62</v>
          </cell>
        </row>
        <row r="18">
          <cell r="A18">
            <v>11</v>
          </cell>
          <cell r="F18">
            <v>70</v>
          </cell>
          <cell r="H18">
            <v>20</v>
          </cell>
          <cell r="M18">
            <v>25</v>
          </cell>
          <cell r="P18">
            <v>115</v>
          </cell>
        </row>
        <row r="19">
          <cell r="A19">
            <v>12</v>
          </cell>
          <cell r="F19">
            <v>13</v>
          </cell>
          <cell r="P19">
            <v>13</v>
          </cell>
        </row>
        <row r="20">
          <cell r="A20">
            <v>13</v>
          </cell>
          <cell r="F20">
            <v>54</v>
          </cell>
          <cell r="H20">
            <v>5</v>
          </cell>
          <cell r="P20">
            <v>59</v>
          </cell>
        </row>
        <row r="21">
          <cell r="A21">
            <v>14</v>
          </cell>
          <cell r="F21">
            <v>5</v>
          </cell>
          <cell r="H21">
            <v>67</v>
          </cell>
          <cell r="M21">
            <v>10</v>
          </cell>
          <cell r="P21">
            <v>82</v>
          </cell>
        </row>
        <row r="22">
          <cell r="A22">
            <v>15</v>
          </cell>
          <cell r="F22">
            <v>56</v>
          </cell>
          <cell r="P22">
            <v>56</v>
          </cell>
        </row>
        <row r="23">
          <cell r="A23">
            <v>16</v>
          </cell>
          <cell r="M23">
            <v>40</v>
          </cell>
          <cell r="O23">
            <v>13</v>
          </cell>
          <cell r="P23">
            <v>53</v>
          </cell>
        </row>
        <row r="24">
          <cell r="A24">
            <v>17</v>
          </cell>
          <cell r="F24">
            <v>28</v>
          </cell>
          <cell r="J24">
            <v>4</v>
          </cell>
          <cell r="M24">
            <v>92</v>
          </cell>
          <cell r="P24">
            <v>124</v>
          </cell>
        </row>
        <row r="25">
          <cell r="A25">
            <v>18</v>
          </cell>
          <cell r="F25">
            <v>14</v>
          </cell>
          <cell r="H25">
            <v>41</v>
          </cell>
          <cell r="M25">
            <v>47</v>
          </cell>
          <cell r="P25">
            <v>102</v>
          </cell>
        </row>
        <row r="26">
          <cell r="A26">
            <v>19</v>
          </cell>
          <cell r="F26">
            <v>53</v>
          </cell>
          <cell r="J26">
            <v>10</v>
          </cell>
          <cell r="L26">
            <v>10</v>
          </cell>
          <cell r="M26">
            <v>28</v>
          </cell>
          <cell r="P26">
            <v>101</v>
          </cell>
        </row>
        <row r="27">
          <cell r="A27">
            <v>20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0</v>
          </cell>
          <cell r="E32">
            <v>0</v>
          </cell>
          <cell r="F32">
            <v>553</v>
          </cell>
          <cell r="G32">
            <v>8</v>
          </cell>
          <cell r="H32">
            <v>448</v>
          </cell>
          <cell r="I32">
            <v>20</v>
          </cell>
          <cell r="J32">
            <v>23</v>
          </cell>
          <cell r="K32">
            <v>0</v>
          </cell>
          <cell r="L32">
            <v>10</v>
          </cell>
          <cell r="M32">
            <v>478</v>
          </cell>
          <cell r="N32">
            <v>0</v>
          </cell>
          <cell r="O32">
            <v>19</v>
          </cell>
          <cell r="P32">
            <v>1559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5" refreshError="1">
        <row r="2">
          <cell r="F2" t="str">
            <v>Line Downtime for March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F8">
            <v>18</v>
          </cell>
          <cell r="H8">
            <v>64</v>
          </cell>
          <cell r="O8">
            <v>8</v>
          </cell>
          <cell r="P8">
            <v>90</v>
          </cell>
        </row>
        <row r="9">
          <cell r="A9">
            <v>2</v>
          </cell>
          <cell r="F9">
            <v>26</v>
          </cell>
          <cell r="H9">
            <v>78</v>
          </cell>
          <cell r="P9">
            <v>104</v>
          </cell>
        </row>
        <row r="10">
          <cell r="A10">
            <v>3</v>
          </cell>
          <cell r="F10">
            <v>7</v>
          </cell>
          <cell r="I10">
            <v>80</v>
          </cell>
          <cell r="J10">
            <v>80</v>
          </cell>
          <cell r="P10">
            <v>167</v>
          </cell>
        </row>
        <row r="11">
          <cell r="A11">
            <v>4</v>
          </cell>
          <cell r="P11">
            <v>0</v>
          </cell>
        </row>
        <row r="12">
          <cell r="A12">
            <v>5</v>
          </cell>
          <cell r="F12">
            <v>16</v>
          </cell>
          <cell r="P12">
            <v>16</v>
          </cell>
        </row>
        <row r="13">
          <cell r="A13">
            <v>6</v>
          </cell>
          <cell r="F13">
            <v>40</v>
          </cell>
          <cell r="G13">
            <v>6</v>
          </cell>
          <cell r="H13">
            <v>5</v>
          </cell>
          <cell r="I13">
            <v>10</v>
          </cell>
          <cell r="J13">
            <v>7</v>
          </cell>
          <cell r="P13">
            <v>68</v>
          </cell>
        </row>
        <row r="14">
          <cell r="A14">
            <v>7</v>
          </cell>
          <cell r="F14">
            <v>6</v>
          </cell>
          <cell r="G14">
            <v>5</v>
          </cell>
          <cell r="H14">
            <v>14</v>
          </cell>
          <cell r="K14">
            <v>12</v>
          </cell>
          <cell r="M14">
            <v>22</v>
          </cell>
          <cell r="P14">
            <v>59</v>
          </cell>
        </row>
        <row r="15">
          <cell r="A15">
            <v>8</v>
          </cell>
          <cell r="F15">
            <v>45</v>
          </cell>
          <cell r="G15">
            <v>21</v>
          </cell>
          <cell r="I15">
            <v>5</v>
          </cell>
          <cell r="P15">
            <v>71</v>
          </cell>
        </row>
        <row r="16">
          <cell r="A16">
            <v>9</v>
          </cell>
          <cell r="F16">
            <v>6</v>
          </cell>
          <cell r="G16">
            <v>5</v>
          </cell>
          <cell r="H16">
            <v>32</v>
          </cell>
          <cell r="P16">
            <v>43</v>
          </cell>
        </row>
        <row r="17">
          <cell r="A17">
            <v>10</v>
          </cell>
          <cell r="F17">
            <v>85</v>
          </cell>
          <cell r="J17">
            <v>10</v>
          </cell>
          <cell r="P17">
            <v>95</v>
          </cell>
        </row>
        <row r="18">
          <cell r="A18">
            <v>11</v>
          </cell>
          <cell r="F18">
            <v>16</v>
          </cell>
          <cell r="H18">
            <v>80</v>
          </cell>
          <cell r="K18">
            <v>4</v>
          </cell>
          <cell r="M18">
            <v>15</v>
          </cell>
          <cell r="P18">
            <v>115</v>
          </cell>
        </row>
        <row r="19">
          <cell r="A19">
            <v>12</v>
          </cell>
          <cell r="F19">
            <v>39</v>
          </cell>
          <cell r="H19">
            <v>22</v>
          </cell>
          <cell r="P19">
            <v>61</v>
          </cell>
        </row>
        <row r="20">
          <cell r="A20">
            <v>13</v>
          </cell>
          <cell r="F20">
            <v>72</v>
          </cell>
          <cell r="H20">
            <v>26</v>
          </cell>
          <cell r="P20">
            <v>98</v>
          </cell>
        </row>
        <row r="21">
          <cell r="A21">
            <v>14</v>
          </cell>
          <cell r="F21">
            <v>71</v>
          </cell>
          <cell r="H21">
            <v>68</v>
          </cell>
          <cell r="P21">
            <v>139</v>
          </cell>
        </row>
        <row r="22">
          <cell r="A22">
            <v>15</v>
          </cell>
          <cell r="F22">
            <v>49</v>
          </cell>
          <cell r="J22">
            <v>5</v>
          </cell>
          <cell r="P22">
            <v>54</v>
          </cell>
        </row>
        <row r="23">
          <cell r="A23">
            <v>16</v>
          </cell>
          <cell r="H23">
            <v>277</v>
          </cell>
          <cell r="K23">
            <v>6</v>
          </cell>
          <cell r="P23">
            <v>283</v>
          </cell>
        </row>
        <row r="24">
          <cell r="A24">
            <v>17</v>
          </cell>
          <cell r="K24">
            <v>12</v>
          </cell>
          <cell r="M24">
            <v>28</v>
          </cell>
          <cell r="P24">
            <v>40</v>
          </cell>
        </row>
        <row r="25">
          <cell r="A25">
            <v>18</v>
          </cell>
          <cell r="F25">
            <v>5</v>
          </cell>
          <cell r="H25">
            <v>21</v>
          </cell>
          <cell r="I25">
            <v>58</v>
          </cell>
          <cell r="P25">
            <v>84</v>
          </cell>
        </row>
        <row r="26">
          <cell r="A26">
            <v>19</v>
          </cell>
          <cell r="I26">
            <v>13</v>
          </cell>
          <cell r="M26">
            <v>12</v>
          </cell>
          <cell r="P26">
            <v>25</v>
          </cell>
        </row>
        <row r="27">
          <cell r="A27">
            <v>20</v>
          </cell>
          <cell r="H27">
            <v>7</v>
          </cell>
          <cell r="P27">
            <v>7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0</v>
          </cell>
          <cell r="E32">
            <v>0</v>
          </cell>
          <cell r="F32">
            <v>501</v>
          </cell>
          <cell r="G32">
            <v>37</v>
          </cell>
          <cell r="H32">
            <v>694</v>
          </cell>
          <cell r="I32">
            <v>166</v>
          </cell>
          <cell r="J32">
            <v>102</v>
          </cell>
          <cell r="K32">
            <v>34</v>
          </cell>
          <cell r="L32">
            <v>0</v>
          </cell>
          <cell r="M32">
            <v>77</v>
          </cell>
          <cell r="N32">
            <v>0</v>
          </cell>
          <cell r="O32">
            <v>8</v>
          </cell>
          <cell r="P32">
            <v>1619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6" refreshError="1">
        <row r="2">
          <cell r="F2" t="str">
            <v>Line Downtime for April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H8">
            <v>345</v>
          </cell>
          <cell r="P8">
            <v>345</v>
          </cell>
        </row>
        <row r="9">
          <cell r="A9">
            <v>2</v>
          </cell>
          <cell r="H9">
            <v>65</v>
          </cell>
          <cell r="O9">
            <v>11</v>
          </cell>
          <cell r="P9">
            <v>76</v>
          </cell>
        </row>
        <row r="10">
          <cell r="A10">
            <v>3</v>
          </cell>
          <cell r="H10">
            <v>340</v>
          </cell>
          <cell r="P10">
            <v>340</v>
          </cell>
        </row>
        <row r="11">
          <cell r="A11">
            <v>4</v>
          </cell>
          <cell r="F11">
            <v>5</v>
          </cell>
          <cell r="G11">
            <v>7</v>
          </cell>
          <cell r="H11">
            <v>5</v>
          </cell>
          <cell r="J11">
            <v>4</v>
          </cell>
          <cell r="M11">
            <v>28</v>
          </cell>
          <cell r="P11">
            <v>49</v>
          </cell>
        </row>
        <row r="12">
          <cell r="A12">
            <v>5</v>
          </cell>
          <cell r="H12">
            <v>118</v>
          </cell>
          <cell r="P12">
            <v>118</v>
          </cell>
        </row>
        <row r="13">
          <cell r="A13">
            <v>6</v>
          </cell>
          <cell r="F13">
            <v>20</v>
          </cell>
          <cell r="M13">
            <v>15</v>
          </cell>
          <cell r="P13">
            <v>35</v>
          </cell>
        </row>
        <row r="14">
          <cell r="A14">
            <v>7</v>
          </cell>
          <cell r="H14">
            <v>87</v>
          </cell>
          <cell r="K14">
            <v>20</v>
          </cell>
          <cell r="O14">
            <v>35</v>
          </cell>
          <cell r="P14">
            <v>142</v>
          </cell>
        </row>
        <row r="15">
          <cell r="A15">
            <v>8</v>
          </cell>
          <cell r="F15">
            <v>39</v>
          </cell>
          <cell r="H15">
            <v>19</v>
          </cell>
          <cell r="P15">
            <v>58</v>
          </cell>
        </row>
        <row r="16">
          <cell r="A16">
            <v>9</v>
          </cell>
          <cell r="F16">
            <v>25</v>
          </cell>
          <cell r="H16">
            <v>8</v>
          </cell>
          <cell r="P16">
            <v>33</v>
          </cell>
        </row>
        <row r="17">
          <cell r="A17">
            <v>10</v>
          </cell>
          <cell r="E17">
            <v>10</v>
          </cell>
          <cell r="F17">
            <v>39</v>
          </cell>
          <cell r="H17">
            <v>5</v>
          </cell>
          <cell r="K17">
            <v>11</v>
          </cell>
          <cell r="O17">
            <v>44</v>
          </cell>
          <cell r="P17">
            <v>109</v>
          </cell>
        </row>
        <row r="18">
          <cell r="A18">
            <v>11</v>
          </cell>
          <cell r="F18">
            <v>33</v>
          </cell>
          <cell r="H18">
            <v>33</v>
          </cell>
          <cell r="I18">
            <v>23</v>
          </cell>
          <cell r="J18">
            <v>85</v>
          </cell>
          <cell r="P18">
            <v>174</v>
          </cell>
        </row>
        <row r="19">
          <cell r="A19">
            <v>12</v>
          </cell>
          <cell r="F19">
            <v>25</v>
          </cell>
          <cell r="H19">
            <v>40</v>
          </cell>
          <cell r="J19">
            <v>5</v>
          </cell>
          <cell r="P19">
            <v>70</v>
          </cell>
        </row>
        <row r="20">
          <cell r="A20">
            <v>13</v>
          </cell>
          <cell r="F20">
            <v>25</v>
          </cell>
          <cell r="H20">
            <v>14</v>
          </cell>
          <cell r="M20" t="str">
            <v>*</v>
          </cell>
          <cell r="P20">
            <v>39</v>
          </cell>
          <cell r="Q20" t="str">
            <v>Hand Packing(3250)</v>
          </cell>
        </row>
        <row r="21">
          <cell r="A21">
            <v>14</v>
          </cell>
          <cell r="F21">
            <v>55</v>
          </cell>
          <cell r="H21">
            <v>25</v>
          </cell>
          <cell r="M21">
            <v>30</v>
          </cell>
          <cell r="P21">
            <v>110</v>
          </cell>
          <cell r="Q21" t="str">
            <v>Hand Packing(340)</v>
          </cell>
        </row>
        <row r="22">
          <cell r="A22">
            <v>15</v>
          </cell>
          <cell r="P22">
            <v>0</v>
          </cell>
        </row>
        <row r="23">
          <cell r="A23">
            <v>16</v>
          </cell>
          <cell r="P23">
            <v>0</v>
          </cell>
        </row>
        <row r="24">
          <cell r="A24">
            <v>17</v>
          </cell>
          <cell r="P24">
            <v>0</v>
          </cell>
        </row>
        <row r="25">
          <cell r="A25">
            <v>18</v>
          </cell>
          <cell r="P25">
            <v>0</v>
          </cell>
        </row>
        <row r="26">
          <cell r="A26">
            <v>19</v>
          </cell>
          <cell r="P26">
            <v>0</v>
          </cell>
        </row>
        <row r="27">
          <cell r="A27">
            <v>20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0</v>
          </cell>
          <cell r="E32">
            <v>10</v>
          </cell>
          <cell r="F32">
            <v>266</v>
          </cell>
          <cell r="G32">
            <v>7</v>
          </cell>
          <cell r="H32">
            <v>1104</v>
          </cell>
          <cell r="I32">
            <v>23</v>
          </cell>
          <cell r="J32">
            <v>94</v>
          </cell>
          <cell r="K32">
            <v>31</v>
          </cell>
          <cell r="L32">
            <v>0</v>
          </cell>
          <cell r="M32">
            <v>73</v>
          </cell>
          <cell r="N32">
            <v>0</v>
          </cell>
          <cell r="O32">
            <v>90</v>
          </cell>
          <cell r="P32">
            <v>1698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7" refreshError="1">
        <row r="2">
          <cell r="F2" t="str">
            <v>Line Downtime for May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D8">
            <v>0.67</v>
          </cell>
          <cell r="E8">
            <v>0</v>
          </cell>
          <cell r="F8">
            <v>69</v>
          </cell>
          <cell r="I8">
            <v>15</v>
          </cell>
          <cell r="P8">
            <v>84</v>
          </cell>
        </row>
        <row r="9">
          <cell r="A9">
            <v>2</v>
          </cell>
          <cell r="D9">
            <v>0.79</v>
          </cell>
          <cell r="E9">
            <v>10</v>
          </cell>
          <cell r="F9">
            <v>13</v>
          </cell>
          <cell r="H9">
            <v>45</v>
          </cell>
          <cell r="J9">
            <v>8</v>
          </cell>
          <cell r="P9">
            <v>76</v>
          </cell>
        </row>
        <row r="10">
          <cell r="A10">
            <v>3</v>
          </cell>
          <cell r="D10">
            <v>0.88</v>
          </cell>
          <cell r="F10">
            <v>53</v>
          </cell>
          <cell r="P10">
            <v>53</v>
          </cell>
        </row>
        <row r="11">
          <cell r="A11">
            <v>4</v>
          </cell>
          <cell r="D11">
            <v>0.89</v>
          </cell>
          <cell r="F11">
            <v>4</v>
          </cell>
          <cell r="H11">
            <v>5</v>
          </cell>
          <cell r="K11">
            <v>11</v>
          </cell>
          <cell r="M11">
            <v>30</v>
          </cell>
          <cell r="O11">
            <v>30</v>
          </cell>
          <cell r="P11">
            <v>80</v>
          </cell>
        </row>
        <row r="12">
          <cell r="A12">
            <v>5</v>
          </cell>
          <cell r="D12">
            <v>0.82</v>
          </cell>
          <cell r="F12">
            <v>11</v>
          </cell>
          <cell r="H12">
            <v>144</v>
          </cell>
          <cell r="I12">
            <v>10</v>
          </cell>
          <cell r="P12">
            <v>165</v>
          </cell>
        </row>
        <row r="13">
          <cell r="A13">
            <v>6</v>
          </cell>
          <cell r="D13">
            <v>0.92</v>
          </cell>
          <cell r="F13">
            <v>25</v>
          </cell>
          <cell r="I13">
            <v>20</v>
          </cell>
          <cell r="M13">
            <v>17</v>
          </cell>
          <cell r="P13">
            <v>62</v>
          </cell>
        </row>
        <row r="14">
          <cell r="A14">
            <v>7</v>
          </cell>
          <cell r="D14">
            <v>0.91</v>
          </cell>
          <cell r="F14">
            <v>14</v>
          </cell>
          <cell r="J14">
            <v>15</v>
          </cell>
          <cell r="K14">
            <v>10</v>
          </cell>
          <cell r="M14">
            <v>15</v>
          </cell>
          <cell r="O14">
            <v>4</v>
          </cell>
          <cell r="P14">
            <v>58</v>
          </cell>
        </row>
        <row r="15">
          <cell r="A15">
            <v>8</v>
          </cell>
          <cell r="D15">
            <v>0.67</v>
          </cell>
          <cell r="F15">
            <v>12</v>
          </cell>
          <cell r="H15">
            <v>4</v>
          </cell>
          <cell r="I15">
            <v>15</v>
          </cell>
          <cell r="J15">
            <v>32</v>
          </cell>
          <cell r="P15">
            <v>63</v>
          </cell>
        </row>
        <row r="16">
          <cell r="A16">
            <v>9</v>
          </cell>
          <cell r="D16">
            <v>0.77</v>
          </cell>
          <cell r="F16">
            <v>5</v>
          </cell>
          <cell r="L16">
            <v>53</v>
          </cell>
          <cell r="M16">
            <v>8</v>
          </cell>
          <cell r="O16">
            <v>10</v>
          </cell>
          <cell r="P16">
            <v>76</v>
          </cell>
        </row>
        <row r="17">
          <cell r="A17">
            <v>10</v>
          </cell>
          <cell r="D17">
            <v>0.82</v>
          </cell>
          <cell r="F17">
            <v>19</v>
          </cell>
          <cell r="I17">
            <v>69</v>
          </cell>
          <cell r="J17">
            <v>3</v>
          </cell>
          <cell r="M17">
            <v>27</v>
          </cell>
          <cell r="P17">
            <v>118</v>
          </cell>
        </row>
        <row r="18">
          <cell r="A18">
            <v>11</v>
          </cell>
          <cell r="D18">
            <v>0.68</v>
          </cell>
          <cell r="I18">
            <v>135</v>
          </cell>
          <cell r="J18">
            <v>28</v>
          </cell>
          <cell r="O18">
            <v>16</v>
          </cell>
          <cell r="P18">
            <v>179</v>
          </cell>
        </row>
        <row r="19">
          <cell r="A19">
            <v>12</v>
          </cell>
          <cell r="D19">
            <v>0.78</v>
          </cell>
          <cell r="F19">
            <v>15</v>
          </cell>
          <cell r="J19">
            <v>6</v>
          </cell>
          <cell r="P19">
            <v>21</v>
          </cell>
        </row>
        <row r="20">
          <cell r="A20">
            <v>13</v>
          </cell>
          <cell r="D20">
            <v>0.85</v>
          </cell>
          <cell r="F20">
            <v>24</v>
          </cell>
          <cell r="G20">
            <v>10</v>
          </cell>
          <cell r="H20">
            <v>10</v>
          </cell>
          <cell r="I20">
            <v>20</v>
          </cell>
          <cell r="P20">
            <v>64</v>
          </cell>
        </row>
        <row r="21">
          <cell r="A21">
            <v>14</v>
          </cell>
          <cell r="D21">
            <v>0.83</v>
          </cell>
          <cell r="F21">
            <v>6</v>
          </cell>
          <cell r="K21">
            <v>22</v>
          </cell>
          <cell r="L21">
            <v>7</v>
          </cell>
          <cell r="P21">
            <v>35</v>
          </cell>
        </row>
        <row r="22">
          <cell r="A22">
            <v>15</v>
          </cell>
          <cell r="D22">
            <v>0.88</v>
          </cell>
          <cell r="F22">
            <v>45</v>
          </cell>
          <cell r="I22">
            <v>6</v>
          </cell>
          <cell r="J22">
            <v>45</v>
          </cell>
          <cell r="P22">
            <v>96</v>
          </cell>
        </row>
        <row r="23">
          <cell r="A23">
            <v>16</v>
          </cell>
          <cell r="D23">
            <v>0.94</v>
          </cell>
          <cell r="F23">
            <v>27</v>
          </cell>
          <cell r="P23">
            <v>27</v>
          </cell>
        </row>
        <row r="24">
          <cell r="A24">
            <v>17</v>
          </cell>
          <cell r="D24">
            <v>0.83</v>
          </cell>
          <cell r="F24">
            <v>20</v>
          </cell>
          <cell r="I24">
            <v>10</v>
          </cell>
          <cell r="K24">
            <v>12</v>
          </cell>
          <cell r="O24">
            <v>35</v>
          </cell>
          <cell r="P24">
            <v>77</v>
          </cell>
        </row>
        <row r="25">
          <cell r="A25">
            <v>18</v>
          </cell>
          <cell r="D25">
            <v>1.02</v>
          </cell>
          <cell r="F25">
            <v>32</v>
          </cell>
          <cell r="I25">
            <v>50</v>
          </cell>
          <cell r="P25">
            <v>82</v>
          </cell>
        </row>
        <row r="26">
          <cell r="A26">
            <v>19</v>
          </cell>
          <cell r="P26">
            <v>0</v>
          </cell>
        </row>
        <row r="27">
          <cell r="A27">
            <v>20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14.95</v>
          </cell>
          <cell r="E32">
            <v>10</v>
          </cell>
          <cell r="F32">
            <v>394</v>
          </cell>
          <cell r="G32">
            <v>10</v>
          </cell>
          <cell r="H32">
            <v>208</v>
          </cell>
          <cell r="I32">
            <v>350</v>
          </cell>
          <cell r="J32">
            <v>137</v>
          </cell>
          <cell r="K32">
            <v>55</v>
          </cell>
          <cell r="L32">
            <v>60</v>
          </cell>
          <cell r="M32">
            <v>97</v>
          </cell>
          <cell r="N32">
            <v>0</v>
          </cell>
          <cell r="O32">
            <v>95</v>
          </cell>
          <cell r="P32">
            <v>1416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8" refreshError="1">
        <row r="2">
          <cell r="F2" t="str">
            <v>Line Downtime for June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D8">
            <v>0.86</v>
          </cell>
          <cell r="F8">
            <v>39</v>
          </cell>
          <cell r="P8">
            <v>39</v>
          </cell>
        </row>
        <row r="9">
          <cell r="A9">
            <v>2</v>
          </cell>
          <cell r="D9">
            <v>0.91</v>
          </cell>
          <cell r="F9">
            <v>53</v>
          </cell>
          <cell r="O9">
            <v>8</v>
          </cell>
          <cell r="P9">
            <v>61</v>
          </cell>
        </row>
        <row r="10">
          <cell r="A10">
            <v>3</v>
          </cell>
          <cell r="D10">
            <v>0.96</v>
          </cell>
          <cell r="F10">
            <v>9</v>
          </cell>
          <cell r="O10">
            <v>8</v>
          </cell>
          <cell r="P10">
            <v>17</v>
          </cell>
        </row>
        <row r="11">
          <cell r="A11">
            <v>4</v>
          </cell>
          <cell r="D11">
            <v>1</v>
          </cell>
          <cell r="P11">
            <v>0</v>
          </cell>
        </row>
        <row r="12">
          <cell r="A12">
            <v>5</v>
          </cell>
          <cell r="D12">
            <v>1.05</v>
          </cell>
          <cell r="E12">
            <v>15</v>
          </cell>
          <cell r="F12">
            <v>12</v>
          </cell>
          <cell r="I12">
            <v>4</v>
          </cell>
          <cell r="O12">
            <v>7</v>
          </cell>
          <cell r="P12">
            <v>38</v>
          </cell>
        </row>
        <row r="13">
          <cell r="A13">
            <v>6</v>
          </cell>
          <cell r="D13">
            <v>0.92</v>
          </cell>
          <cell r="F13">
            <v>6</v>
          </cell>
          <cell r="J13">
            <v>4</v>
          </cell>
          <cell r="P13">
            <v>10</v>
          </cell>
        </row>
        <row r="14">
          <cell r="A14">
            <v>7</v>
          </cell>
          <cell r="D14">
            <v>0.79</v>
          </cell>
          <cell r="G14">
            <v>7</v>
          </cell>
          <cell r="H14">
            <v>10</v>
          </cell>
          <cell r="I14">
            <v>20</v>
          </cell>
          <cell r="J14">
            <v>24</v>
          </cell>
          <cell r="P14">
            <v>61</v>
          </cell>
        </row>
        <row r="15">
          <cell r="A15">
            <v>8</v>
          </cell>
          <cell r="D15">
            <v>0.81</v>
          </cell>
          <cell r="F15">
            <v>23</v>
          </cell>
          <cell r="P15">
            <v>23</v>
          </cell>
        </row>
        <row r="16">
          <cell r="A16">
            <v>9</v>
          </cell>
          <cell r="D16">
            <v>0.81</v>
          </cell>
          <cell r="F16">
            <v>6</v>
          </cell>
          <cell r="I16">
            <v>40</v>
          </cell>
          <cell r="M16">
            <v>5</v>
          </cell>
          <cell r="P16">
            <v>51</v>
          </cell>
        </row>
        <row r="17">
          <cell r="A17">
            <v>10</v>
          </cell>
          <cell r="D17">
            <v>0.79</v>
          </cell>
          <cell r="E17">
            <v>13</v>
          </cell>
          <cell r="P17">
            <v>13</v>
          </cell>
        </row>
        <row r="18">
          <cell r="A18">
            <v>11</v>
          </cell>
          <cell r="D18">
            <v>0.76</v>
          </cell>
          <cell r="F18">
            <v>15</v>
          </cell>
          <cell r="I18">
            <v>38</v>
          </cell>
          <cell r="L18">
            <v>12</v>
          </cell>
          <cell r="O18">
            <v>50</v>
          </cell>
          <cell r="P18">
            <v>115</v>
          </cell>
        </row>
        <row r="19">
          <cell r="A19">
            <v>12</v>
          </cell>
          <cell r="D19">
            <v>0.81</v>
          </cell>
          <cell r="I19">
            <v>3</v>
          </cell>
          <cell r="L19">
            <v>7</v>
          </cell>
          <cell r="P19">
            <v>10</v>
          </cell>
        </row>
        <row r="20">
          <cell r="A20">
            <v>13</v>
          </cell>
          <cell r="D20">
            <v>0.96</v>
          </cell>
          <cell r="K20">
            <v>8</v>
          </cell>
          <cell r="O20">
            <v>8</v>
          </cell>
          <cell r="P20">
            <v>16</v>
          </cell>
        </row>
        <row r="21">
          <cell r="A21">
            <v>14</v>
          </cell>
          <cell r="D21">
            <v>0.65</v>
          </cell>
          <cell r="F21">
            <v>12</v>
          </cell>
          <cell r="J21">
            <v>9</v>
          </cell>
          <cell r="L21">
            <v>6</v>
          </cell>
          <cell r="O21">
            <v>10</v>
          </cell>
          <cell r="P21">
            <v>37</v>
          </cell>
          <cell r="Q21" t="str">
            <v xml:space="preserve">Low CO2 </v>
          </cell>
        </row>
        <row r="22">
          <cell r="A22">
            <v>15</v>
          </cell>
          <cell r="D22">
            <v>0.82</v>
          </cell>
          <cell r="F22">
            <v>7</v>
          </cell>
          <cell r="P22">
            <v>7</v>
          </cell>
        </row>
        <row r="23">
          <cell r="A23">
            <v>16</v>
          </cell>
          <cell r="D23">
            <v>0.92</v>
          </cell>
          <cell r="F23">
            <v>5</v>
          </cell>
          <cell r="H23">
            <v>7</v>
          </cell>
          <cell r="J23">
            <v>5</v>
          </cell>
          <cell r="P23">
            <v>17</v>
          </cell>
        </row>
        <row r="24">
          <cell r="A24">
            <v>17</v>
          </cell>
          <cell r="B24">
            <v>65</v>
          </cell>
          <cell r="C24">
            <v>45</v>
          </cell>
          <cell r="D24">
            <v>0.99</v>
          </cell>
          <cell r="I24">
            <v>30</v>
          </cell>
          <cell r="P24">
            <v>30</v>
          </cell>
        </row>
        <row r="25">
          <cell r="A25">
            <v>18</v>
          </cell>
          <cell r="B25">
            <v>50</v>
          </cell>
          <cell r="C25">
            <v>50</v>
          </cell>
          <cell r="D25">
            <v>0.6</v>
          </cell>
          <cell r="F25">
            <v>24</v>
          </cell>
          <cell r="M25">
            <v>9</v>
          </cell>
          <cell r="P25">
            <v>33</v>
          </cell>
        </row>
        <row r="26">
          <cell r="A26">
            <v>19</v>
          </cell>
          <cell r="B26">
            <v>62</v>
          </cell>
          <cell r="C26">
            <v>62</v>
          </cell>
          <cell r="D26">
            <v>0.66</v>
          </cell>
          <cell r="H26">
            <v>6</v>
          </cell>
          <cell r="J26">
            <v>9</v>
          </cell>
          <cell r="P26">
            <v>15</v>
          </cell>
        </row>
        <row r="27">
          <cell r="A27">
            <v>20</v>
          </cell>
          <cell r="B27">
            <v>50</v>
          </cell>
          <cell r="C27">
            <v>31</v>
          </cell>
          <cell r="D27">
            <v>0.33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16.400000000000002</v>
          </cell>
          <cell r="E32">
            <v>28</v>
          </cell>
          <cell r="F32">
            <v>211</v>
          </cell>
          <cell r="G32">
            <v>7</v>
          </cell>
          <cell r="H32">
            <v>23</v>
          </cell>
          <cell r="I32">
            <v>135</v>
          </cell>
          <cell r="J32">
            <v>51</v>
          </cell>
          <cell r="K32">
            <v>8</v>
          </cell>
          <cell r="L32">
            <v>25</v>
          </cell>
          <cell r="M32">
            <v>14</v>
          </cell>
          <cell r="N32">
            <v>0</v>
          </cell>
          <cell r="O32">
            <v>91</v>
          </cell>
          <cell r="P32">
            <v>593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9" refreshError="1">
        <row r="2">
          <cell r="F2" t="str">
            <v>Line Downtime for July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B8">
            <v>40</v>
          </cell>
          <cell r="C8">
            <v>40</v>
          </cell>
          <cell r="F8">
            <v>66</v>
          </cell>
          <cell r="P8">
            <v>66</v>
          </cell>
        </row>
        <row r="9">
          <cell r="A9">
            <v>2</v>
          </cell>
          <cell r="B9">
            <v>65</v>
          </cell>
          <cell r="C9">
            <v>8</v>
          </cell>
          <cell r="O9">
            <v>18</v>
          </cell>
          <cell r="P9">
            <v>18</v>
          </cell>
          <cell r="Q9" t="str">
            <v>Carbocooler</v>
          </cell>
        </row>
        <row r="10">
          <cell r="A10">
            <v>3</v>
          </cell>
          <cell r="D10">
            <v>0.8</v>
          </cell>
          <cell r="F10">
            <v>46</v>
          </cell>
          <cell r="H10">
            <v>7</v>
          </cell>
          <cell r="P10">
            <v>53</v>
          </cell>
        </row>
        <row r="11">
          <cell r="A11">
            <v>4</v>
          </cell>
          <cell r="D11">
            <v>0.74</v>
          </cell>
          <cell r="E11">
            <v>15</v>
          </cell>
          <cell r="F11">
            <v>30</v>
          </cell>
          <cell r="I11">
            <v>11</v>
          </cell>
          <cell r="P11">
            <v>56</v>
          </cell>
        </row>
        <row r="12">
          <cell r="A12">
            <v>5</v>
          </cell>
          <cell r="D12">
            <v>0.25</v>
          </cell>
          <cell r="F12">
            <v>15</v>
          </cell>
          <cell r="P12">
            <v>15</v>
          </cell>
        </row>
        <row r="13">
          <cell r="A13">
            <v>6</v>
          </cell>
          <cell r="B13">
            <v>75</v>
          </cell>
          <cell r="C13">
            <v>55</v>
          </cell>
          <cell r="D13">
            <v>0.89</v>
          </cell>
          <cell r="F13">
            <v>69</v>
          </cell>
          <cell r="H13">
            <v>15</v>
          </cell>
          <cell r="P13">
            <v>84</v>
          </cell>
        </row>
        <row r="14">
          <cell r="A14">
            <v>7</v>
          </cell>
          <cell r="B14">
            <v>210</v>
          </cell>
          <cell r="C14">
            <v>10</v>
          </cell>
          <cell r="D14">
            <v>0.7</v>
          </cell>
          <cell r="F14">
            <v>6</v>
          </cell>
          <cell r="G14">
            <v>30</v>
          </cell>
          <cell r="P14">
            <v>36</v>
          </cell>
        </row>
        <row r="15">
          <cell r="A15">
            <v>8</v>
          </cell>
          <cell r="B15">
            <v>74</v>
          </cell>
          <cell r="C15">
            <v>45</v>
          </cell>
          <cell r="D15">
            <v>0.67</v>
          </cell>
          <cell r="F15">
            <v>10</v>
          </cell>
          <cell r="G15">
            <v>3</v>
          </cell>
          <cell r="H15">
            <v>20</v>
          </cell>
          <cell r="L15">
            <v>25</v>
          </cell>
          <cell r="P15">
            <v>58</v>
          </cell>
        </row>
        <row r="16">
          <cell r="A16">
            <v>9</v>
          </cell>
          <cell r="B16">
            <v>130</v>
          </cell>
          <cell r="C16">
            <v>69</v>
          </cell>
          <cell r="D16">
            <v>0.66</v>
          </cell>
          <cell r="F16">
            <v>55</v>
          </cell>
          <cell r="I16">
            <v>16</v>
          </cell>
          <cell r="L16">
            <v>102</v>
          </cell>
          <cell r="P16">
            <v>173</v>
          </cell>
        </row>
        <row r="17">
          <cell r="A17">
            <v>10</v>
          </cell>
          <cell r="B17">
            <v>125</v>
          </cell>
          <cell r="C17">
            <v>60</v>
          </cell>
          <cell r="F17">
            <v>216</v>
          </cell>
          <cell r="G17">
            <v>4</v>
          </cell>
          <cell r="J17">
            <v>30</v>
          </cell>
          <cell r="P17">
            <v>250</v>
          </cell>
        </row>
        <row r="18">
          <cell r="A18">
            <v>11</v>
          </cell>
          <cell r="E18">
            <v>20</v>
          </cell>
          <cell r="F18">
            <v>12</v>
          </cell>
          <cell r="L18">
            <v>36</v>
          </cell>
          <cell r="P18">
            <v>68</v>
          </cell>
        </row>
        <row r="19">
          <cell r="A19">
            <v>12</v>
          </cell>
          <cell r="D19">
            <v>0.76</v>
          </cell>
          <cell r="F19">
            <v>8</v>
          </cell>
          <cell r="L19">
            <v>14</v>
          </cell>
          <cell r="P19">
            <v>22</v>
          </cell>
        </row>
        <row r="20">
          <cell r="A20">
            <v>13</v>
          </cell>
          <cell r="B20">
            <v>115</v>
          </cell>
          <cell r="C20">
            <v>55</v>
          </cell>
          <cell r="D20">
            <v>0.95</v>
          </cell>
          <cell r="F20">
            <v>9</v>
          </cell>
          <cell r="G20">
            <v>3</v>
          </cell>
          <cell r="M20">
            <v>15</v>
          </cell>
          <cell r="P20">
            <v>27</v>
          </cell>
        </row>
        <row r="21">
          <cell r="A21">
            <v>14</v>
          </cell>
          <cell r="D21">
            <v>0.71</v>
          </cell>
          <cell r="E21">
            <v>20</v>
          </cell>
          <cell r="F21">
            <v>12</v>
          </cell>
          <cell r="L21">
            <v>36</v>
          </cell>
          <cell r="P21">
            <v>68</v>
          </cell>
        </row>
        <row r="22">
          <cell r="A22">
            <v>15</v>
          </cell>
          <cell r="D22">
            <v>0.72</v>
          </cell>
          <cell r="E22">
            <v>11</v>
          </cell>
          <cell r="F22">
            <v>21</v>
          </cell>
          <cell r="M22">
            <v>61</v>
          </cell>
          <cell r="P22">
            <v>93</v>
          </cell>
        </row>
        <row r="23">
          <cell r="A23">
            <v>16</v>
          </cell>
          <cell r="D23">
            <v>0.76</v>
          </cell>
          <cell r="F23">
            <v>8</v>
          </cell>
          <cell r="L23">
            <v>14</v>
          </cell>
          <cell r="P23">
            <v>22</v>
          </cell>
        </row>
        <row r="24">
          <cell r="A24">
            <v>17</v>
          </cell>
          <cell r="B24">
            <v>125</v>
          </cell>
          <cell r="C24">
            <v>55</v>
          </cell>
          <cell r="D24">
            <v>0.95</v>
          </cell>
          <cell r="F24">
            <v>9</v>
          </cell>
          <cell r="G24">
            <v>3</v>
          </cell>
          <cell r="M24">
            <v>15</v>
          </cell>
          <cell r="P24">
            <v>27</v>
          </cell>
        </row>
        <row r="25">
          <cell r="A25">
            <v>18</v>
          </cell>
          <cell r="D25">
            <v>0.89</v>
          </cell>
          <cell r="F25">
            <v>9</v>
          </cell>
          <cell r="J25">
            <v>12</v>
          </cell>
          <cell r="P25">
            <v>21</v>
          </cell>
        </row>
        <row r="26">
          <cell r="A26">
            <v>19</v>
          </cell>
          <cell r="B26">
            <v>110</v>
          </cell>
          <cell r="C26">
            <v>67</v>
          </cell>
          <cell r="D26">
            <v>0.56999999999999995</v>
          </cell>
          <cell r="F26">
            <v>14</v>
          </cell>
          <cell r="M26">
            <v>14</v>
          </cell>
          <cell r="O26">
            <v>52</v>
          </cell>
          <cell r="P26">
            <v>80</v>
          </cell>
          <cell r="Q26" t="str">
            <v>no bottles</v>
          </cell>
        </row>
        <row r="27">
          <cell r="A27">
            <v>20</v>
          </cell>
          <cell r="D27">
            <v>0.83</v>
          </cell>
          <cell r="L27">
            <v>8</v>
          </cell>
          <cell r="O27">
            <v>20</v>
          </cell>
          <cell r="P27">
            <v>28</v>
          </cell>
          <cell r="Q27" t="str">
            <v>compressor</v>
          </cell>
        </row>
        <row r="28">
          <cell r="A28">
            <v>21</v>
          </cell>
          <cell r="D28">
            <v>0.9</v>
          </cell>
          <cell r="O28">
            <v>20</v>
          </cell>
          <cell r="P28">
            <v>20</v>
          </cell>
          <cell r="Q28" t="str">
            <v>Compressor</v>
          </cell>
        </row>
        <row r="29">
          <cell r="A29">
            <v>22</v>
          </cell>
          <cell r="B29">
            <v>55</v>
          </cell>
          <cell r="C29">
            <v>70</v>
          </cell>
          <cell r="D29">
            <v>0.94</v>
          </cell>
          <cell r="F29">
            <v>44</v>
          </cell>
          <cell r="O29">
            <v>10</v>
          </cell>
          <cell r="P29">
            <v>54</v>
          </cell>
          <cell r="Q29" t="str">
            <v xml:space="preserve">Low CO2 </v>
          </cell>
        </row>
        <row r="30">
          <cell r="A30">
            <v>23</v>
          </cell>
          <cell r="B30">
            <v>70</v>
          </cell>
          <cell r="C30">
            <v>10</v>
          </cell>
          <cell r="D30">
            <v>0.95</v>
          </cell>
          <cell r="F30">
            <v>24</v>
          </cell>
          <cell r="L30">
            <v>10</v>
          </cell>
          <cell r="M30">
            <v>23</v>
          </cell>
          <cell r="P30">
            <v>57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14.639999999999999</v>
          </cell>
          <cell r="E32">
            <v>66</v>
          </cell>
          <cell r="F32">
            <v>683</v>
          </cell>
          <cell r="G32">
            <v>43</v>
          </cell>
          <cell r="H32">
            <v>42</v>
          </cell>
          <cell r="I32">
            <v>27</v>
          </cell>
          <cell r="J32">
            <v>42</v>
          </cell>
          <cell r="K32">
            <v>0</v>
          </cell>
          <cell r="L32">
            <v>245</v>
          </cell>
          <cell r="M32">
            <v>128</v>
          </cell>
          <cell r="N32">
            <v>0</v>
          </cell>
          <cell r="O32">
            <v>120</v>
          </cell>
          <cell r="P32">
            <v>1396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0" refreshError="1">
        <row r="2">
          <cell r="F2" t="str">
            <v>Line Downtime for August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Uncaser-Filler</v>
          </cell>
          <cell r="C6" t="str">
            <v>Filler-Packer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D8">
            <v>0.66</v>
          </cell>
          <cell r="F8">
            <v>28</v>
          </cell>
          <cell r="G8">
            <v>7</v>
          </cell>
          <cell r="P8">
            <v>35</v>
          </cell>
        </row>
        <row r="9">
          <cell r="A9">
            <v>2</v>
          </cell>
          <cell r="B9">
            <v>60</v>
          </cell>
          <cell r="C9">
            <v>47</v>
          </cell>
          <cell r="D9">
            <v>0.98</v>
          </cell>
          <cell r="F9">
            <v>55</v>
          </cell>
          <cell r="I9">
            <v>25</v>
          </cell>
          <cell r="J9">
            <v>3</v>
          </cell>
          <cell r="P9">
            <v>83</v>
          </cell>
        </row>
        <row r="10">
          <cell r="A10">
            <v>3</v>
          </cell>
          <cell r="B10">
            <v>55</v>
          </cell>
          <cell r="C10">
            <v>65</v>
          </cell>
          <cell r="D10">
            <v>0.72</v>
          </cell>
          <cell r="F10">
            <v>67</v>
          </cell>
          <cell r="H10">
            <v>15</v>
          </cell>
          <cell r="I10">
            <v>39</v>
          </cell>
          <cell r="J10">
            <v>5</v>
          </cell>
          <cell r="P10">
            <v>126</v>
          </cell>
        </row>
        <row r="11">
          <cell r="A11">
            <v>4</v>
          </cell>
          <cell r="B11">
            <v>45</v>
          </cell>
          <cell r="C11">
            <v>60</v>
          </cell>
          <cell r="D11">
            <v>0.65</v>
          </cell>
          <cell r="F11">
            <v>110</v>
          </cell>
          <cell r="I11">
            <v>66</v>
          </cell>
          <cell r="J11">
            <v>5</v>
          </cell>
          <cell r="P11">
            <v>181</v>
          </cell>
        </row>
        <row r="12">
          <cell r="A12">
            <v>5</v>
          </cell>
          <cell r="I12">
            <v>9</v>
          </cell>
          <cell r="O12">
            <v>26</v>
          </cell>
          <cell r="P12">
            <v>35</v>
          </cell>
          <cell r="Q12" t="str">
            <v>water pressure</v>
          </cell>
        </row>
        <row r="13">
          <cell r="A13">
            <v>6</v>
          </cell>
          <cell r="B13">
            <v>50</v>
          </cell>
          <cell r="C13">
            <v>5</v>
          </cell>
          <cell r="D13">
            <v>0.21</v>
          </cell>
          <cell r="M13">
            <v>15</v>
          </cell>
          <cell r="O13">
            <v>14</v>
          </cell>
          <cell r="P13">
            <v>29</v>
          </cell>
          <cell r="Q13" t="str">
            <v>water pressure</v>
          </cell>
        </row>
        <row r="14">
          <cell r="A14">
            <v>7</v>
          </cell>
          <cell r="B14">
            <v>70</v>
          </cell>
          <cell r="C14">
            <v>50</v>
          </cell>
          <cell r="D14">
            <v>0.76</v>
          </cell>
          <cell r="F14">
            <v>15</v>
          </cell>
          <cell r="I14">
            <v>5</v>
          </cell>
          <cell r="J14">
            <v>121</v>
          </cell>
          <cell r="P14">
            <v>141</v>
          </cell>
        </row>
        <row r="15">
          <cell r="A15">
            <v>8</v>
          </cell>
          <cell r="B15">
            <v>60</v>
          </cell>
          <cell r="C15">
            <v>60</v>
          </cell>
          <cell r="F15">
            <v>103</v>
          </cell>
          <cell r="P15">
            <v>103</v>
          </cell>
        </row>
        <row r="16">
          <cell r="A16">
            <v>9</v>
          </cell>
          <cell r="B16">
            <v>70</v>
          </cell>
          <cell r="C16">
            <v>48</v>
          </cell>
          <cell r="D16">
            <v>0.76</v>
          </cell>
          <cell r="I16">
            <v>83</v>
          </cell>
          <cell r="M16">
            <v>12</v>
          </cell>
          <cell r="O16">
            <v>51</v>
          </cell>
          <cell r="P16">
            <v>146</v>
          </cell>
          <cell r="Q16" t="str">
            <v>water pressure</v>
          </cell>
        </row>
        <row r="17">
          <cell r="A17">
            <v>10</v>
          </cell>
          <cell r="D17">
            <v>0.52</v>
          </cell>
          <cell r="M17">
            <v>20</v>
          </cell>
          <cell r="P17">
            <v>20</v>
          </cell>
        </row>
        <row r="18">
          <cell r="A18">
            <v>11</v>
          </cell>
          <cell r="B18">
            <v>65</v>
          </cell>
          <cell r="D18">
            <v>0.63</v>
          </cell>
          <cell r="F18">
            <v>226</v>
          </cell>
          <cell r="I18">
            <v>11</v>
          </cell>
          <cell r="O18">
            <v>8</v>
          </cell>
          <cell r="P18">
            <v>245</v>
          </cell>
          <cell r="Q18" t="str">
            <v>water pressure</v>
          </cell>
        </row>
        <row r="19">
          <cell r="A19">
            <v>12</v>
          </cell>
          <cell r="B19">
            <v>60</v>
          </cell>
          <cell r="C19">
            <v>60</v>
          </cell>
          <cell r="D19">
            <v>0.62</v>
          </cell>
          <cell r="G19">
            <v>9</v>
          </cell>
          <cell r="M19">
            <v>15</v>
          </cell>
          <cell r="P19">
            <v>24</v>
          </cell>
        </row>
        <row r="20">
          <cell r="A20">
            <v>13</v>
          </cell>
          <cell r="B20">
            <v>80</v>
          </cell>
          <cell r="C20">
            <v>55</v>
          </cell>
          <cell r="D20">
            <v>0.82</v>
          </cell>
          <cell r="F20">
            <v>22</v>
          </cell>
          <cell r="G20">
            <v>3</v>
          </cell>
          <cell r="I20">
            <v>15</v>
          </cell>
          <cell r="P20">
            <v>40</v>
          </cell>
          <cell r="Q20" t="str">
            <v>water pressure</v>
          </cell>
        </row>
        <row r="21">
          <cell r="A21">
            <v>14</v>
          </cell>
          <cell r="F21">
            <v>16</v>
          </cell>
          <cell r="H21">
            <v>4</v>
          </cell>
          <cell r="I21">
            <v>4</v>
          </cell>
          <cell r="P21">
            <v>24</v>
          </cell>
        </row>
        <row r="22">
          <cell r="A22">
            <v>15</v>
          </cell>
          <cell r="B22">
            <v>65</v>
          </cell>
          <cell r="C22">
            <v>132</v>
          </cell>
          <cell r="F22">
            <v>6</v>
          </cell>
          <cell r="G22">
            <v>6</v>
          </cell>
          <cell r="I22">
            <v>7</v>
          </cell>
          <cell r="P22">
            <v>19</v>
          </cell>
        </row>
        <row r="23">
          <cell r="A23">
            <v>16</v>
          </cell>
          <cell r="F23">
            <v>9</v>
          </cell>
          <cell r="K23">
            <v>3</v>
          </cell>
          <cell r="M23">
            <v>77</v>
          </cell>
          <cell r="P23">
            <v>89</v>
          </cell>
        </row>
        <row r="24">
          <cell r="A24">
            <v>17</v>
          </cell>
          <cell r="P24">
            <v>0</v>
          </cell>
        </row>
        <row r="25">
          <cell r="A25">
            <v>18</v>
          </cell>
          <cell r="P25">
            <v>0</v>
          </cell>
        </row>
        <row r="26">
          <cell r="A26">
            <v>19</v>
          </cell>
          <cell r="P26">
            <v>0</v>
          </cell>
        </row>
        <row r="27">
          <cell r="A27">
            <v>20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7.33</v>
          </cell>
          <cell r="E32">
            <v>0</v>
          </cell>
          <cell r="F32">
            <v>657</v>
          </cell>
          <cell r="G32">
            <v>25</v>
          </cell>
          <cell r="H32">
            <v>19</v>
          </cell>
          <cell r="I32">
            <v>264</v>
          </cell>
          <cell r="J32">
            <v>134</v>
          </cell>
          <cell r="K32">
            <v>3</v>
          </cell>
          <cell r="L32">
            <v>0</v>
          </cell>
          <cell r="M32">
            <v>139</v>
          </cell>
          <cell r="N32">
            <v>0</v>
          </cell>
          <cell r="O32">
            <v>99</v>
          </cell>
          <cell r="P32">
            <v>1340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1" refreshError="1">
        <row r="2">
          <cell r="F2" t="str">
            <v>Line Downtime for September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Uncaser-Filer</v>
          </cell>
          <cell r="C6" t="str">
            <v>Filler-uncaser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B8">
            <v>85</v>
          </cell>
          <cell r="C8">
            <v>50</v>
          </cell>
          <cell r="D8">
            <v>0.63</v>
          </cell>
          <cell r="G8">
            <v>11</v>
          </cell>
          <cell r="P8">
            <v>11</v>
          </cell>
        </row>
        <row r="9">
          <cell r="A9">
            <v>2</v>
          </cell>
          <cell r="B9">
            <v>70</v>
          </cell>
          <cell r="C9">
            <v>75</v>
          </cell>
          <cell r="D9">
            <v>0.7</v>
          </cell>
          <cell r="E9">
            <v>13</v>
          </cell>
          <cell r="F9">
            <v>15</v>
          </cell>
          <cell r="G9">
            <v>4</v>
          </cell>
          <cell r="M9">
            <v>49</v>
          </cell>
          <cell r="P9">
            <v>81</v>
          </cell>
        </row>
        <row r="10">
          <cell r="A10">
            <v>3</v>
          </cell>
          <cell r="B10">
            <v>80</v>
          </cell>
          <cell r="C10">
            <v>5</v>
          </cell>
          <cell r="D10">
            <v>0.87</v>
          </cell>
          <cell r="F10">
            <v>8</v>
          </cell>
          <cell r="G10">
            <v>10</v>
          </cell>
          <cell r="H10">
            <v>0</v>
          </cell>
          <cell r="I10">
            <v>0</v>
          </cell>
          <cell r="K10">
            <v>7</v>
          </cell>
          <cell r="M10">
            <v>31</v>
          </cell>
          <cell r="P10">
            <v>56</v>
          </cell>
        </row>
        <row r="11">
          <cell r="A11">
            <v>4</v>
          </cell>
          <cell r="B11">
            <v>75</v>
          </cell>
          <cell r="C11">
            <v>5</v>
          </cell>
          <cell r="D11">
            <v>0.82</v>
          </cell>
          <cell r="F11">
            <v>8</v>
          </cell>
          <cell r="M11">
            <v>16</v>
          </cell>
          <cell r="P11">
            <v>24</v>
          </cell>
        </row>
        <row r="12">
          <cell r="A12">
            <v>5</v>
          </cell>
          <cell r="B12">
            <v>130</v>
          </cell>
          <cell r="C12">
            <v>45</v>
          </cell>
          <cell r="D12">
            <v>0.61</v>
          </cell>
          <cell r="F12">
            <v>14</v>
          </cell>
          <cell r="G12">
            <v>4</v>
          </cell>
          <cell r="H12">
            <v>40</v>
          </cell>
          <cell r="I12">
            <v>7</v>
          </cell>
          <cell r="L12">
            <v>24</v>
          </cell>
          <cell r="P12">
            <v>89</v>
          </cell>
        </row>
        <row r="13">
          <cell r="A13">
            <v>6</v>
          </cell>
          <cell r="B13">
            <v>125</v>
          </cell>
          <cell r="C13">
            <v>45</v>
          </cell>
          <cell r="D13">
            <v>0.91</v>
          </cell>
          <cell r="F13">
            <v>17</v>
          </cell>
          <cell r="M13">
            <v>25</v>
          </cell>
          <cell r="P13">
            <v>42</v>
          </cell>
        </row>
        <row r="14">
          <cell r="A14">
            <v>7</v>
          </cell>
          <cell r="D14">
            <v>0.93</v>
          </cell>
          <cell r="H14">
            <v>14</v>
          </cell>
          <cell r="M14">
            <v>12</v>
          </cell>
          <cell r="P14">
            <v>26</v>
          </cell>
        </row>
        <row r="15">
          <cell r="A15">
            <v>8</v>
          </cell>
          <cell r="B15">
            <v>59</v>
          </cell>
          <cell r="C15">
            <v>55</v>
          </cell>
          <cell r="D15">
            <v>0.97</v>
          </cell>
          <cell r="F15">
            <v>14</v>
          </cell>
          <cell r="M15">
            <v>6</v>
          </cell>
          <cell r="P15">
            <v>20</v>
          </cell>
        </row>
        <row r="16">
          <cell r="A16">
            <v>9</v>
          </cell>
          <cell r="D16">
            <v>0.73</v>
          </cell>
          <cell r="F16">
            <v>136</v>
          </cell>
          <cell r="P16">
            <v>136</v>
          </cell>
        </row>
        <row r="17">
          <cell r="A17">
            <v>10</v>
          </cell>
          <cell r="B17">
            <v>120</v>
          </cell>
          <cell r="C17">
            <v>38</v>
          </cell>
          <cell r="D17">
            <v>0.81</v>
          </cell>
          <cell r="P17">
            <v>0</v>
          </cell>
        </row>
        <row r="18">
          <cell r="A18">
            <v>11</v>
          </cell>
          <cell r="B18">
            <v>70</v>
          </cell>
          <cell r="C18">
            <v>33</v>
          </cell>
          <cell r="D18">
            <v>0.95</v>
          </cell>
          <cell r="F18">
            <v>34</v>
          </cell>
          <cell r="I18">
            <v>19</v>
          </cell>
          <cell r="P18">
            <v>53</v>
          </cell>
        </row>
        <row r="19">
          <cell r="A19">
            <v>12</v>
          </cell>
          <cell r="D19">
            <v>0.61</v>
          </cell>
          <cell r="H19">
            <v>75</v>
          </cell>
          <cell r="O19">
            <v>75</v>
          </cell>
          <cell r="P19">
            <v>150</v>
          </cell>
          <cell r="Q19" t="str">
            <v>No CO2</v>
          </cell>
        </row>
        <row r="20">
          <cell r="A20">
            <v>13</v>
          </cell>
          <cell r="H20">
            <v>348</v>
          </cell>
          <cell r="P20">
            <v>348</v>
          </cell>
        </row>
        <row r="21">
          <cell r="A21">
            <v>14</v>
          </cell>
          <cell r="P21">
            <v>0</v>
          </cell>
        </row>
        <row r="22">
          <cell r="A22">
            <v>15</v>
          </cell>
          <cell r="P22">
            <v>0</v>
          </cell>
        </row>
        <row r="23">
          <cell r="A23">
            <v>16</v>
          </cell>
          <cell r="P23">
            <v>0</v>
          </cell>
        </row>
        <row r="24">
          <cell r="A24">
            <v>17</v>
          </cell>
          <cell r="P24">
            <v>0</v>
          </cell>
        </row>
        <row r="25">
          <cell r="A25">
            <v>18</v>
          </cell>
          <cell r="P25">
            <v>0</v>
          </cell>
        </row>
        <row r="26">
          <cell r="A26">
            <v>19</v>
          </cell>
          <cell r="P26">
            <v>0</v>
          </cell>
        </row>
        <row r="27">
          <cell r="A27">
            <v>20</v>
          </cell>
          <cell r="P27">
            <v>0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9.5399999999999991</v>
          </cell>
          <cell r="E32">
            <v>13</v>
          </cell>
          <cell r="F32">
            <v>246</v>
          </cell>
          <cell r="G32">
            <v>29</v>
          </cell>
          <cell r="H32">
            <v>477</v>
          </cell>
          <cell r="I32">
            <v>26</v>
          </cell>
          <cell r="J32">
            <v>0</v>
          </cell>
          <cell r="K32">
            <v>7</v>
          </cell>
          <cell r="L32">
            <v>24</v>
          </cell>
          <cell r="M32">
            <v>139</v>
          </cell>
          <cell r="N32">
            <v>0</v>
          </cell>
          <cell r="O32">
            <v>75</v>
          </cell>
          <cell r="P32">
            <v>1036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2" refreshError="1">
        <row r="2">
          <cell r="F2" t="str">
            <v>Line Downtime for October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filler-uncaser</v>
          </cell>
          <cell r="C6" t="str">
            <v>caser-filler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D8">
            <v>0.57999999999999996</v>
          </cell>
          <cell r="E8">
            <v>20</v>
          </cell>
          <cell r="F8">
            <v>10</v>
          </cell>
          <cell r="L8">
            <v>5</v>
          </cell>
          <cell r="P8">
            <v>35</v>
          </cell>
        </row>
        <row r="9">
          <cell r="A9">
            <v>2</v>
          </cell>
          <cell r="B9">
            <v>130</v>
          </cell>
          <cell r="C9">
            <v>60</v>
          </cell>
          <cell r="D9">
            <v>0.99</v>
          </cell>
          <cell r="F9">
            <v>11</v>
          </cell>
          <cell r="I9">
            <v>10</v>
          </cell>
          <cell r="P9">
            <v>21</v>
          </cell>
        </row>
        <row r="10">
          <cell r="A10">
            <v>3</v>
          </cell>
          <cell r="D10">
            <v>0.46</v>
          </cell>
          <cell r="F10">
            <v>10</v>
          </cell>
          <cell r="G10">
            <v>5</v>
          </cell>
          <cell r="P10">
            <v>15</v>
          </cell>
        </row>
        <row r="11">
          <cell r="A11">
            <v>4</v>
          </cell>
          <cell r="D11">
            <v>0.62</v>
          </cell>
          <cell r="F11">
            <v>8</v>
          </cell>
          <cell r="I11">
            <v>4</v>
          </cell>
          <cell r="J11">
            <v>7</v>
          </cell>
          <cell r="M11">
            <v>11</v>
          </cell>
          <cell r="O11">
            <v>5</v>
          </cell>
          <cell r="P11">
            <v>35</v>
          </cell>
        </row>
        <row r="12">
          <cell r="A12">
            <v>5</v>
          </cell>
          <cell r="D12">
            <v>0.54</v>
          </cell>
          <cell r="F12">
            <v>4</v>
          </cell>
          <cell r="I12">
            <v>8</v>
          </cell>
          <cell r="P12">
            <v>12</v>
          </cell>
        </row>
        <row r="13">
          <cell r="A13">
            <v>6</v>
          </cell>
          <cell r="D13">
            <v>0.71</v>
          </cell>
          <cell r="F13">
            <v>25</v>
          </cell>
          <cell r="P13">
            <v>25</v>
          </cell>
        </row>
        <row r="14">
          <cell r="A14">
            <v>7</v>
          </cell>
          <cell r="D14">
            <v>0.69</v>
          </cell>
          <cell r="M14">
            <v>4</v>
          </cell>
          <cell r="O14">
            <v>19</v>
          </cell>
          <cell r="P14">
            <v>23</v>
          </cell>
          <cell r="Q14" t="str">
            <v>Steam CO2 Line</v>
          </cell>
        </row>
        <row r="15">
          <cell r="A15">
            <v>8</v>
          </cell>
          <cell r="D15">
            <v>0.54</v>
          </cell>
          <cell r="F15">
            <v>104</v>
          </cell>
          <cell r="I15">
            <v>13</v>
          </cell>
          <cell r="P15">
            <v>117</v>
          </cell>
        </row>
        <row r="16">
          <cell r="A16">
            <v>9</v>
          </cell>
          <cell r="D16">
            <v>0.78</v>
          </cell>
          <cell r="P16">
            <v>0</v>
          </cell>
        </row>
        <row r="17">
          <cell r="A17">
            <v>10</v>
          </cell>
          <cell r="D17">
            <v>0.75</v>
          </cell>
          <cell r="I17">
            <v>5</v>
          </cell>
          <cell r="O17">
            <v>7</v>
          </cell>
          <cell r="P17">
            <v>12</v>
          </cell>
          <cell r="Q17" t="str">
            <v>Low Water Press.</v>
          </cell>
        </row>
        <row r="18">
          <cell r="A18">
            <v>11</v>
          </cell>
          <cell r="D18">
            <v>1.06</v>
          </cell>
          <cell r="G18">
            <v>8</v>
          </cell>
          <cell r="I18">
            <v>9</v>
          </cell>
          <cell r="J18">
            <v>25</v>
          </cell>
          <cell r="O18">
            <v>7</v>
          </cell>
          <cell r="P18">
            <v>49</v>
          </cell>
          <cell r="Q18" t="str">
            <v>Low Water Press.</v>
          </cell>
        </row>
        <row r="19">
          <cell r="A19">
            <v>12</v>
          </cell>
          <cell r="D19">
            <v>0.9</v>
          </cell>
          <cell r="G19">
            <v>5</v>
          </cell>
          <cell r="H19">
            <v>10</v>
          </cell>
          <cell r="J19">
            <v>5</v>
          </cell>
          <cell r="O19">
            <v>54</v>
          </cell>
          <cell r="P19">
            <v>74</v>
          </cell>
          <cell r="Q19" t="str">
            <v>Low Water Press.</v>
          </cell>
        </row>
        <row r="20">
          <cell r="A20">
            <v>13</v>
          </cell>
          <cell r="D20">
            <v>0.69</v>
          </cell>
          <cell r="P20">
            <v>0</v>
          </cell>
        </row>
        <row r="21">
          <cell r="A21">
            <v>14</v>
          </cell>
          <cell r="D21">
            <v>1.02</v>
          </cell>
          <cell r="M21">
            <v>12</v>
          </cell>
          <cell r="O21">
            <v>20</v>
          </cell>
          <cell r="P21">
            <v>32</v>
          </cell>
          <cell r="Q21" t="str">
            <v>Low CO2 and water</v>
          </cell>
        </row>
        <row r="22">
          <cell r="A22">
            <v>15</v>
          </cell>
          <cell r="D22">
            <v>0.7</v>
          </cell>
          <cell r="G22">
            <v>4</v>
          </cell>
          <cell r="J22">
            <v>6</v>
          </cell>
          <cell r="M22">
            <v>24</v>
          </cell>
          <cell r="O22">
            <v>35</v>
          </cell>
          <cell r="P22">
            <v>69</v>
          </cell>
          <cell r="Q22" t="str">
            <v>Low Water Press.</v>
          </cell>
        </row>
        <row r="23">
          <cell r="A23">
            <v>16</v>
          </cell>
          <cell r="D23">
            <v>0.89</v>
          </cell>
          <cell r="L23">
            <v>5</v>
          </cell>
          <cell r="O23">
            <v>10</v>
          </cell>
          <cell r="P23">
            <v>15</v>
          </cell>
          <cell r="Q23" t="str">
            <v>Low Water Press.</v>
          </cell>
        </row>
        <row r="24">
          <cell r="A24">
            <v>17</v>
          </cell>
          <cell r="D24">
            <v>0.41</v>
          </cell>
          <cell r="F24">
            <v>105</v>
          </cell>
          <cell r="O24">
            <v>26</v>
          </cell>
          <cell r="P24">
            <v>131</v>
          </cell>
          <cell r="Q24" t="str">
            <v>Low Water Press.</v>
          </cell>
        </row>
        <row r="25">
          <cell r="A25">
            <v>18</v>
          </cell>
          <cell r="D25">
            <v>0.74</v>
          </cell>
          <cell r="I25">
            <v>5</v>
          </cell>
          <cell r="P25">
            <v>5</v>
          </cell>
        </row>
        <row r="26">
          <cell r="A26">
            <v>19</v>
          </cell>
          <cell r="D26">
            <v>1.06</v>
          </cell>
          <cell r="F26">
            <v>10</v>
          </cell>
          <cell r="O26">
            <v>21</v>
          </cell>
          <cell r="P26">
            <v>31</v>
          </cell>
          <cell r="Q26" t="str">
            <v>Low Water Press.</v>
          </cell>
        </row>
        <row r="27">
          <cell r="A27">
            <v>20</v>
          </cell>
          <cell r="D27">
            <v>0.63</v>
          </cell>
          <cell r="I27">
            <v>4</v>
          </cell>
          <cell r="O27">
            <v>78</v>
          </cell>
          <cell r="P27">
            <v>82</v>
          </cell>
          <cell r="Q27" t="str">
            <v>Low Water Press.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14.760000000000002</v>
          </cell>
          <cell r="E32">
            <v>20</v>
          </cell>
          <cell r="F32">
            <v>287</v>
          </cell>
          <cell r="G32">
            <v>22</v>
          </cell>
          <cell r="H32">
            <v>10</v>
          </cell>
          <cell r="I32">
            <v>58</v>
          </cell>
          <cell r="J32">
            <v>43</v>
          </cell>
          <cell r="K32">
            <v>0</v>
          </cell>
          <cell r="L32">
            <v>10</v>
          </cell>
          <cell r="M32">
            <v>51</v>
          </cell>
          <cell r="N32">
            <v>0</v>
          </cell>
          <cell r="O32">
            <v>282</v>
          </cell>
          <cell r="P32">
            <v>783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3" refreshError="1">
        <row r="2">
          <cell r="F2" t="str">
            <v>Line Downtime for November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uncaser-filler</v>
          </cell>
          <cell r="C6" t="str">
            <v>Past-caser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D8">
            <v>0.97</v>
          </cell>
          <cell r="F8">
            <v>13</v>
          </cell>
          <cell r="G8">
            <v>7</v>
          </cell>
          <cell r="L8">
            <v>5</v>
          </cell>
          <cell r="O8">
            <v>24</v>
          </cell>
          <cell r="P8">
            <v>49</v>
          </cell>
          <cell r="Q8" t="str">
            <v>Low Water Press.</v>
          </cell>
        </row>
        <row r="9">
          <cell r="A9">
            <v>2</v>
          </cell>
          <cell r="D9">
            <v>1.06857</v>
          </cell>
          <cell r="O9">
            <v>88</v>
          </cell>
          <cell r="P9">
            <v>88</v>
          </cell>
          <cell r="Q9" t="str">
            <v>Low Water Press.</v>
          </cell>
        </row>
        <row r="10">
          <cell r="A10">
            <v>3</v>
          </cell>
          <cell r="D10">
            <v>0.90249999999999997</v>
          </cell>
          <cell r="O10">
            <v>21</v>
          </cell>
          <cell r="P10">
            <v>21</v>
          </cell>
          <cell r="Q10" t="str">
            <v>Low Water Press.</v>
          </cell>
        </row>
        <row r="11">
          <cell r="A11">
            <v>4</v>
          </cell>
          <cell r="D11">
            <v>0.76</v>
          </cell>
          <cell r="E11">
            <v>20</v>
          </cell>
          <cell r="H11">
            <v>30</v>
          </cell>
          <cell r="M11">
            <v>8</v>
          </cell>
          <cell r="P11">
            <v>58</v>
          </cell>
        </row>
        <row r="12">
          <cell r="A12">
            <v>5</v>
          </cell>
          <cell r="D12">
            <v>0.72</v>
          </cell>
          <cell r="E12">
            <v>7</v>
          </cell>
          <cell r="G12">
            <v>4</v>
          </cell>
          <cell r="H12">
            <v>5</v>
          </cell>
          <cell r="I12">
            <v>5</v>
          </cell>
          <cell r="P12">
            <v>21</v>
          </cell>
        </row>
        <row r="13">
          <cell r="A13">
            <v>6</v>
          </cell>
          <cell r="D13">
            <v>1.17</v>
          </cell>
          <cell r="I13">
            <v>33</v>
          </cell>
          <cell r="P13">
            <v>33</v>
          </cell>
        </row>
        <row r="14">
          <cell r="A14">
            <v>7</v>
          </cell>
          <cell r="D14">
            <v>0.57999999999999996</v>
          </cell>
          <cell r="G14">
            <v>3</v>
          </cell>
          <cell r="I14">
            <v>5</v>
          </cell>
          <cell r="O14">
            <v>7</v>
          </cell>
          <cell r="P14">
            <v>15</v>
          </cell>
          <cell r="Q14" t="str">
            <v>Low Water Press.</v>
          </cell>
        </row>
        <row r="15">
          <cell r="A15">
            <v>8</v>
          </cell>
          <cell r="D15">
            <v>0.59</v>
          </cell>
          <cell r="P15">
            <v>0</v>
          </cell>
        </row>
        <row r="16">
          <cell r="A16">
            <v>9</v>
          </cell>
          <cell r="D16">
            <v>0.81</v>
          </cell>
          <cell r="F16">
            <v>15</v>
          </cell>
          <cell r="I16">
            <v>4</v>
          </cell>
          <cell r="P16">
            <v>19</v>
          </cell>
        </row>
        <row r="17">
          <cell r="A17">
            <v>10</v>
          </cell>
          <cell r="D17">
            <v>0.98</v>
          </cell>
          <cell r="E17">
            <v>6</v>
          </cell>
          <cell r="F17">
            <v>25</v>
          </cell>
          <cell r="I17">
            <v>19</v>
          </cell>
          <cell r="J17">
            <v>5</v>
          </cell>
          <cell r="O17">
            <v>20</v>
          </cell>
          <cell r="P17">
            <v>75</v>
          </cell>
          <cell r="Q17" t="str">
            <v>Low Water Press.</v>
          </cell>
        </row>
        <row r="18">
          <cell r="A18">
            <v>11</v>
          </cell>
          <cell r="B18">
            <v>190</v>
          </cell>
          <cell r="C18">
            <v>50</v>
          </cell>
          <cell r="D18">
            <v>0.66</v>
          </cell>
          <cell r="I18">
            <v>3</v>
          </cell>
          <cell r="O18">
            <v>7</v>
          </cell>
          <cell r="P18">
            <v>10</v>
          </cell>
          <cell r="Q18" t="str">
            <v>Low CO2 Press.</v>
          </cell>
        </row>
        <row r="19">
          <cell r="A19">
            <v>12</v>
          </cell>
          <cell r="D19">
            <v>1.0900000000000001</v>
          </cell>
          <cell r="E19">
            <v>10</v>
          </cell>
          <cell r="F19">
            <v>15</v>
          </cell>
          <cell r="H19">
            <v>8</v>
          </cell>
          <cell r="I19">
            <v>10</v>
          </cell>
          <cell r="P19">
            <v>43</v>
          </cell>
        </row>
        <row r="20">
          <cell r="A20">
            <v>13</v>
          </cell>
          <cell r="C20">
            <v>40</v>
          </cell>
          <cell r="D20">
            <v>1.1000000000000001</v>
          </cell>
          <cell r="I20">
            <v>3</v>
          </cell>
          <cell r="O20">
            <v>32</v>
          </cell>
          <cell r="P20">
            <v>35</v>
          </cell>
          <cell r="Q20" t="str">
            <v>Low Water Press.</v>
          </cell>
        </row>
        <row r="21">
          <cell r="A21">
            <v>14</v>
          </cell>
          <cell r="P21">
            <v>0</v>
          </cell>
        </row>
        <row r="22">
          <cell r="A22">
            <v>15</v>
          </cell>
          <cell r="D22">
            <v>0.67</v>
          </cell>
          <cell r="E22">
            <v>5</v>
          </cell>
          <cell r="F22">
            <v>5</v>
          </cell>
          <cell r="J22">
            <v>15</v>
          </cell>
          <cell r="L22">
            <v>15</v>
          </cell>
          <cell r="P22">
            <v>40</v>
          </cell>
        </row>
        <row r="23">
          <cell r="A23">
            <v>16</v>
          </cell>
          <cell r="D23">
            <v>0.99</v>
          </cell>
          <cell r="F23">
            <v>10</v>
          </cell>
          <cell r="I23">
            <v>3</v>
          </cell>
          <cell r="J23">
            <v>17</v>
          </cell>
          <cell r="P23">
            <v>30</v>
          </cell>
        </row>
        <row r="24">
          <cell r="A24">
            <v>17</v>
          </cell>
          <cell r="D24">
            <v>1.0289999999999999</v>
          </cell>
          <cell r="F24">
            <v>12</v>
          </cell>
          <cell r="L24">
            <v>19</v>
          </cell>
          <cell r="O24">
            <v>6</v>
          </cell>
          <cell r="P24">
            <v>37</v>
          </cell>
          <cell r="Q24" t="str">
            <v>Low CO2 Press.</v>
          </cell>
        </row>
        <row r="25">
          <cell r="A25">
            <v>18</v>
          </cell>
          <cell r="D25">
            <v>1.02</v>
          </cell>
          <cell r="F25">
            <v>6</v>
          </cell>
          <cell r="H25">
            <v>5</v>
          </cell>
          <cell r="I25">
            <v>133</v>
          </cell>
          <cell r="J25">
            <v>8</v>
          </cell>
          <cell r="M25">
            <v>6</v>
          </cell>
          <cell r="P25">
            <v>158</v>
          </cell>
        </row>
        <row r="26">
          <cell r="A26">
            <v>19</v>
          </cell>
          <cell r="D26">
            <v>0.74</v>
          </cell>
          <cell r="P26">
            <v>0</v>
          </cell>
        </row>
        <row r="27">
          <cell r="A27">
            <v>20</v>
          </cell>
          <cell r="D27">
            <v>0.71</v>
          </cell>
          <cell r="M27">
            <v>11</v>
          </cell>
          <cell r="O27">
            <v>30</v>
          </cell>
          <cell r="P27">
            <v>41</v>
          </cell>
          <cell r="Q27" t="str">
            <v>Low Water/CO2 Press.</v>
          </cell>
        </row>
        <row r="28">
          <cell r="A28">
            <v>21</v>
          </cell>
          <cell r="P28">
            <v>0</v>
          </cell>
        </row>
        <row r="29">
          <cell r="A29">
            <v>22</v>
          </cell>
          <cell r="P29">
            <v>0</v>
          </cell>
        </row>
        <row r="30">
          <cell r="A30">
            <v>23</v>
          </cell>
          <cell r="P30">
            <v>0</v>
          </cell>
        </row>
        <row r="31">
          <cell r="A31">
            <v>24</v>
          </cell>
          <cell r="P31">
            <v>0</v>
          </cell>
        </row>
        <row r="32">
          <cell r="A32" t="str">
            <v>Totals</v>
          </cell>
          <cell r="D32">
            <v>16.56007</v>
          </cell>
          <cell r="E32">
            <v>48</v>
          </cell>
          <cell r="F32">
            <v>101</v>
          </cell>
          <cell r="G32">
            <v>14</v>
          </cell>
          <cell r="H32">
            <v>48</v>
          </cell>
          <cell r="I32">
            <v>218</v>
          </cell>
          <cell r="J32">
            <v>45</v>
          </cell>
          <cell r="K32">
            <v>0</v>
          </cell>
          <cell r="L32">
            <v>39</v>
          </cell>
          <cell r="M32">
            <v>25</v>
          </cell>
          <cell r="N32">
            <v>0</v>
          </cell>
          <cell r="O32">
            <v>235</v>
          </cell>
          <cell r="P32">
            <v>773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4" refreshError="1">
        <row r="2">
          <cell r="F2" t="str">
            <v>Line Downtime for December 2003</v>
          </cell>
        </row>
        <row r="4">
          <cell r="E4" t="str">
            <v>Delays (mins)</v>
          </cell>
        </row>
        <row r="5">
          <cell r="B5" t="str">
            <v xml:space="preserve">Start time </v>
          </cell>
          <cell r="C5" t="str">
            <v>End time</v>
          </cell>
          <cell r="D5" t="str">
            <v>Relative</v>
          </cell>
          <cell r="E5" t="str">
            <v>Uncaser/</v>
          </cell>
          <cell r="Q5" t="str">
            <v>Comments/info</v>
          </cell>
        </row>
        <row r="6">
          <cell r="B6" t="str">
            <v>uncaser-filler</v>
          </cell>
          <cell r="C6" t="str">
            <v>filler-caser</v>
          </cell>
          <cell r="D6" t="str">
            <v>Bottling</v>
          </cell>
          <cell r="E6" t="str">
            <v>bottle</v>
          </cell>
          <cell r="N6" t="str">
            <v xml:space="preserve">Crate </v>
          </cell>
          <cell r="Q6" t="str">
            <v>on other section</v>
          </cell>
        </row>
        <row r="7">
          <cell r="A7" t="str">
            <v>Day</v>
          </cell>
          <cell r="B7" t="str">
            <v>(mins)</v>
          </cell>
          <cell r="C7" t="str">
            <v>(mins)</v>
          </cell>
          <cell r="D7" t="str">
            <v>size(300hl)</v>
          </cell>
          <cell r="E7" t="str">
            <v>supply</v>
          </cell>
          <cell r="F7" t="str">
            <v>Washer</v>
          </cell>
          <cell r="G7" t="str">
            <v>EBI</v>
          </cell>
          <cell r="H7" t="str">
            <v>Filler</v>
          </cell>
          <cell r="I7" t="str">
            <v>Past.</v>
          </cell>
          <cell r="J7" t="str">
            <v>Labeller</v>
          </cell>
          <cell r="K7" t="str">
            <v>Coder</v>
          </cell>
          <cell r="L7" t="str">
            <v>Convey/s</v>
          </cell>
          <cell r="M7" t="str">
            <v>Packer</v>
          </cell>
          <cell r="N7" t="str">
            <v>washer</v>
          </cell>
          <cell r="O7" t="str">
            <v>Other</v>
          </cell>
          <cell r="P7" t="str">
            <v>Total</v>
          </cell>
          <cell r="Q7" t="str">
            <v>etc.</v>
          </cell>
        </row>
        <row r="8">
          <cell r="A8">
            <v>1</v>
          </cell>
          <cell r="B8">
            <v>125</v>
          </cell>
          <cell r="C8">
            <v>55</v>
          </cell>
          <cell r="D8">
            <v>0.99</v>
          </cell>
          <cell r="F8">
            <v>7</v>
          </cell>
          <cell r="H8">
            <v>82</v>
          </cell>
          <cell r="J8">
            <v>10</v>
          </cell>
          <cell r="P8">
            <v>99</v>
          </cell>
          <cell r="Q8" t="str">
            <v>Boiler Problems</v>
          </cell>
        </row>
        <row r="9">
          <cell r="A9">
            <v>2</v>
          </cell>
          <cell r="B9">
            <v>105</v>
          </cell>
          <cell r="C9">
            <v>65</v>
          </cell>
          <cell r="D9">
            <v>1.0549999999999999</v>
          </cell>
          <cell r="F9">
            <v>15</v>
          </cell>
          <cell r="I9">
            <v>35</v>
          </cell>
          <cell r="O9">
            <v>10</v>
          </cell>
          <cell r="P9">
            <v>60</v>
          </cell>
          <cell r="Q9" t="str">
            <v>Low CO2 Press.</v>
          </cell>
        </row>
        <row r="10">
          <cell r="A10">
            <v>3</v>
          </cell>
          <cell r="P10">
            <v>0</v>
          </cell>
        </row>
        <row r="11">
          <cell r="A11">
            <v>4</v>
          </cell>
          <cell r="D11">
            <v>0.96</v>
          </cell>
          <cell r="F11">
            <v>6</v>
          </cell>
          <cell r="I11">
            <v>11</v>
          </cell>
          <cell r="P11">
            <v>17</v>
          </cell>
        </row>
        <row r="12">
          <cell r="A12">
            <v>5</v>
          </cell>
          <cell r="D12">
            <v>0.77</v>
          </cell>
          <cell r="F12">
            <v>7</v>
          </cell>
          <cell r="I12">
            <v>28</v>
          </cell>
          <cell r="O12">
            <v>7</v>
          </cell>
          <cell r="P12">
            <v>42</v>
          </cell>
          <cell r="Q12" t="str">
            <v>Low CO2 Press.</v>
          </cell>
        </row>
        <row r="13">
          <cell r="A13">
            <v>6</v>
          </cell>
          <cell r="D13">
            <v>0.7</v>
          </cell>
          <cell r="E13">
            <v>6</v>
          </cell>
          <cell r="O13">
            <v>9</v>
          </cell>
          <cell r="P13">
            <v>15</v>
          </cell>
        </row>
        <row r="14">
          <cell r="A14">
            <v>7</v>
          </cell>
          <cell r="D14">
            <v>0.99</v>
          </cell>
          <cell r="H14">
            <v>6</v>
          </cell>
          <cell r="J14">
            <v>6</v>
          </cell>
          <cell r="O14">
            <v>8</v>
          </cell>
          <cell r="P14">
            <v>20</v>
          </cell>
          <cell r="Q14" t="str">
            <v>Low CO2 Press.</v>
          </cell>
        </row>
        <row r="15">
          <cell r="A15">
            <v>8</v>
          </cell>
          <cell r="D15">
            <v>1.23</v>
          </cell>
          <cell r="F15">
            <v>26</v>
          </cell>
          <cell r="I15">
            <v>8</v>
          </cell>
          <cell r="J15">
            <v>4</v>
          </cell>
          <cell r="K15">
            <v>4</v>
          </cell>
          <cell r="P15">
            <v>42</v>
          </cell>
        </row>
        <row r="16">
          <cell r="A16">
            <v>9</v>
          </cell>
          <cell r="D16">
            <v>0.9</v>
          </cell>
          <cell r="E16">
            <v>5</v>
          </cell>
          <cell r="F16">
            <v>20</v>
          </cell>
          <cell r="I16">
            <v>10</v>
          </cell>
          <cell r="O16">
            <v>27</v>
          </cell>
          <cell r="P16">
            <v>62</v>
          </cell>
          <cell r="Q16" t="str">
            <v>Low CO2 Press.</v>
          </cell>
        </row>
        <row r="17">
          <cell r="A17">
            <v>10</v>
          </cell>
          <cell r="D17">
            <v>1.39</v>
          </cell>
          <cell r="F17">
            <v>11</v>
          </cell>
          <cell r="H17">
            <v>9</v>
          </cell>
          <cell r="I17">
            <v>72</v>
          </cell>
          <cell r="O17">
            <v>28</v>
          </cell>
          <cell r="P17">
            <v>120</v>
          </cell>
          <cell r="Q17" t="str">
            <v>Low CO2/H20 Press.</v>
          </cell>
        </row>
        <row r="18">
          <cell r="A18">
            <v>11</v>
          </cell>
          <cell r="D18">
            <v>0.8</v>
          </cell>
          <cell r="H18">
            <v>13</v>
          </cell>
          <cell r="M18">
            <v>3</v>
          </cell>
          <cell r="O18">
            <v>40</v>
          </cell>
          <cell r="P18">
            <v>56</v>
          </cell>
          <cell r="Q18" t="str">
            <v>Low CO2/H20 Press.</v>
          </cell>
        </row>
        <row r="19">
          <cell r="A19">
            <v>12</v>
          </cell>
          <cell r="D19">
            <v>0.96</v>
          </cell>
          <cell r="E19">
            <v>4</v>
          </cell>
          <cell r="F19">
            <v>12</v>
          </cell>
          <cell r="I19">
            <v>15</v>
          </cell>
          <cell r="O19">
            <v>14</v>
          </cell>
          <cell r="P19">
            <v>45</v>
          </cell>
          <cell r="Q19" t="str">
            <v>Low CO2/H20 Press.</v>
          </cell>
        </row>
        <row r="20">
          <cell r="A20">
            <v>13</v>
          </cell>
          <cell r="D20">
            <v>0.99</v>
          </cell>
          <cell r="F20">
            <v>13</v>
          </cell>
          <cell r="I20">
            <v>6</v>
          </cell>
          <cell r="P20">
            <v>19</v>
          </cell>
        </row>
        <row r="21">
          <cell r="A21">
            <v>14</v>
          </cell>
          <cell r="D21">
            <v>0.65</v>
          </cell>
          <cell r="E21">
            <v>7</v>
          </cell>
          <cell r="P21">
            <v>7</v>
          </cell>
        </row>
        <row r="22">
          <cell r="A22">
            <v>15</v>
          </cell>
          <cell r="D22">
            <v>1</v>
          </cell>
          <cell r="F22">
            <v>9</v>
          </cell>
          <cell r="G22">
            <v>4</v>
          </cell>
          <cell r="I22">
            <v>58</v>
          </cell>
          <cell r="O22">
            <v>10</v>
          </cell>
          <cell r="P22">
            <v>81</v>
          </cell>
          <cell r="Q22" t="str">
            <v>Low H20 Press.</v>
          </cell>
        </row>
        <row r="23">
          <cell r="A23">
            <v>16</v>
          </cell>
          <cell r="D23">
            <v>1.05</v>
          </cell>
          <cell r="E23">
            <v>6</v>
          </cell>
          <cell r="F23">
            <v>29</v>
          </cell>
          <cell r="I23">
            <v>54</v>
          </cell>
          <cell r="P23">
            <v>89</v>
          </cell>
        </row>
        <row r="24">
          <cell r="A24">
            <v>17</v>
          </cell>
          <cell r="D24">
            <v>0.67</v>
          </cell>
          <cell r="P24">
            <v>0</v>
          </cell>
        </row>
        <row r="25">
          <cell r="A25">
            <v>18</v>
          </cell>
          <cell r="D25">
            <v>1.02</v>
          </cell>
          <cell r="E25">
            <v>4</v>
          </cell>
          <cell r="F25">
            <v>11</v>
          </cell>
          <cell r="I25">
            <v>17</v>
          </cell>
          <cell r="P25">
            <v>32</v>
          </cell>
        </row>
        <row r="26">
          <cell r="A26">
            <v>19</v>
          </cell>
          <cell r="D26">
            <v>0.94</v>
          </cell>
          <cell r="P26">
            <v>0</v>
          </cell>
        </row>
        <row r="27">
          <cell r="A27">
            <v>20</v>
          </cell>
          <cell r="D27">
            <v>1.1599999999999999</v>
          </cell>
          <cell r="P27">
            <v>0</v>
          </cell>
        </row>
        <row r="28">
          <cell r="A28">
            <v>21</v>
          </cell>
          <cell r="D28">
            <v>0.85</v>
          </cell>
          <cell r="F28">
            <v>5</v>
          </cell>
          <cell r="I28">
            <v>9</v>
          </cell>
          <cell r="P28">
            <v>14</v>
          </cell>
        </row>
        <row r="29">
          <cell r="A29">
            <v>22</v>
          </cell>
          <cell r="D29">
            <v>1.04</v>
          </cell>
          <cell r="F29">
            <v>11</v>
          </cell>
          <cell r="P29">
            <v>11</v>
          </cell>
        </row>
        <row r="30">
          <cell r="A30">
            <v>23</v>
          </cell>
          <cell r="D30">
            <v>0.96</v>
          </cell>
          <cell r="F30">
            <v>36</v>
          </cell>
          <cell r="H30">
            <v>20</v>
          </cell>
          <cell r="I30">
            <v>11</v>
          </cell>
          <cell r="P30">
            <v>67</v>
          </cell>
        </row>
        <row r="31">
          <cell r="A31">
            <v>24</v>
          </cell>
          <cell r="D31">
            <v>0.71</v>
          </cell>
          <cell r="E31">
            <v>8</v>
          </cell>
          <cell r="G31">
            <v>20</v>
          </cell>
          <cell r="L31">
            <v>8</v>
          </cell>
          <cell r="O31">
            <v>8</v>
          </cell>
          <cell r="P31">
            <v>44</v>
          </cell>
        </row>
        <row r="32">
          <cell r="A32" t="str">
            <v>Totals</v>
          </cell>
          <cell r="D32">
            <v>21.785000000000007</v>
          </cell>
          <cell r="E32">
            <v>40</v>
          </cell>
          <cell r="F32">
            <v>218</v>
          </cell>
          <cell r="G32">
            <v>24</v>
          </cell>
          <cell r="H32">
            <v>130</v>
          </cell>
          <cell r="I32">
            <v>334</v>
          </cell>
          <cell r="J32">
            <v>20</v>
          </cell>
          <cell r="K32">
            <v>4</v>
          </cell>
          <cell r="L32">
            <v>8</v>
          </cell>
          <cell r="M32">
            <v>3</v>
          </cell>
          <cell r="N32">
            <v>0</v>
          </cell>
          <cell r="O32">
            <v>161</v>
          </cell>
          <cell r="P32">
            <v>942</v>
          </cell>
        </row>
        <row r="34">
          <cell r="A34" t="str">
            <v>Notes</v>
          </cell>
          <cell r="B34" t="str">
            <v>-Stops in excess of 5 minutes must be recorded</v>
          </cell>
        </row>
        <row r="35">
          <cell r="B35" t="str">
            <v>-All downtimes are relative to the filler</v>
          </cell>
        </row>
      </sheetData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PL"/>
      <sheetName val="Production planHL"/>
      <sheetName val="production scheduler"/>
      <sheetName val="Production plan"/>
      <sheetName val="MarketingBudget"/>
      <sheetName val="graph"/>
      <sheetName val="Sales"/>
      <sheetName val="Quarterly"/>
      <sheetName val="PLTT$"/>
      <sheetName val="PhasedYTDP&amp;L"/>
      <sheetName val="PhasedP&amp;L"/>
      <sheetName val="Cost per case monthly"/>
      <sheetName val="Brand Contribution"/>
      <sheetName val="Avg case Profit"/>
      <sheetName val="CaribBP"/>
      <sheetName val="Carib Flint"/>
      <sheetName val="Carib Export"/>
      <sheetName val="Stag"/>
      <sheetName val="FESBP"/>
      <sheetName val="VitaBP"/>
      <sheetName val="MaxiBP"/>
      <sheetName val="Malta Carib"/>
      <sheetName val="Malta CaribExports"/>
      <sheetName val="Mackeson"/>
      <sheetName val="Mackeson Exports"/>
      <sheetName val="Shandy-Ginger"/>
      <sheetName val="Shandy-Sorrel"/>
      <sheetName val="Shandy Lime "/>
      <sheetName val="Shandy-Exports"/>
      <sheetName val="Juicy10BP"/>
      <sheetName val="Ting"/>
      <sheetName val="Ginseng Original"/>
      <sheetName val="Ginseng Lime"/>
      <sheetName val="Carib In Cans"/>
      <sheetName val="Stag Cans"/>
      <sheetName val="Imported 20 PET Mountain"/>
      <sheetName val="Sheet2"/>
      <sheetName val="Sheet1"/>
      <sheetName val="Imported 20 PET 7 Up"/>
      <sheetName val="Imported Slice"/>
      <sheetName val="Smirnoff"/>
      <sheetName val="Black Ice"/>
      <sheetName val="Smalta-Import"/>
      <sheetName val="Total Expenses"/>
      <sheetName val="Admin &amp; Finance "/>
      <sheetName val="Sales1"/>
      <sheetName val="Distribution "/>
      <sheetName val="Marketing"/>
      <sheetName val="Materials"/>
      <sheetName val="Bottling "/>
      <sheetName val="Maintenance-Utilities"/>
      <sheetName val="Brewing"/>
      <sheetName val="Maintenance-Lawrence "/>
      <sheetName val="Quality "/>
      <sheetName val="Operations "/>
      <sheetName val="Finance "/>
      <sheetName val="Admin 2009"/>
      <sheetName val="Closing StocksRPC"/>
      <sheetName val="Balsheet2011"/>
      <sheetName val="Balsheetworkings"/>
      <sheetName val="BalSheet"/>
      <sheetName val="BSheet TT$"/>
      <sheetName val="Cashflow"/>
      <sheetName val="Tax"/>
      <sheetName val="EVC 2012"/>
      <sheetName val="Depreciation"/>
      <sheetName val="Total Production cost"/>
      <sheetName val="Cost Per case 2011"/>
      <sheetName val="Electricity"/>
      <sheetName val="Material pricingproduction&amp; uti"/>
      <sheetName val="General Chemicals"/>
      <sheetName val="Utilities KPIs"/>
      <sheetName val="CaribBP-Production"/>
      <sheetName val="Carib Flint -Production"/>
      <sheetName val="Stag-Production "/>
      <sheetName val="FESBP-Production"/>
      <sheetName val="Mackesonetc-Production"/>
      <sheetName val="VitaBP-Production"/>
      <sheetName val="MaxiBP-Production"/>
      <sheetName val="Malta Carib-Production"/>
      <sheetName val="Juicy10BP-Production"/>
      <sheetName val="Ting-Production"/>
      <sheetName val="Shandy-Ginger-Production"/>
      <sheetName val="Shandy-Sorrel-Production"/>
      <sheetName val="Shandy Lime-Production"/>
      <sheetName val="ShandyExport-Production"/>
      <sheetName val="Ginseng Original -Production"/>
      <sheetName val="Profit share"/>
      <sheetName val="Ginseng Lime-Production"/>
      <sheetName val="CAPEX"/>
      <sheetName val="Latest estimate"/>
      <sheetName val="Sheet5"/>
      <sheetName val="PhasedP&amp;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nt"/>
      <sheetName val="Monthly summary loss"/>
      <sheetName val="Pareto YTD"/>
      <sheetName val="Pareto Data"/>
      <sheetName val="Pareto analysis month "/>
      <sheetName val="Uncaser Downtime Detail "/>
      <sheetName val="Washer Downtime Detail"/>
      <sheetName val="EBI Downtime Detail"/>
      <sheetName val="Filler Downtime Detail"/>
      <sheetName val="Pasteurizer Downtime Detail"/>
      <sheetName val="Videojet Downtime Detail "/>
      <sheetName val="Labeler Downtime Detail"/>
      <sheetName val="Packer Downtime Detail  "/>
      <sheetName val="Carton Errector-sealer Detail"/>
      <sheetName val="Conveyor Downtime (new)"/>
      <sheetName val="Org &amp; Tech Downtime"/>
      <sheetName val="Sept"/>
      <sheetName val="Oct"/>
      <sheetName val="Data Sheet"/>
      <sheetName val="2 weeks Downtime Trend"/>
      <sheetName val="Jan"/>
      <sheetName val="Feb"/>
      <sheetName val="Mar"/>
      <sheetName val="Apr"/>
      <sheetName val="May"/>
      <sheetName val="Jun"/>
      <sheetName val="Jul"/>
      <sheetName val="Aug"/>
      <sheetName val="Nov"/>
      <sheetName val="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8">
          <cell r="AD8">
            <v>342</v>
          </cell>
        </row>
        <row r="9">
          <cell r="AD9">
            <v>259</v>
          </cell>
        </row>
        <row r="10">
          <cell r="AD10">
            <v>207</v>
          </cell>
        </row>
        <row r="11">
          <cell r="AD11">
            <v>139</v>
          </cell>
        </row>
        <row r="12">
          <cell r="AD12">
            <v>100</v>
          </cell>
        </row>
        <row r="13">
          <cell r="AD13">
            <v>23</v>
          </cell>
        </row>
        <row r="14">
          <cell r="AD14">
            <v>243</v>
          </cell>
        </row>
        <row r="15">
          <cell r="AD15">
            <v>297</v>
          </cell>
        </row>
        <row r="16">
          <cell r="AD16">
            <v>71</v>
          </cell>
        </row>
        <row r="17">
          <cell r="AD17">
            <v>426</v>
          </cell>
        </row>
        <row r="18">
          <cell r="AD18">
            <v>178</v>
          </cell>
        </row>
        <row r="19">
          <cell r="AD19">
            <v>117</v>
          </cell>
        </row>
        <row r="20">
          <cell r="AD20">
            <v>22</v>
          </cell>
        </row>
        <row r="21">
          <cell r="AD21">
            <v>198</v>
          </cell>
        </row>
        <row r="22">
          <cell r="AD22">
            <v>226</v>
          </cell>
        </row>
        <row r="23">
          <cell r="AD23">
            <v>242</v>
          </cell>
        </row>
        <row r="24">
          <cell r="AD24">
            <v>86</v>
          </cell>
        </row>
        <row r="25">
          <cell r="AD25">
            <v>301</v>
          </cell>
        </row>
        <row r="26">
          <cell r="AD26">
            <v>159</v>
          </cell>
        </row>
        <row r="27">
          <cell r="AD27">
            <v>901</v>
          </cell>
        </row>
        <row r="28">
          <cell r="AD28">
            <v>185</v>
          </cell>
        </row>
        <row r="29">
          <cell r="AD29">
            <v>251</v>
          </cell>
        </row>
        <row r="30">
          <cell r="AD30">
            <v>339</v>
          </cell>
        </row>
        <row r="31">
          <cell r="AD31">
            <v>345</v>
          </cell>
        </row>
        <row r="32">
          <cell r="AD32">
            <v>32</v>
          </cell>
        </row>
        <row r="33">
          <cell r="AD33">
            <v>26</v>
          </cell>
        </row>
        <row r="34">
          <cell r="AD34">
            <v>196</v>
          </cell>
        </row>
        <row r="35">
          <cell r="AD35">
            <v>71</v>
          </cell>
        </row>
        <row r="36">
          <cell r="AD36">
            <v>158</v>
          </cell>
        </row>
        <row r="37">
          <cell r="AD37">
            <v>34</v>
          </cell>
        </row>
        <row r="38">
          <cell r="AD38">
            <v>232</v>
          </cell>
        </row>
        <row r="39">
          <cell r="AD39">
            <v>206</v>
          </cell>
        </row>
        <row r="40">
          <cell r="AD40">
            <v>127</v>
          </cell>
        </row>
        <row r="41">
          <cell r="AD41">
            <v>103</v>
          </cell>
        </row>
        <row r="42">
          <cell r="AD42">
            <v>326</v>
          </cell>
        </row>
        <row r="43">
          <cell r="AD43">
            <v>46</v>
          </cell>
        </row>
        <row r="44">
          <cell r="AD44">
            <v>230</v>
          </cell>
        </row>
        <row r="45">
          <cell r="AD45">
            <v>99</v>
          </cell>
        </row>
        <row r="46">
          <cell r="AD46">
            <v>235</v>
          </cell>
        </row>
        <row r="63">
          <cell r="N63">
            <v>815</v>
          </cell>
        </row>
        <row r="64">
          <cell r="N64">
            <v>367</v>
          </cell>
        </row>
        <row r="65">
          <cell r="N65">
            <v>520</v>
          </cell>
        </row>
        <row r="66">
          <cell r="N66">
            <v>334</v>
          </cell>
        </row>
        <row r="67">
          <cell r="N67">
            <v>405</v>
          </cell>
        </row>
        <row r="68">
          <cell r="N68">
            <v>198</v>
          </cell>
        </row>
        <row r="69">
          <cell r="N69">
            <v>700</v>
          </cell>
        </row>
        <row r="70">
          <cell r="N70">
            <v>68</v>
          </cell>
        </row>
        <row r="71">
          <cell r="N71">
            <v>180</v>
          </cell>
        </row>
        <row r="72">
          <cell r="N72">
            <v>757</v>
          </cell>
        </row>
        <row r="73">
          <cell r="N73">
            <v>694</v>
          </cell>
        </row>
        <row r="74">
          <cell r="N74">
            <v>798</v>
          </cell>
        </row>
        <row r="75">
          <cell r="N75">
            <v>109</v>
          </cell>
        </row>
        <row r="76">
          <cell r="N76">
            <v>427</v>
          </cell>
        </row>
        <row r="77">
          <cell r="N77">
            <v>467</v>
          </cell>
        </row>
        <row r="78">
          <cell r="N78">
            <v>691</v>
          </cell>
        </row>
        <row r="79">
          <cell r="N79">
            <v>221</v>
          </cell>
        </row>
        <row r="80">
          <cell r="N80">
            <v>1030</v>
          </cell>
        </row>
        <row r="81">
          <cell r="N81">
            <v>394</v>
          </cell>
        </row>
        <row r="82">
          <cell r="N82">
            <v>88</v>
          </cell>
        </row>
        <row r="83">
          <cell r="N83">
            <v>248</v>
          </cell>
        </row>
        <row r="84">
          <cell r="N84">
            <v>459</v>
          </cell>
        </row>
        <row r="85">
          <cell r="N85">
            <v>544</v>
          </cell>
        </row>
        <row r="86">
          <cell r="N86">
            <v>629</v>
          </cell>
        </row>
        <row r="87">
          <cell r="N87">
            <v>106</v>
          </cell>
        </row>
        <row r="88">
          <cell r="N88">
            <v>101</v>
          </cell>
        </row>
        <row r="89">
          <cell r="N89">
            <v>111</v>
          </cell>
        </row>
        <row r="90">
          <cell r="N90">
            <v>331</v>
          </cell>
        </row>
        <row r="91">
          <cell r="N91">
            <v>732</v>
          </cell>
        </row>
        <row r="92">
          <cell r="N92">
            <v>218</v>
          </cell>
        </row>
        <row r="93">
          <cell r="N93">
            <v>487</v>
          </cell>
        </row>
        <row r="94">
          <cell r="N94">
            <v>723</v>
          </cell>
        </row>
        <row r="95">
          <cell r="N95">
            <v>474</v>
          </cell>
        </row>
        <row r="96">
          <cell r="N96">
            <v>60</v>
          </cell>
        </row>
        <row r="97">
          <cell r="N97">
            <v>739</v>
          </cell>
        </row>
        <row r="98">
          <cell r="N98">
            <v>172</v>
          </cell>
        </row>
        <row r="99">
          <cell r="N99">
            <v>431</v>
          </cell>
        </row>
        <row r="100">
          <cell r="N100">
            <v>427</v>
          </cell>
        </row>
        <row r="101">
          <cell r="N101">
            <v>149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</sheetData>
      <sheetData sheetId="17">
        <row r="8">
          <cell r="AD8">
            <v>27</v>
          </cell>
        </row>
        <row r="9">
          <cell r="AD9">
            <v>0</v>
          </cell>
        </row>
        <row r="10">
          <cell r="AD10">
            <v>0</v>
          </cell>
        </row>
        <row r="11">
          <cell r="AD11">
            <v>0</v>
          </cell>
        </row>
        <row r="12">
          <cell r="AD12">
            <v>0</v>
          </cell>
        </row>
        <row r="13">
          <cell r="AD13">
            <v>0</v>
          </cell>
        </row>
        <row r="14">
          <cell r="AD14">
            <v>0</v>
          </cell>
        </row>
        <row r="15">
          <cell r="AD15">
            <v>0</v>
          </cell>
        </row>
        <row r="16">
          <cell r="AD16">
            <v>0</v>
          </cell>
        </row>
        <row r="17">
          <cell r="AD17">
            <v>0</v>
          </cell>
        </row>
        <row r="18">
          <cell r="AD18">
            <v>0</v>
          </cell>
        </row>
        <row r="19">
          <cell r="AD19">
            <v>0</v>
          </cell>
        </row>
        <row r="20">
          <cell r="AD20">
            <v>0</v>
          </cell>
        </row>
        <row r="21">
          <cell r="AD21">
            <v>0</v>
          </cell>
        </row>
        <row r="22">
          <cell r="AD22">
            <v>0</v>
          </cell>
        </row>
        <row r="23">
          <cell r="AD23">
            <v>0</v>
          </cell>
        </row>
        <row r="24">
          <cell r="AD24">
            <v>0</v>
          </cell>
        </row>
        <row r="25">
          <cell r="AD25">
            <v>0</v>
          </cell>
        </row>
        <row r="26">
          <cell r="AD26">
            <v>0</v>
          </cell>
        </row>
        <row r="27">
          <cell r="AD27">
            <v>0</v>
          </cell>
        </row>
        <row r="28">
          <cell r="AD28">
            <v>0</v>
          </cell>
        </row>
        <row r="29">
          <cell r="AD29">
            <v>0</v>
          </cell>
        </row>
        <row r="30">
          <cell r="AD30">
            <v>0</v>
          </cell>
        </row>
        <row r="31">
          <cell r="AD31">
            <v>0</v>
          </cell>
        </row>
        <row r="32">
          <cell r="AD32">
            <v>0</v>
          </cell>
        </row>
        <row r="33">
          <cell r="AD33">
            <v>0</v>
          </cell>
        </row>
        <row r="34">
          <cell r="AD34">
            <v>0</v>
          </cell>
        </row>
        <row r="35">
          <cell r="AD35">
            <v>0</v>
          </cell>
        </row>
        <row r="36">
          <cell r="AD36">
            <v>0</v>
          </cell>
        </row>
        <row r="37">
          <cell r="AD37">
            <v>0</v>
          </cell>
        </row>
        <row r="38">
          <cell r="AD38">
            <v>0</v>
          </cell>
        </row>
        <row r="39">
          <cell r="AD39">
            <v>0</v>
          </cell>
        </row>
        <row r="40">
          <cell r="AD40">
            <v>0</v>
          </cell>
        </row>
        <row r="41">
          <cell r="AD41">
            <v>0</v>
          </cell>
        </row>
        <row r="42">
          <cell r="AD42">
            <v>0</v>
          </cell>
        </row>
        <row r="43">
          <cell r="AD43">
            <v>0</v>
          </cell>
        </row>
        <row r="44">
          <cell r="AD44">
            <v>0</v>
          </cell>
        </row>
        <row r="45">
          <cell r="AD45">
            <v>0</v>
          </cell>
        </row>
        <row r="46">
          <cell r="AD46">
            <v>0</v>
          </cell>
        </row>
        <row r="47">
          <cell r="AD47">
            <v>0</v>
          </cell>
        </row>
        <row r="48">
          <cell r="AD48">
            <v>0</v>
          </cell>
        </row>
        <row r="49">
          <cell r="AD49">
            <v>0</v>
          </cell>
        </row>
        <row r="50">
          <cell r="AD50">
            <v>0</v>
          </cell>
        </row>
        <row r="51">
          <cell r="AD51">
            <v>0</v>
          </cell>
        </row>
        <row r="52">
          <cell r="AD52">
            <v>0</v>
          </cell>
        </row>
        <row r="53">
          <cell r="AD53">
            <v>0</v>
          </cell>
        </row>
        <row r="54">
          <cell r="AD54">
            <v>0</v>
          </cell>
        </row>
        <row r="55">
          <cell r="AD55">
            <v>0</v>
          </cell>
        </row>
        <row r="56">
          <cell r="AD56">
            <v>0</v>
          </cell>
        </row>
        <row r="57">
          <cell r="AD57">
            <v>0</v>
          </cell>
        </row>
        <row r="58">
          <cell r="AD58">
            <v>0</v>
          </cell>
        </row>
        <row r="59">
          <cell r="AD59">
            <v>0</v>
          </cell>
        </row>
        <row r="60">
          <cell r="AD60">
            <v>0</v>
          </cell>
        </row>
        <row r="79">
          <cell r="N79">
            <v>-15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0</v>
          </cell>
        </row>
        <row r="115">
          <cell r="N115">
            <v>0</v>
          </cell>
        </row>
        <row r="116">
          <cell r="N116">
            <v>0</v>
          </cell>
        </row>
        <row r="117">
          <cell r="N117">
            <v>0</v>
          </cell>
        </row>
        <row r="118">
          <cell r="N118">
            <v>0</v>
          </cell>
        </row>
        <row r="119">
          <cell r="N119">
            <v>0</v>
          </cell>
        </row>
        <row r="120">
          <cell r="N120">
            <v>0</v>
          </cell>
        </row>
        <row r="121">
          <cell r="N121">
            <v>0</v>
          </cell>
        </row>
        <row r="122">
          <cell r="N122">
            <v>0</v>
          </cell>
        </row>
        <row r="123">
          <cell r="N123">
            <v>0</v>
          </cell>
        </row>
        <row r="124">
          <cell r="N124">
            <v>0</v>
          </cell>
        </row>
        <row r="125">
          <cell r="N125">
            <v>0</v>
          </cell>
        </row>
        <row r="126">
          <cell r="N126">
            <v>0</v>
          </cell>
        </row>
        <row r="127">
          <cell r="N127">
            <v>0</v>
          </cell>
        </row>
        <row r="128">
          <cell r="N128">
            <v>0</v>
          </cell>
        </row>
        <row r="129">
          <cell r="N129">
            <v>0</v>
          </cell>
        </row>
      </sheetData>
      <sheetData sheetId="18" refreshError="1"/>
      <sheetData sheetId="19" refreshError="1"/>
      <sheetData sheetId="20">
        <row r="8">
          <cell r="AD8">
            <v>276</v>
          </cell>
        </row>
        <row r="9">
          <cell r="AD9">
            <v>1358</v>
          </cell>
        </row>
        <row r="10">
          <cell r="AD10">
            <v>1440</v>
          </cell>
        </row>
        <row r="11">
          <cell r="AD11">
            <v>1440</v>
          </cell>
        </row>
        <row r="12">
          <cell r="AD12">
            <v>1264</v>
          </cell>
        </row>
        <row r="13">
          <cell r="AD13">
            <v>304</v>
          </cell>
        </row>
        <row r="14">
          <cell r="AD14">
            <v>136</v>
          </cell>
        </row>
        <row r="15">
          <cell r="AD15">
            <v>107</v>
          </cell>
        </row>
        <row r="16">
          <cell r="AD16">
            <v>191</v>
          </cell>
        </row>
        <row r="17">
          <cell r="AD17">
            <v>273</v>
          </cell>
        </row>
        <row r="18">
          <cell r="AD18">
            <v>114</v>
          </cell>
        </row>
        <row r="19">
          <cell r="AD19">
            <v>273</v>
          </cell>
        </row>
        <row r="20">
          <cell r="AD20">
            <v>181</v>
          </cell>
        </row>
        <row r="21">
          <cell r="AD21">
            <v>55</v>
          </cell>
        </row>
        <row r="22">
          <cell r="AD22">
            <v>381</v>
          </cell>
        </row>
        <row r="23">
          <cell r="AD23">
            <v>268</v>
          </cell>
        </row>
        <row r="24">
          <cell r="AD24">
            <v>168</v>
          </cell>
        </row>
        <row r="25">
          <cell r="AD25">
            <v>188</v>
          </cell>
        </row>
        <row r="26">
          <cell r="AD26">
            <v>242</v>
          </cell>
        </row>
        <row r="27">
          <cell r="AD27">
            <v>279</v>
          </cell>
        </row>
        <row r="28">
          <cell r="AD28">
            <v>86</v>
          </cell>
        </row>
        <row r="29">
          <cell r="AD29">
            <v>147</v>
          </cell>
        </row>
        <row r="30">
          <cell r="AD30">
            <v>184</v>
          </cell>
        </row>
        <row r="31">
          <cell r="AD31">
            <v>199</v>
          </cell>
        </row>
        <row r="32">
          <cell r="AD32">
            <v>293</v>
          </cell>
        </row>
        <row r="33">
          <cell r="AD33">
            <v>224</v>
          </cell>
        </row>
        <row r="34">
          <cell r="AD34">
            <v>147</v>
          </cell>
        </row>
        <row r="35">
          <cell r="AD35">
            <v>1440</v>
          </cell>
        </row>
        <row r="36">
          <cell r="AD36">
            <v>398</v>
          </cell>
        </row>
        <row r="37">
          <cell r="AD37">
            <v>234</v>
          </cell>
        </row>
        <row r="38">
          <cell r="AD38">
            <v>73</v>
          </cell>
        </row>
        <row r="39">
          <cell r="AD39">
            <v>29</v>
          </cell>
        </row>
        <row r="40">
          <cell r="AD40">
            <v>49</v>
          </cell>
        </row>
        <row r="41">
          <cell r="AD41">
            <v>955</v>
          </cell>
        </row>
        <row r="42">
          <cell r="AD42">
            <v>189</v>
          </cell>
        </row>
        <row r="43">
          <cell r="AD43">
            <v>268</v>
          </cell>
        </row>
        <row r="44">
          <cell r="AD44">
            <v>121</v>
          </cell>
        </row>
        <row r="45">
          <cell r="AD45">
            <v>216</v>
          </cell>
        </row>
        <row r="46">
          <cell r="AD46">
            <v>173</v>
          </cell>
        </row>
        <row r="47">
          <cell r="AD47">
            <v>78</v>
          </cell>
        </row>
        <row r="48">
          <cell r="AD48">
            <v>24</v>
          </cell>
        </row>
        <row r="49">
          <cell r="AD49">
            <v>204</v>
          </cell>
        </row>
        <row r="50">
          <cell r="AD50">
            <v>72</v>
          </cell>
        </row>
        <row r="51">
          <cell r="AD51">
            <v>57</v>
          </cell>
        </row>
        <row r="52">
          <cell r="AD52">
            <v>224</v>
          </cell>
        </row>
        <row r="53">
          <cell r="AD53">
            <v>0</v>
          </cell>
        </row>
        <row r="69">
          <cell r="N69">
            <v>559</v>
          </cell>
        </row>
        <row r="70">
          <cell r="N70">
            <v>160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271</v>
          </cell>
        </row>
        <row r="74">
          <cell r="N74">
            <v>633</v>
          </cell>
        </row>
        <row r="75">
          <cell r="N75">
            <v>341</v>
          </cell>
        </row>
        <row r="76">
          <cell r="N76">
            <v>331</v>
          </cell>
        </row>
        <row r="77">
          <cell r="N77">
            <v>375</v>
          </cell>
        </row>
        <row r="78">
          <cell r="N78">
            <v>369</v>
          </cell>
        </row>
        <row r="79">
          <cell r="N79">
            <v>78</v>
          </cell>
        </row>
        <row r="80">
          <cell r="N80">
            <v>861</v>
          </cell>
        </row>
        <row r="81">
          <cell r="N81">
            <v>496</v>
          </cell>
        </row>
        <row r="82">
          <cell r="N82">
            <v>278</v>
          </cell>
        </row>
        <row r="83">
          <cell r="N83">
            <v>949</v>
          </cell>
        </row>
        <row r="84">
          <cell r="N84">
            <v>965</v>
          </cell>
        </row>
        <row r="85">
          <cell r="N85">
            <v>252</v>
          </cell>
        </row>
        <row r="86">
          <cell r="N86">
            <v>311</v>
          </cell>
        </row>
        <row r="87">
          <cell r="N87">
            <v>731</v>
          </cell>
        </row>
        <row r="88">
          <cell r="N88">
            <v>736</v>
          </cell>
        </row>
        <row r="89">
          <cell r="N89">
            <v>295</v>
          </cell>
        </row>
        <row r="90">
          <cell r="N90">
            <v>588</v>
          </cell>
        </row>
        <row r="91">
          <cell r="N91">
            <v>572</v>
          </cell>
        </row>
        <row r="92">
          <cell r="N92">
            <v>62</v>
          </cell>
        </row>
        <row r="93">
          <cell r="N93">
            <v>665</v>
          </cell>
        </row>
        <row r="94">
          <cell r="N94">
            <v>311</v>
          </cell>
        </row>
        <row r="95">
          <cell r="N95">
            <v>175</v>
          </cell>
        </row>
        <row r="97">
          <cell r="N97">
            <v>6</v>
          </cell>
        </row>
        <row r="98">
          <cell r="N98">
            <v>303</v>
          </cell>
        </row>
        <row r="99">
          <cell r="N99">
            <v>170</v>
          </cell>
        </row>
        <row r="100">
          <cell r="N100">
            <v>94</v>
          </cell>
        </row>
        <row r="101">
          <cell r="N101">
            <v>91</v>
          </cell>
        </row>
        <row r="102">
          <cell r="N102">
            <v>1115</v>
          </cell>
        </row>
        <row r="103">
          <cell r="N103">
            <v>967</v>
          </cell>
        </row>
        <row r="104">
          <cell r="N104">
            <v>207</v>
          </cell>
        </row>
        <row r="105">
          <cell r="N105">
            <v>400</v>
          </cell>
        </row>
        <row r="106">
          <cell r="N106">
            <v>530</v>
          </cell>
        </row>
        <row r="107">
          <cell r="N107">
            <v>296</v>
          </cell>
        </row>
        <row r="108">
          <cell r="N108">
            <v>495</v>
          </cell>
        </row>
        <row r="109">
          <cell r="N109">
            <v>114</v>
          </cell>
        </row>
        <row r="110">
          <cell r="N110">
            <v>525</v>
          </cell>
        </row>
        <row r="111">
          <cell r="N111">
            <v>60</v>
          </cell>
        </row>
        <row r="112">
          <cell r="N112">
            <v>348</v>
          </cell>
        </row>
        <row r="113">
          <cell r="N113">
            <v>746</v>
          </cell>
        </row>
        <row r="114">
          <cell r="N114">
            <v>0</v>
          </cell>
        </row>
      </sheetData>
      <sheetData sheetId="21">
        <row r="8">
          <cell r="AD8">
            <v>221</v>
          </cell>
        </row>
        <row r="9">
          <cell r="AD9">
            <v>166</v>
          </cell>
        </row>
        <row r="10">
          <cell r="AD10">
            <v>433</v>
          </cell>
        </row>
        <row r="11">
          <cell r="AD11">
            <v>342</v>
          </cell>
        </row>
        <row r="12">
          <cell r="AD12">
            <v>406</v>
          </cell>
        </row>
        <row r="13">
          <cell r="AD13">
            <v>68</v>
          </cell>
        </row>
        <row r="14">
          <cell r="AD14">
            <v>312</v>
          </cell>
        </row>
        <row r="15">
          <cell r="AD15">
            <v>181</v>
          </cell>
        </row>
        <row r="16">
          <cell r="AD16">
            <v>283</v>
          </cell>
        </row>
        <row r="17">
          <cell r="AD17">
            <v>76</v>
          </cell>
        </row>
        <row r="18">
          <cell r="AD18">
            <v>176</v>
          </cell>
        </row>
        <row r="19">
          <cell r="AD19">
            <v>36</v>
          </cell>
        </row>
        <row r="20">
          <cell r="AD20">
            <v>363</v>
          </cell>
        </row>
        <row r="21">
          <cell r="AD21">
            <v>294</v>
          </cell>
        </row>
        <row r="22">
          <cell r="AD22">
            <v>190</v>
          </cell>
        </row>
        <row r="23">
          <cell r="AD23">
            <v>117</v>
          </cell>
        </row>
        <row r="24">
          <cell r="AD24">
            <v>119</v>
          </cell>
        </row>
        <row r="25">
          <cell r="AD25">
            <v>401</v>
          </cell>
        </row>
        <row r="26">
          <cell r="AD26">
            <v>580</v>
          </cell>
        </row>
        <row r="27">
          <cell r="AD27">
            <v>49</v>
          </cell>
        </row>
        <row r="28">
          <cell r="AD28">
            <v>794</v>
          </cell>
        </row>
        <row r="29">
          <cell r="AD29">
            <v>736</v>
          </cell>
        </row>
        <row r="30">
          <cell r="AD30">
            <v>1019</v>
          </cell>
        </row>
        <row r="31">
          <cell r="AD31">
            <v>1440</v>
          </cell>
        </row>
        <row r="32">
          <cell r="AD32">
            <v>461</v>
          </cell>
        </row>
        <row r="33">
          <cell r="AD33">
            <v>116</v>
          </cell>
        </row>
        <row r="34">
          <cell r="AD34">
            <v>180</v>
          </cell>
        </row>
        <row r="35">
          <cell r="AD35">
            <v>178</v>
          </cell>
        </row>
        <row r="36">
          <cell r="AD36">
            <v>394</v>
          </cell>
        </row>
        <row r="37">
          <cell r="AD37">
            <v>876</v>
          </cell>
        </row>
        <row r="38">
          <cell r="AD38">
            <v>88</v>
          </cell>
        </row>
        <row r="39">
          <cell r="AD39">
            <v>550</v>
          </cell>
        </row>
        <row r="40">
          <cell r="AD40">
            <v>810</v>
          </cell>
        </row>
        <row r="41">
          <cell r="AD41">
            <v>815</v>
          </cell>
        </row>
        <row r="42">
          <cell r="AD42">
            <v>137</v>
          </cell>
        </row>
        <row r="43">
          <cell r="AD43">
            <v>54</v>
          </cell>
        </row>
        <row r="44">
          <cell r="AD44">
            <v>205</v>
          </cell>
        </row>
        <row r="45">
          <cell r="AD45">
            <v>114</v>
          </cell>
        </row>
        <row r="46">
          <cell r="AD46">
            <v>97</v>
          </cell>
        </row>
        <row r="47">
          <cell r="AD47">
            <v>209</v>
          </cell>
        </row>
        <row r="48">
          <cell r="AD48">
            <v>0</v>
          </cell>
        </row>
        <row r="49">
          <cell r="AD49">
            <v>0</v>
          </cell>
        </row>
        <row r="50">
          <cell r="AD50">
            <v>0</v>
          </cell>
        </row>
        <row r="51">
          <cell r="AD51">
            <v>0</v>
          </cell>
        </row>
        <row r="52">
          <cell r="AD52">
            <v>0</v>
          </cell>
        </row>
        <row r="53">
          <cell r="AD53">
            <v>0</v>
          </cell>
        </row>
        <row r="54">
          <cell r="AD54">
            <v>0</v>
          </cell>
        </row>
        <row r="55">
          <cell r="AD55">
            <v>0</v>
          </cell>
        </row>
        <row r="56">
          <cell r="AD56">
            <v>0</v>
          </cell>
        </row>
        <row r="59">
          <cell r="AD59">
            <v>0</v>
          </cell>
        </row>
        <row r="68">
          <cell r="N68">
            <v>354</v>
          </cell>
        </row>
        <row r="69">
          <cell r="N69">
            <v>724</v>
          </cell>
        </row>
        <row r="70">
          <cell r="N70">
            <v>1147</v>
          </cell>
        </row>
        <row r="71">
          <cell r="N71">
            <v>711</v>
          </cell>
        </row>
        <row r="72">
          <cell r="N72">
            <v>489</v>
          </cell>
        </row>
        <row r="73">
          <cell r="N73">
            <v>144</v>
          </cell>
        </row>
        <row r="74">
          <cell r="N74">
            <v>718</v>
          </cell>
        </row>
        <row r="75">
          <cell r="N75">
            <v>276</v>
          </cell>
        </row>
        <row r="76">
          <cell r="N76">
            <v>940</v>
          </cell>
        </row>
        <row r="77">
          <cell r="N77">
            <v>200</v>
          </cell>
        </row>
        <row r="78">
          <cell r="N78">
            <v>165</v>
          </cell>
        </row>
        <row r="79">
          <cell r="N79">
            <v>139</v>
          </cell>
        </row>
        <row r="80">
          <cell r="N80">
            <v>384</v>
          </cell>
        </row>
        <row r="81">
          <cell r="N81">
            <v>429</v>
          </cell>
        </row>
        <row r="82">
          <cell r="N82">
            <v>272</v>
          </cell>
        </row>
        <row r="83">
          <cell r="N83">
            <v>332</v>
          </cell>
        </row>
        <row r="84">
          <cell r="N84">
            <v>557</v>
          </cell>
        </row>
        <row r="85">
          <cell r="N85">
            <v>659</v>
          </cell>
        </row>
        <row r="86">
          <cell r="N86">
            <v>1320</v>
          </cell>
        </row>
        <row r="87">
          <cell r="N87">
            <v>236</v>
          </cell>
        </row>
        <row r="88">
          <cell r="N88">
            <v>229</v>
          </cell>
        </row>
        <row r="89">
          <cell r="N89">
            <v>711</v>
          </cell>
        </row>
        <row r="90">
          <cell r="N90">
            <v>528</v>
          </cell>
        </row>
        <row r="91">
          <cell r="N91">
            <v>0</v>
          </cell>
        </row>
        <row r="92">
          <cell r="N92">
            <v>749</v>
          </cell>
        </row>
        <row r="93">
          <cell r="N93">
            <v>243</v>
          </cell>
        </row>
        <row r="94">
          <cell r="N94">
            <v>154</v>
          </cell>
        </row>
        <row r="95">
          <cell r="N95">
            <v>439</v>
          </cell>
        </row>
        <row r="96">
          <cell r="N96">
            <v>557</v>
          </cell>
        </row>
        <row r="97">
          <cell r="N97">
            <v>703</v>
          </cell>
        </row>
        <row r="98">
          <cell r="N98">
            <v>335</v>
          </cell>
        </row>
        <row r="99">
          <cell r="N99">
            <v>962</v>
          </cell>
        </row>
        <row r="100">
          <cell r="N100">
            <v>1415</v>
          </cell>
        </row>
        <row r="101">
          <cell r="N101">
            <v>1027</v>
          </cell>
        </row>
        <row r="102">
          <cell r="N102">
            <v>385</v>
          </cell>
        </row>
        <row r="103">
          <cell r="N103">
            <v>211</v>
          </cell>
        </row>
        <row r="104">
          <cell r="N104">
            <v>530</v>
          </cell>
        </row>
        <row r="105">
          <cell r="N105">
            <v>285</v>
          </cell>
        </row>
        <row r="106">
          <cell r="N106">
            <v>255</v>
          </cell>
        </row>
        <row r="107">
          <cell r="N107">
            <v>531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0</v>
          </cell>
        </row>
        <row r="115">
          <cell r="N115">
            <v>0</v>
          </cell>
        </row>
        <row r="116">
          <cell r="N116">
            <v>0</v>
          </cell>
        </row>
      </sheetData>
      <sheetData sheetId="22">
        <row r="8">
          <cell r="AD8">
            <v>154</v>
          </cell>
        </row>
        <row r="9">
          <cell r="AD9">
            <v>327</v>
          </cell>
        </row>
        <row r="10">
          <cell r="AD10">
            <v>513</v>
          </cell>
        </row>
        <row r="11">
          <cell r="AD11">
            <v>187</v>
          </cell>
        </row>
        <row r="12">
          <cell r="AD12">
            <v>332</v>
          </cell>
        </row>
        <row r="13">
          <cell r="AD13">
            <v>19</v>
          </cell>
        </row>
        <row r="14">
          <cell r="AD14">
            <v>710</v>
          </cell>
        </row>
        <row r="15">
          <cell r="AD15">
            <v>194</v>
          </cell>
        </row>
        <row r="16">
          <cell r="AD16">
            <v>80</v>
          </cell>
        </row>
        <row r="17">
          <cell r="AD17">
            <v>229</v>
          </cell>
        </row>
        <row r="18">
          <cell r="AD18">
            <v>417</v>
          </cell>
        </row>
        <row r="19">
          <cell r="AD19">
            <v>682</v>
          </cell>
        </row>
        <row r="20">
          <cell r="AD20">
            <v>235</v>
          </cell>
        </row>
        <row r="21">
          <cell r="AD21">
            <v>226</v>
          </cell>
        </row>
        <row r="22">
          <cell r="AD22">
            <v>74</v>
          </cell>
        </row>
        <row r="23">
          <cell r="AD23">
            <v>178</v>
          </cell>
        </row>
        <row r="24">
          <cell r="AD24">
            <v>272</v>
          </cell>
        </row>
        <row r="25">
          <cell r="AD25">
            <v>152</v>
          </cell>
        </row>
        <row r="26">
          <cell r="AD26">
            <v>218</v>
          </cell>
        </row>
        <row r="27">
          <cell r="AD27">
            <v>244</v>
          </cell>
        </row>
        <row r="28">
          <cell r="AD28">
            <v>350</v>
          </cell>
        </row>
        <row r="29">
          <cell r="AD29">
            <v>1109</v>
          </cell>
        </row>
        <row r="30">
          <cell r="AD30">
            <v>1440</v>
          </cell>
        </row>
        <row r="31">
          <cell r="AD31">
            <v>605</v>
          </cell>
        </row>
        <row r="32">
          <cell r="AD32">
            <v>133</v>
          </cell>
        </row>
        <row r="33">
          <cell r="AD33">
            <v>129</v>
          </cell>
        </row>
        <row r="34">
          <cell r="AD34">
            <v>58</v>
          </cell>
        </row>
        <row r="35">
          <cell r="AD35">
            <v>53</v>
          </cell>
        </row>
        <row r="36">
          <cell r="AD36">
            <v>160</v>
          </cell>
        </row>
        <row r="37">
          <cell r="AD37">
            <v>163</v>
          </cell>
        </row>
        <row r="38">
          <cell r="AD38">
            <v>127</v>
          </cell>
        </row>
        <row r="39">
          <cell r="AD39">
            <v>72</v>
          </cell>
        </row>
        <row r="40">
          <cell r="AD40">
            <v>74</v>
          </cell>
        </row>
        <row r="41">
          <cell r="AD41">
            <v>356</v>
          </cell>
        </row>
        <row r="42">
          <cell r="AD42">
            <v>370</v>
          </cell>
        </row>
        <row r="43">
          <cell r="AD43">
            <v>142</v>
          </cell>
        </row>
        <row r="44">
          <cell r="AD44">
            <v>200</v>
          </cell>
        </row>
        <row r="45">
          <cell r="AD45">
            <v>73</v>
          </cell>
        </row>
        <row r="46">
          <cell r="AD46">
            <v>359</v>
          </cell>
        </row>
        <row r="47">
          <cell r="AD47">
            <v>360</v>
          </cell>
        </row>
        <row r="48">
          <cell r="AD48">
            <v>107</v>
          </cell>
        </row>
        <row r="49">
          <cell r="AD49">
            <v>97</v>
          </cell>
        </row>
        <row r="50">
          <cell r="AD50">
            <v>109</v>
          </cell>
        </row>
        <row r="51">
          <cell r="AD51">
            <v>79</v>
          </cell>
        </row>
        <row r="52">
          <cell r="AD52">
            <v>311</v>
          </cell>
        </row>
        <row r="53">
          <cell r="AD53">
            <v>571</v>
          </cell>
        </row>
        <row r="54">
          <cell r="AD54">
            <v>73</v>
          </cell>
        </row>
        <row r="55">
          <cell r="AD55">
            <v>48</v>
          </cell>
        </row>
        <row r="56">
          <cell r="AD56">
            <v>185</v>
          </cell>
        </row>
        <row r="57">
          <cell r="AD57">
            <v>276</v>
          </cell>
        </row>
        <row r="69">
          <cell r="N69">
            <v>297</v>
          </cell>
        </row>
        <row r="70">
          <cell r="N70">
            <v>976</v>
          </cell>
        </row>
        <row r="71">
          <cell r="N71">
            <v>1338</v>
          </cell>
        </row>
        <row r="72">
          <cell r="N72">
            <v>509</v>
          </cell>
        </row>
        <row r="73">
          <cell r="N73">
            <v>751</v>
          </cell>
        </row>
        <row r="74">
          <cell r="N74">
            <v>96</v>
          </cell>
        </row>
        <row r="75">
          <cell r="N75">
            <v>825</v>
          </cell>
        </row>
        <row r="76">
          <cell r="N76">
            <v>366</v>
          </cell>
        </row>
        <row r="77">
          <cell r="N77">
            <v>163</v>
          </cell>
        </row>
        <row r="78">
          <cell r="N78">
            <v>512</v>
          </cell>
        </row>
        <row r="79">
          <cell r="N79">
            <v>621</v>
          </cell>
        </row>
        <row r="80">
          <cell r="N80">
            <v>936</v>
          </cell>
        </row>
        <row r="81">
          <cell r="N81">
            <v>974</v>
          </cell>
        </row>
        <row r="82">
          <cell r="N82">
            <v>248</v>
          </cell>
        </row>
        <row r="83">
          <cell r="N83">
            <v>261</v>
          </cell>
        </row>
        <row r="84">
          <cell r="N84">
            <v>462</v>
          </cell>
        </row>
        <row r="85">
          <cell r="N85">
            <v>493</v>
          </cell>
        </row>
        <row r="86">
          <cell r="N86">
            <v>811</v>
          </cell>
        </row>
        <row r="87">
          <cell r="N87">
            <v>480</v>
          </cell>
        </row>
        <row r="88">
          <cell r="N88">
            <v>665</v>
          </cell>
        </row>
        <row r="89">
          <cell r="N89">
            <v>250</v>
          </cell>
        </row>
        <row r="90">
          <cell r="N90">
            <v>286</v>
          </cell>
        </row>
        <row r="91">
          <cell r="N91">
            <v>0</v>
          </cell>
        </row>
        <row r="92">
          <cell r="N92">
            <v>427</v>
          </cell>
        </row>
        <row r="93">
          <cell r="N93">
            <v>435</v>
          </cell>
        </row>
        <row r="94">
          <cell r="N94">
            <v>938</v>
          </cell>
        </row>
        <row r="95">
          <cell r="N95">
            <v>190</v>
          </cell>
        </row>
        <row r="96">
          <cell r="N96">
            <v>221</v>
          </cell>
        </row>
        <row r="97">
          <cell r="N97">
            <v>696</v>
          </cell>
        </row>
        <row r="98">
          <cell r="N98">
            <v>322</v>
          </cell>
        </row>
        <row r="99">
          <cell r="N99">
            <v>533</v>
          </cell>
        </row>
        <row r="100">
          <cell r="N100">
            <v>378</v>
          </cell>
        </row>
        <row r="101">
          <cell r="N101">
            <v>312</v>
          </cell>
        </row>
        <row r="102">
          <cell r="N102">
            <v>243</v>
          </cell>
        </row>
        <row r="103">
          <cell r="N103">
            <v>617</v>
          </cell>
        </row>
        <row r="104">
          <cell r="N104">
            <v>382</v>
          </cell>
        </row>
        <row r="105">
          <cell r="N105">
            <v>30</v>
          </cell>
        </row>
        <row r="106">
          <cell r="N106">
            <v>191</v>
          </cell>
        </row>
        <row r="107">
          <cell r="N107">
            <v>466</v>
          </cell>
        </row>
        <row r="108">
          <cell r="N108">
            <v>314</v>
          </cell>
        </row>
        <row r="109">
          <cell r="N109">
            <v>264</v>
          </cell>
        </row>
        <row r="110">
          <cell r="N110">
            <v>266</v>
          </cell>
        </row>
        <row r="111">
          <cell r="N111">
            <v>178</v>
          </cell>
        </row>
        <row r="112">
          <cell r="N112">
            <v>78</v>
          </cell>
        </row>
        <row r="113">
          <cell r="N113">
            <v>830</v>
          </cell>
        </row>
        <row r="114">
          <cell r="N114">
            <v>919</v>
          </cell>
        </row>
        <row r="115">
          <cell r="N115">
            <v>232</v>
          </cell>
        </row>
        <row r="116">
          <cell r="N116">
            <v>145</v>
          </cell>
        </row>
        <row r="117">
          <cell r="N117">
            <v>338</v>
          </cell>
        </row>
        <row r="118">
          <cell r="N118">
            <v>346</v>
          </cell>
        </row>
      </sheetData>
      <sheetData sheetId="23">
        <row r="8">
          <cell r="AD8">
            <v>50</v>
          </cell>
        </row>
        <row r="9">
          <cell r="AD9">
            <v>27</v>
          </cell>
        </row>
        <row r="10">
          <cell r="AD10">
            <v>974</v>
          </cell>
        </row>
        <row r="11">
          <cell r="AD11">
            <v>690</v>
          </cell>
        </row>
        <row r="12">
          <cell r="AD12">
            <v>339</v>
          </cell>
        </row>
        <row r="13">
          <cell r="AD13">
            <v>1047</v>
          </cell>
        </row>
        <row r="14">
          <cell r="AD14">
            <v>223</v>
          </cell>
        </row>
        <row r="15">
          <cell r="AD15">
            <v>281</v>
          </cell>
        </row>
        <row r="16">
          <cell r="AD16">
            <v>110</v>
          </cell>
        </row>
        <row r="17">
          <cell r="AD17">
            <v>264</v>
          </cell>
        </row>
        <row r="18">
          <cell r="AD18">
            <v>367</v>
          </cell>
        </row>
        <row r="19">
          <cell r="AD19">
            <v>324</v>
          </cell>
        </row>
        <row r="20">
          <cell r="AD20">
            <v>245</v>
          </cell>
        </row>
        <row r="21">
          <cell r="AD21">
            <v>141</v>
          </cell>
        </row>
        <row r="22">
          <cell r="AD22">
            <v>170</v>
          </cell>
        </row>
        <row r="23">
          <cell r="AD23">
            <v>312</v>
          </cell>
        </row>
        <row r="24">
          <cell r="AD24">
            <v>30</v>
          </cell>
        </row>
        <row r="25">
          <cell r="AD25">
            <v>38</v>
          </cell>
        </row>
        <row r="26">
          <cell r="AD26">
            <v>104</v>
          </cell>
        </row>
        <row r="27">
          <cell r="AD27">
            <v>314</v>
          </cell>
        </row>
        <row r="28">
          <cell r="AD28">
            <v>173</v>
          </cell>
        </row>
        <row r="29">
          <cell r="AD29">
            <v>137</v>
          </cell>
        </row>
        <row r="30">
          <cell r="AD30">
            <v>142</v>
          </cell>
        </row>
        <row r="31">
          <cell r="AD31">
            <v>414</v>
          </cell>
        </row>
        <row r="32">
          <cell r="AD32">
            <v>522</v>
          </cell>
        </row>
        <row r="33">
          <cell r="AD33">
            <v>58</v>
          </cell>
        </row>
        <row r="34">
          <cell r="AD34">
            <v>216</v>
          </cell>
        </row>
        <row r="35">
          <cell r="AD35">
            <v>207</v>
          </cell>
        </row>
        <row r="36">
          <cell r="AD36">
            <v>309</v>
          </cell>
        </row>
        <row r="37">
          <cell r="AD37">
            <v>84</v>
          </cell>
        </row>
        <row r="38">
          <cell r="AD38">
            <v>398</v>
          </cell>
        </row>
        <row r="39">
          <cell r="AD39">
            <v>524</v>
          </cell>
        </row>
        <row r="40">
          <cell r="AD40">
            <v>363</v>
          </cell>
        </row>
        <row r="41">
          <cell r="AD41">
            <v>84</v>
          </cell>
        </row>
        <row r="42">
          <cell r="AD42">
            <v>807</v>
          </cell>
        </row>
        <row r="43">
          <cell r="AD43">
            <v>549</v>
          </cell>
        </row>
        <row r="44">
          <cell r="AD44">
            <v>659</v>
          </cell>
        </row>
        <row r="45">
          <cell r="AD45">
            <v>174</v>
          </cell>
        </row>
        <row r="46">
          <cell r="AD46">
            <v>166</v>
          </cell>
        </row>
        <row r="47">
          <cell r="AD47">
            <v>109</v>
          </cell>
        </row>
        <row r="48">
          <cell r="AD48">
            <v>346</v>
          </cell>
        </row>
        <row r="49">
          <cell r="AD49">
            <v>0</v>
          </cell>
        </row>
        <row r="50">
          <cell r="AD50">
            <v>0</v>
          </cell>
        </row>
        <row r="51">
          <cell r="AD51">
            <v>0</v>
          </cell>
        </row>
        <row r="52">
          <cell r="AD52">
            <v>0</v>
          </cell>
        </row>
        <row r="62">
          <cell r="P62">
            <v>324</v>
          </cell>
        </row>
        <row r="63">
          <cell r="P63">
            <v>116</v>
          </cell>
        </row>
        <row r="64">
          <cell r="P64">
            <v>0</v>
          </cell>
        </row>
        <row r="65">
          <cell r="P65">
            <v>180</v>
          </cell>
        </row>
        <row r="66">
          <cell r="P66">
            <v>550</v>
          </cell>
        </row>
        <row r="67">
          <cell r="P67">
            <v>517</v>
          </cell>
        </row>
        <row r="68">
          <cell r="P68">
            <v>10</v>
          </cell>
        </row>
        <row r="69">
          <cell r="P69">
            <v>1158</v>
          </cell>
        </row>
        <row r="70">
          <cell r="P70">
            <v>177</v>
          </cell>
        </row>
        <row r="71">
          <cell r="P71">
            <v>1399</v>
          </cell>
        </row>
        <row r="72">
          <cell r="P72">
            <v>1009</v>
          </cell>
        </row>
        <row r="73">
          <cell r="P73">
            <v>555</v>
          </cell>
        </row>
        <row r="74">
          <cell r="P74">
            <v>600</v>
          </cell>
        </row>
        <row r="75">
          <cell r="P75">
            <v>477</v>
          </cell>
        </row>
        <row r="76">
          <cell r="P76">
            <v>367</v>
          </cell>
        </row>
        <row r="77">
          <cell r="P77">
            <v>455</v>
          </cell>
        </row>
        <row r="78">
          <cell r="P78">
            <v>30</v>
          </cell>
        </row>
        <row r="79">
          <cell r="P79">
            <v>114</v>
          </cell>
        </row>
        <row r="80">
          <cell r="P80">
            <v>323</v>
          </cell>
        </row>
        <row r="81">
          <cell r="P81">
            <v>845</v>
          </cell>
        </row>
        <row r="82">
          <cell r="P82">
            <v>509</v>
          </cell>
        </row>
        <row r="83">
          <cell r="P83">
            <v>840</v>
          </cell>
        </row>
        <row r="84">
          <cell r="P84">
            <v>355</v>
          </cell>
        </row>
        <row r="85">
          <cell r="P85">
            <v>517</v>
          </cell>
        </row>
        <row r="86">
          <cell r="P86">
            <v>495</v>
          </cell>
        </row>
        <row r="87">
          <cell r="P87">
            <v>241</v>
          </cell>
        </row>
        <row r="88">
          <cell r="P88">
            <v>213</v>
          </cell>
        </row>
        <row r="89">
          <cell r="P89">
            <v>726</v>
          </cell>
        </row>
        <row r="90">
          <cell r="P90">
            <v>667</v>
          </cell>
        </row>
        <row r="91">
          <cell r="P91">
            <v>290</v>
          </cell>
        </row>
        <row r="92">
          <cell r="P92">
            <v>1046</v>
          </cell>
        </row>
        <row r="93">
          <cell r="P93">
            <v>727</v>
          </cell>
        </row>
        <row r="94">
          <cell r="P94">
            <v>560</v>
          </cell>
        </row>
        <row r="95">
          <cell r="P95">
            <v>58</v>
          </cell>
        </row>
        <row r="96">
          <cell r="P96">
            <v>582</v>
          </cell>
        </row>
        <row r="97">
          <cell r="P97">
            <v>1078</v>
          </cell>
        </row>
        <row r="98">
          <cell r="P98">
            <v>1412</v>
          </cell>
        </row>
        <row r="99">
          <cell r="P99">
            <v>909</v>
          </cell>
        </row>
        <row r="100">
          <cell r="P100">
            <v>430</v>
          </cell>
        </row>
        <row r="101">
          <cell r="P101">
            <v>362</v>
          </cell>
        </row>
        <row r="102">
          <cell r="P102">
            <v>814</v>
          </cell>
        </row>
      </sheetData>
      <sheetData sheetId="24">
        <row r="8">
          <cell r="AD8">
            <v>254</v>
          </cell>
        </row>
        <row r="9">
          <cell r="AD9">
            <v>386</v>
          </cell>
        </row>
        <row r="10">
          <cell r="AD10">
            <v>939</v>
          </cell>
        </row>
        <row r="11">
          <cell r="AD11">
            <v>41</v>
          </cell>
        </row>
        <row r="12">
          <cell r="AD12">
            <v>242</v>
          </cell>
        </row>
        <row r="13">
          <cell r="AD13">
            <v>80</v>
          </cell>
        </row>
        <row r="14">
          <cell r="AD14">
            <v>290</v>
          </cell>
        </row>
        <row r="15">
          <cell r="AD15">
            <v>124</v>
          </cell>
        </row>
        <row r="16">
          <cell r="AD16">
            <v>159</v>
          </cell>
        </row>
        <row r="17">
          <cell r="AD17">
            <v>284</v>
          </cell>
        </row>
        <row r="18">
          <cell r="AD18">
            <v>218</v>
          </cell>
        </row>
        <row r="19">
          <cell r="AD19">
            <v>615</v>
          </cell>
        </row>
        <row r="20">
          <cell r="AD20">
            <v>48</v>
          </cell>
        </row>
        <row r="21">
          <cell r="AD21">
            <v>340</v>
          </cell>
        </row>
        <row r="22">
          <cell r="AD22">
            <v>48</v>
          </cell>
        </row>
        <row r="23">
          <cell r="AD23">
            <v>319</v>
          </cell>
        </row>
        <row r="24">
          <cell r="AD24">
            <v>12</v>
          </cell>
        </row>
        <row r="25">
          <cell r="AD25">
            <v>102</v>
          </cell>
        </row>
        <row r="26">
          <cell r="AD26">
            <v>204</v>
          </cell>
        </row>
        <row r="27">
          <cell r="AD27">
            <v>114</v>
          </cell>
        </row>
        <row r="28">
          <cell r="AD28">
            <v>420</v>
          </cell>
        </row>
        <row r="29">
          <cell r="AD29">
            <v>21</v>
          </cell>
        </row>
        <row r="30">
          <cell r="AD30">
            <v>123</v>
          </cell>
        </row>
        <row r="31">
          <cell r="AD31">
            <v>183</v>
          </cell>
        </row>
        <row r="32">
          <cell r="AD32">
            <v>205</v>
          </cell>
        </row>
        <row r="33">
          <cell r="AD33">
            <v>214</v>
          </cell>
        </row>
        <row r="34">
          <cell r="AD34">
            <v>141</v>
          </cell>
        </row>
        <row r="35">
          <cell r="AD35">
            <v>122</v>
          </cell>
        </row>
        <row r="36">
          <cell r="AD36">
            <v>140</v>
          </cell>
        </row>
        <row r="37">
          <cell r="AD37">
            <v>189</v>
          </cell>
        </row>
        <row r="38">
          <cell r="AD38">
            <v>27</v>
          </cell>
        </row>
        <row r="39">
          <cell r="AD39">
            <v>165</v>
          </cell>
        </row>
        <row r="40">
          <cell r="AD40">
            <v>259</v>
          </cell>
        </row>
        <row r="41">
          <cell r="AD41">
            <v>171</v>
          </cell>
        </row>
        <row r="42">
          <cell r="AD42">
            <v>184</v>
          </cell>
        </row>
        <row r="43">
          <cell r="AD43">
            <v>110</v>
          </cell>
        </row>
        <row r="44">
          <cell r="AD44">
            <v>384</v>
          </cell>
        </row>
        <row r="45">
          <cell r="AD45">
            <v>430</v>
          </cell>
        </row>
        <row r="46">
          <cell r="AD46">
            <v>108</v>
          </cell>
        </row>
        <row r="47">
          <cell r="AD47">
            <v>59</v>
          </cell>
        </row>
        <row r="48">
          <cell r="AD48">
            <v>0</v>
          </cell>
        </row>
        <row r="49">
          <cell r="AD49">
            <v>0</v>
          </cell>
        </row>
        <row r="50">
          <cell r="AD50">
            <v>0</v>
          </cell>
        </row>
        <row r="71">
          <cell r="N71">
            <v>222</v>
          </cell>
        </row>
        <row r="72">
          <cell r="N72">
            <v>737</v>
          </cell>
        </row>
        <row r="73">
          <cell r="N73">
            <v>1063</v>
          </cell>
        </row>
        <row r="74">
          <cell r="N74">
            <v>107</v>
          </cell>
        </row>
        <row r="75">
          <cell r="N75">
            <v>1426</v>
          </cell>
        </row>
        <row r="76">
          <cell r="N76">
            <v>234</v>
          </cell>
        </row>
        <row r="77">
          <cell r="N77">
            <v>293</v>
          </cell>
        </row>
        <row r="78">
          <cell r="N78">
            <v>385</v>
          </cell>
        </row>
        <row r="79">
          <cell r="N79">
            <v>696</v>
          </cell>
        </row>
        <row r="80">
          <cell r="N80">
            <v>190</v>
          </cell>
        </row>
        <row r="81">
          <cell r="N81">
            <v>845</v>
          </cell>
        </row>
        <row r="82">
          <cell r="N82">
            <v>844</v>
          </cell>
        </row>
        <row r="83">
          <cell r="N83">
            <v>385</v>
          </cell>
        </row>
        <row r="84">
          <cell r="N84">
            <v>908</v>
          </cell>
        </row>
        <row r="85">
          <cell r="N85">
            <v>141</v>
          </cell>
        </row>
        <row r="86">
          <cell r="N86">
            <v>1159</v>
          </cell>
        </row>
        <row r="87">
          <cell r="N87">
            <v>52</v>
          </cell>
        </row>
        <row r="88">
          <cell r="N88">
            <v>256</v>
          </cell>
        </row>
        <row r="89">
          <cell r="N89">
            <v>342</v>
          </cell>
        </row>
        <row r="90">
          <cell r="N90">
            <v>350</v>
          </cell>
        </row>
        <row r="91">
          <cell r="N91">
            <v>491</v>
          </cell>
        </row>
        <row r="92">
          <cell r="N92">
            <v>189</v>
          </cell>
        </row>
        <row r="93">
          <cell r="N93">
            <v>719</v>
          </cell>
        </row>
        <row r="94">
          <cell r="N94">
            <v>699</v>
          </cell>
        </row>
        <row r="95">
          <cell r="N95">
            <v>348</v>
          </cell>
        </row>
        <row r="96">
          <cell r="N96">
            <v>750</v>
          </cell>
        </row>
        <row r="97">
          <cell r="N97">
            <v>332</v>
          </cell>
        </row>
        <row r="98">
          <cell r="N98">
            <v>267</v>
          </cell>
        </row>
        <row r="99">
          <cell r="N99">
            <v>647</v>
          </cell>
        </row>
        <row r="100">
          <cell r="N100">
            <v>505</v>
          </cell>
        </row>
        <row r="101">
          <cell r="N101">
            <v>38</v>
          </cell>
        </row>
        <row r="102">
          <cell r="N102">
            <v>761</v>
          </cell>
        </row>
        <row r="103">
          <cell r="N103">
            <v>199</v>
          </cell>
        </row>
        <row r="104">
          <cell r="N104">
            <v>482</v>
          </cell>
        </row>
        <row r="105">
          <cell r="N105">
            <v>322</v>
          </cell>
        </row>
        <row r="106">
          <cell r="N106">
            <v>131</v>
          </cell>
        </row>
        <row r="107">
          <cell r="N107">
            <v>485</v>
          </cell>
        </row>
        <row r="108">
          <cell r="N108">
            <v>1106</v>
          </cell>
        </row>
        <row r="109">
          <cell r="N109">
            <v>210</v>
          </cell>
        </row>
        <row r="110">
          <cell r="N110">
            <v>237</v>
          </cell>
        </row>
        <row r="111">
          <cell r="N111">
            <v>0</v>
          </cell>
        </row>
        <row r="112">
          <cell r="N112">
            <v>0</v>
          </cell>
        </row>
      </sheetData>
      <sheetData sheetId="25">
        <row r="8">
          <cell r="AD8">
            <v>34</v>
          </cell>
        </row>
        <row r="9">
          <cell r="AD9">
            <v>484</v>
          </cell>
        </row>
        <row r="10">
          <cell r="AD10">
            <v>349</v>
          </cell>
        </row>
        <row r="11">
          <cell r="AD11">
            <v>397</v>
          </cell>
        </row>
        <row r="12">
          <cell r="AD12">
            <v>152</v>
          </cell>
        </row>
        <row r="13">
          <cell r="AD13">
            <v>107</v>
          </cell>
        </row>
        <row r="14">
          <cell r="AD14">
            <v>78</v>
          </cell>
        </row>
        <row r="15">
          <cell r="AD15">
            <v>499</v>
          </cell>
        </row>
        <row r="16">
          <cell r="AD16">
            <v>133</v>
          </cell>
        </row>
        <row r="17">
          <cell r="AD17">
            <v>382</v>
          </cell>
        </row>
        <row r="18">
          <cell r="AD18">
            <v>30</v>
          </cell>
        </row>
        <row r="19">
          <cell r="AD19">
            <v>168</v>
          </cell>
        </row>
        <row r="20">
          <cell r="AD20">
            <v>93</v>
          </cell>
        </row>
        <row r="21">
          <cell r="AD21">
            <v>121</v>
          </cell>
        </row>
        <row r="22">
          <cell r="AD22">
            <v>125</v>
          </cell>
        </row>
        <row r="23">
          <cell r="AD23">
            <v>810</v>
          </cell>
        </row>
        <row r="24">
          <cell r="AD24">
            <v>474</v>
          </cell>
        </row>
        <row r="25">
          <cell r="AD25">
            <v>54</v>
          </cell>
        </row>
        <row r="26">
          <cell r="AD26">
            <v>141</v>
          </cell>
        </row>
        <row r="27">
          <cell r="AD27">
            <v>254</v>
          </cell>
        </row>
        <row r="28">
          <cell r="AD28">
            <v>257</v>
          </cell>
        </row>
        <row r="29">
          <cell r="AD29">
            <v>400</v>
          </cell>
        </row>
        <row r="30">
          <cell r="AD30">
            <v>207</v>
          </cell>
        </row>
        <row r="31">
          <cell r="AD31">
            <v>0</v>
          </cell>
        </row>
        <row r="32">
          <cell r="AD32">
            <v>0</v>
          </cell>
        </row>
        <row r="33">
          <cell r="AD33">
            <v>0</v>
          </cell>
        </row>
        <row r="34">
          <cell r="AD34">
            <v>0</v>
          </cell>
        </row>
        <row r="35">
          <cell r="AD35">
            <v>0</v>
          </cell>
        </row>
        <row r="36">
          <cell r="AD36">
            <v>0</v>
          </cell>
        </row>
        <row r="37">
          <cell r="AD37">
            <v>0</v>
          </cell>
        </row>
        <row r="38">
          <cell r="AD38">
            <v>0</v>
          </cell>
        </row>
        <row r="39">
          <cell r="AD39">
            <v>0</v>
          </cell>
        </row>
        <row r="40">
          <cell r="AD40">
            <v>0</v>
          </cell>
        </row>
        <row r="41">
          <cell r="AD41">
            <v>0</v>
          </cell>
        </row>
        <row r="42">
          <cell r="AD42">
            <v>0</v>
          </cell>
        </row>
        <row r="43">
          <cell r="AD43">
            <v>0</v>
          </cell>
        </row>
        <row r="44">
          <cell r="AD44">
            <v>0</v>
          </cell>
        </row>
        <row r="45">
          <cell r="AD45">
            <v>0</v>
          </cell>
        </row>
        <row r="46">
          <cell r="AD46">
            <v>0</v>
          </cell>
        </row>
        <row r="47">
          <cell r="AD47">
            <v>0</v>
          </cell>
        </row>
        <row r="48">
          <cell r="AD48">
            <v>0</v>
          </cell>
        </row>
        <row r="49">
          <cell r="AD49">
            <v>0</v>
          </cell>
        </row>
        <row r="65">
          <cell r="N65">
            <v>93</v>
          </cell>
        </row>
        <row r="66">
          <cell r="N66">
            <v>685</v>
          </cell>
        </row>
        <row r="67">
          <cell r="N67">
            <v>233</v>
          </cell>
        </row>
        <row r="68">
          <cell r="N68">
            <v>818</v>
          </cell>
        </row>
        <row r="69">
          <cell r="N69">
            <v>353</v>
          </cell>
        </row>
        <row r="70">
          <cell r="N70">
            <v>379</v>
          </cell>
        </row>
        <row r="71">
          <cell r="N71">
            <v>148</v>
          </cell>
        </row>
        <row r="72">
          <cell r="N72">
            <v>622</v>
          </cell>
        </row>
        <row r="73">
          <cell r="N73">
            <v>559</v>
          </cell>
        </row>
        <row r="74">
          <cell r="N74">
            <v>601</v>
          </cell>
        </row>
        <row r="75">
          <cell r="N75">
            <v>113</v>
          </cell>
        </row>
        <row r="76">
          <cell r="N76">
            <v>695</v>
          </cell>
        </row>
        <row r="77">
          <cell r="N77">
            <v>234</v>
          </cell>
        </row>
        <row r="78">
          <cell r="N78">
            <v>222</v>
          </cell>
        </row>
        <row r="79">
          <cell r="N79">
            <v>393</v>
          </cell>
        </row>
        <row r="81">
          <cell r="N81">
            <v>145</v>
          </cell>
        </row>
        <row r="82">
          <cell r="N82">
            <v>262</v>
          </cell>
        </row>
        <row r="83">
          <cell r="N83">
            <v>310</v>
          </cell>
        </row>
        <row r="84">
          <cell r="N84">
            <v>211</v>
          </cell>
        </row>
        <row r="85">
          <cell r="N85">
            <v>211</v>
          </cell>
        </row>
        <row r="86">
          <cell r="N86">
            <v>194</v>
          </cell>
        </row>
        <row r="87">
          <cell r="N87">
            <v>750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</sheetData>
      <sheetData sheetId="26">
        <row r="8">
          <cell r="AD8">
            <v>194</v>
          </cell>
        </row>
        <row r="9">
          <cell r="AD9">
            <v>487</v>
          </cell>
        </row>
        <row r="10">
          <cell r="AD10">
            <v>128</v>
          </cell>
        </row>
        <row r="11">
          <cell r="AD11">
            <v>78</v>
          </cell>
        </row>
        <row r="12">
          <cell r="AD12">
            <v>448</v>
          </cell>
        </row>
        <row r="13">
          <cell r="AD13">
            <v>64</v>
          </cell>
        </row>
        <row r="14">
          <cell r="AD14">
            <v>367</v>
          </cell>
        </row>
        <row r="15">
          <cell r="AD15">
            <v>665</v>
          </cell>
        </row>
        <row r="16">
          <cell r="AD16">
            <v>268</v>
          </cell>
        </row>
        <row r="17">
          <cell r="AD17">
            <v>760</v>
          </cell>
        </row>
        <row r="18">
          <cell r="AD18">
            <v>395</v>
          </cell>
        </row>
        <row r="19">
          <cell r="AD19">
            <v>85</v>
          </cell>
        </row>
        <row r="20">
          <cell r="AD20">
            <v>48</v>
          </cell>
        </row>
        <row r="21">
          <cell r="AD21">
            <v>68</v>
          </cell>
        </row>
        <row r="22">
          <cell r="AD22">
            <v>157</v>
          </cell>
        </row>
        <row r="23">
          <cell r="AD23">
            <v>388</v>
          </cell>
        </row>
        <row r="24">
          <cell r="AD24">
            <v>147</v>
          </cell>
        </row>
        <row r="25">
          <cell r="AD25">
            <v>90</v>
          </cell>
        </row>
        <row r="26">
          <cell r="AD26">
            <v>441</v>
          </cell>
        </row>
        <row r="27">
          <cell r="AD27">
            <v>278</v>
          </cell>
        </row>
        <row r="28">
          <cell r="AD28">
            <v>487</v>
          </cell>
        </row>
        <row r="29">
          <cell r="AD29">
            <v>186</v>
          </cell>
        </row>
        <row r="30">
          <cell r="AD30">
            <v>434</v>
          </cell>
        </row>
        <row r="31">
          <cell r="AD31">
            <v>285</v>
          </cell>
        </row>
        <row r="32">
          <cell r="AD32">
            <v>322</v>
          </cell>
        </row>
        <row r="33">
          <cell r="AD33">
            <v>58</v>
          </cell>
        </row>
        <row r="34">
          <cell r="AD34">
            <v>393</v>
          </cell>
        </row>
        <row r="35">
          <cell r="AD35">
            <v>107</v>
          </cell>
        </row>
        <row r="36">
          <cell r="AD36">
            <v>92</v>
          </cell>
        </row>
        <row r="37">
          <cell r="AD37">
            <v>94</v>
          </cell>
        </row>
        <row r="38">
          <cell r="AD38">
            <v>1092</v>
          </cell>
        </row>
        <row r="39">
          <cell r="AD39">
            <v>530</v>
          </cell>
        </row>
        <row r="40">
          <cell r="AD40">
            <v>145</v>
          </cell>
        </row>
        <row r="41">
          <cell r="AD41">
            <v>141</v>
          </cell>
        </row>
        <row r="42">
          <cell r="AD42">
            <v>152</v>
          </cell>
        </row>
        <row r="43">
          <cell r="AD43">
            <v>258</v>
          </cell>
        </row>
        <row r="44">
          <cell r="AD44">
            <v>215</v>
          </cell>
        </row>
        <row r="45">
          <cell r="AD45">
            <v>760</v>
          </cell>
        </row>
        <row r="46">
          <cell r="AD46">
            <v>748</v>
          </cell>
        </row>
        <row r="47">
          <cell r="AD47">
            <v>220</v>
          </cell>
        </row>
        <row r="48">
          <cell r="AD48">
            <v>872</v>
          </cell>
        </row>
        <row r="49">
          <cell r="AD49">
            <v>170</v>
          </cell>
        </row>
        <row r="50">
          <cell r="AD50">
            <v>701</v>
          </cell>
        </row>
        <row r="51">
          <cell r="AD51">
            <v>137</v>
          </cell>
        </row>
        <row r="52">
          <cell r="AD52">
            <v>165</v>
          </cell>
        </row>
        <row r="53">
          <cell r="AD53">
            <v>32</v>
          </cell>
        </row>
        <row r="54">
          <cell r="AD54">
            <v>115</v>
          </cell>
        </row>
        <row r="55">
          <cell r="AD55">
            <v>639</v>
          </cell>
        </row>
        <row r="56">
          <cell r="AD56">
            <v>36</v>
          </cell>
        </row>
        <row r="57">
          <cell r="AD57">
            <v>367</v>
          </cell>
        </row>
        <row r="58">
          <cell r="AD58">
            <v>97</v>
          </cell>
        </row>
        <row r="59">
          <cell r="AD59">
            <v>265</v>
          </cell>
        </row>
        <row r="69">
          <cell r="N69">
            <v>633</v>
          </cell>
        </row>
        <row r="70">
          <cell r="N70">
            <v>217</v>
          </cell>
        </row>
        <row r="71">
          <cell r="N71">
            <v>360</v>
          </cell>
        </row>
        <row r="72">
          <cell r="N72">
            <v>158</v>
          </cell>
        </row>
        <row r="73">
          <cell r="N73">
            <v>502</v>
          </cell>
        </row>
        <row r="74">
          <cell r="N74">
            <v>392</v>
          </cell>
        </row>
        <row r="75">
          <cell r="N75">
            <v>485</v>
          </cell>
        </row>
        <row r="76">
          <cell r="N76">
            <v>1278</v>
          </cell>
        </row>
        <row r="77">
          <cell r="N77">
            <v>370</v>
          </cell>
        </row>
        <row r="78">
          <cell r="N78">
            <v>153</v>
          </cell>
        </row>
        <row r="79">
          <cell r="N79">
            <v>729</v>
          </cell>
        </row>
        <row r="80">
          <cell r="N80">
            <v>164</v>
          </cell>
        </row>
        <row r="81">
          <cell r="N81">
            <v>60</v>
          </cell>
        </row>
        <row r="82">
          <cell r="N82">
            <v>280</v>
          </cell>
        </row>
        <row r="84">
          <cell r="N84">
            <v>650</v>
          </cell>
        </row>
        <row r="85">
          <cell r="N85">
            <v>279</v>
          </cell>
        </row>
        <row r="86">
          <cell r="N86">
            <v>214</v>
          </cell>
        </row>
        <row r="87">
          <cell r="N87">
            <v>537</v>
          </cell>
        </row>
        <row r="88">
          <cell r="N88">
            <v>471</v>
          </cell>
        </row>
        <row r="89">
          <cell r="N89">
            <v>929</v>
          </cell>
        </row>
        <row r="90">
          <cell r="N90">
            <v>176</v>
          </cell>
        </row>
        <row r="91">
          <cell r="N91">
            <v>1302</v>
          </cell>
        </row>
        <row r="92">
          <cell r="N92">
            <v>566</v>
          </cell>
        </row>
        <row r="93">
          <cell r="N93">
            <v>660</v>
          </cell>
        </row>
        <row r="94">
          <cell r="N94">
            <v>176</v>
          </cell>
        </row>
        <row r="95">
          <cell r="N95">
            <v>606</v>
          </cell>
        </row>
        <row r="96">
          <cell r="N96">
            <v>244</v>
          </cell>
        </row>
        <row r="97">
          <cell r="N97">
            <v>257</v>
          </cell>
        </row>
        <row r="98">
          <cell r="N98">
            <v>203</v>
          </cell>
        </row>
        <row r="100">
          <cell r="N100">
            <v>1022</v>
          </cell>
        </row>
        <row r="101">
          <cell r="N101">
            <v>0</v>
          </cell>
        </row>
        <row r="103">
          <cell r="N103">
            <v>754</v>
          </cell>
        </row>
        <row r="104">
          <cell r="N104">
            <v>238</v>
          </cell>
        </row>
        <row r="105">
          <cell r="N105">
            <v>539</v>
          </cell>
        </row>
        <row r="107">
          <cell r="N107">
            <v>194</v>
          </cell>
        </row>
        <row r="108">
          <cell r="N108">
            <v>297</v>
          </cell>
        </row>
        <row r="109">
          <cell r="N109">
            <v>305</v>
          </cell>
        </row>
        <row r="110">
          <cell r="N110">
            <v>0</v>
          </cell>
        </row>
        <row r="111">
          <cell r="N111">
            <v>1050</v>
          </cell>
        </row>
        <row r="112">
          <cell r="N112">
            <v>732</v>
          </cell>
        </row>
        <row r="113">
          <cell r="N113">
            <v>652</v>
          </cell>
        </row>
        <row r="114">
          <cell r="N114">
            <v>110</v>
          </cell>
        </row>
        <row r="115">
          <cell r="N115">
            <v>135</v>
          </cell>
        </row>
        <row r="116">
          <cell r="N116">
            <v>411</v>
          </cell>
        </row>
        <row r="117">
          <cell r="N117">
            <v>151</v>
          </cell>
        </row>
        <row r="118">
          <cell r="N118">
            <v>795</v>
          </cell>
        </row>
        <row r="119">
          <cell r="N119">
            <v>81</v>
          </cell>
        </row>
        <row r="120">
          <cell r="N120">
            <v>945</v>
          </cell>
        </row>
      </sheetData>
      <sheetData sheetId="27">
        <row r="8">
          <cell r="AD8">
            <v>615</v>
          </cell>
        </row>
        <row r="9">
          <cell r="AD9">
            <v>357</v>
          </cell>
        </row>
        <row r="10">
          <cell r="AD10">
            <v>73</v>
          </cell>
        </row>
        <row r="11">
          <cell r="AD11">
            <v>453</v>
          </cell>
        </row>
        <row r="12">
          <cell r="AD12">
            <v>52</v>
          </cell>
        </row>
        <row r="13">
          <cell r="AD13">
            <v>614</v>
          </cell>
        </row>
        <row r="14">
          <cell r="AD14">
            <v>311</v>
          </cell>
        </row>
        <row r="15">
          <cell r="AD15">
            <v>147</v>
          </cell>
        </row>
        <row r="16">
          <cell r="AD16">
            <v>471</v>
          </cell>
        </row>
        <row r="17">
          <cell r="AD17">
            <v>53</v>
          </cell>
        </row>
        <row r="18">
          <cell r="AD18">
            <v>195</v>
          </cell>
        </row>
        <row r="19">
          <cell r="AD19">
            <v>186</v>
          </cell>
        </row>
        <row r="20">
          <cell r="AD20">
            <v>310</v>
          </cell>
        </row>
        <row r="21">
          <cell r="AD21">
            <v>25</v>
          </cell>
        </row>
        <row r="22">
          <cell r="AD22">
            <v>487</v>
          </cell>
        </row>
        <row r="23">
          <cell r="AD23">
            <v>96</v>
          </cell>
        </row>
        <row r="24">
          <cell r="AD24">
            <v>171</v>
          </cell>
        </row>
        <row r="25">
          <cell r="AD25">
            <v>170</v>
          </cell>
        </row>
        <row r="26">
          <cell r="AD26">
            <v>178</v>
          </cell>
        </row>
        <row r="27">
          <cell r="AD27">
            <v>288</v>
          </cell>
        </row>
        <row r="28">
          <cell r="AD28">
            <v>48</v>
          </cell>
        </row>
        <row r="29">
          <cell r="AD29">
            <v>295</v>
          </cell>
        </row>
        <row r="30">
          <cell r="AD30">
            <v>0</v>
          </cell>
        </row>
        <row r="31">
          <cell r="AD31">
            <v>482</v>
          </cell>
        </row>
        <row r="32">
          <cell r="AD32">
            <v>191</v>
          </cell>
        </row>
        <row r="33">
          <cell r="AD33">
            <v>336</v>
          </cell>
        </row>
        <row r="34">
          <cell r="AD34">
            <v>243</v>
          </cell>
        </row>
        <row r="35">
          <cell r="AD35">
            <v>452</v>
          </cell>
        </row>
        <row r="36">
          <cell r="AD36">
            <v>112</v>
          </cell>
        </row>
        <row r="37">
          <cell r="AD37">
            <v>220</v>
          </cell>
        </row>
        <row r="38">
          <cell r="AD38">
            <v>228</v>
          </cell>
        </row>
        <row r="39">
          <cell r="AD39">
            <v>68</v>
          </cell>
        </row>
        <row r="40">
          <cell r="AD40">
            <v>192</v>
          </cell>
        </row>
        <row r="41">
          <cell r="AD41">
            <v>42</v>
          </cell>
        </row>
        <row r="42">
          <cell r="AD42">
            <v>62</v>
          </cell>
        </row>
        <row r="43">
          <cell r="AD43">
            <v>421</v>
          </cell>
        </row>
        <row r="44">
          <cell r="AD44">
            <v>721</v>
          </cell>
        </row>
        <row r="75">
          <cell r="N75">
            <v>1188</v>
          </cell>
        </row>
        <row r="76">
          <cell r="N76">
            <v>1228</v>
          </cell>
        </row>
        <row r="77">
          <cell r="N77">
            <v>314</v>
          </cell>
        </row>
        <row r="78">
          <cell r="N78">
            <v>614</v>
          </cell>
        </row>
        <row r="79">
          <cell r="N79">
            <v>90</v>
          </cell>
        </row>
        <row r="80">
          <cell r="N80">
            <v>1262</v>
          </cell>
        </row>
        <row r="81">
          <cell r="N81">
            <v>828</v>
          </cell>
        </row>
        <row r="82">
          <cell r="N82">
            <v>64</v>
          </cell>
        </row>
        <row r="83">
          <cell r="N83">
            <v>628</v>
          </cell>
        </row>
        <row r="84">
          <cell r="N84">
            <v>88</v>
          </cell>
        </row>
        <row r="85">
          <cell r="N85">
            <v>702</v>
          </cell>
        </row>
        <row r="86">
          <cell r="N86">
            <v>439</v>
          </cell>
        </row>
        <row r="87">
          <cell r="N87">
            <v>887</v>
          </cell>
        </row>
        <row r="88">
          <cell r="N88">
            <v>98</v>
          </cell>
        </row>
        <row r="89">
          <cell r="N89">
            <v>1093</v>
          </cell>
        </row>
        <row r="90">
          <cell r="N90">
            <v>80</v>
          </cell>
        </row>
        <row r="91">
          <cell r="N91">
            <v>195</v>
          </cell>
        </row>
        <row r="92">
          <cell r="N92">
            <v>1130</v>
          </cell>
        </row>
        <row r="93">
          <cell r="N93">
            <v>744</v>
          </cell>
        </row>
        <row r="94">
          <cell r="N94">
            <v>255</v>
          </cell>
        </row>
        <row r="95">
          <cell r="N95">
            <v>210</v>
          </cell>
        </row>
        <row r="96">
          <cell r="N96">
            <v>820</v>
          </cell>
        </row>
        <row r="97">
          <cell r="N97">
            <v>0</v>
          </cell>
        </row>
        <row r="98">
          <cell r="N98">
            <v>869</v>
          </cell>
        </row>
        <row r="99">
          <cell r="N99">
            <v>110</v>
          </cell>
        </row>
        <row r="100">
          <cell r="N100">
            <v>1075</v>
          </cell>
        </row>
        <row r="101">
          <cell r="N101">
            <v>48</v>
          </cell>
        </row>
        <row r="102">
          <cell r="N102">
            <v>951</v>
          </cell>
        </row>
        <row r="103">
          <cell r="N103">
            <v>148</v>
          </cell>
        </row>
        <row r="104">
          <cell r="N104">
            <v>651</v>
          </cell>
        </row>
        <row r="105">
          <cell r="N105">
            <v>100</v>
          </cell>
        </row>
        <row r="106">
          <cell r="N106">
            <v>208</v>
          </cell>
        </row>
        <row r="107">
          <cell r="N107">
            <v>237</v>
          </cell>
        </row>
        <row r="108">
          <cell r="N108">
            <v>95</v>
          </cell>
        </row>
        <row r="109">
          <cell r="N109">
            <v>84</v>
          </cell>
        </row>
        <row r="110">
          <cell r="N110">
            <v>200</v>
          </cell>
        </row>
        <row r="111">
          <cell r="N111">
            <v>599</v>
          </cell>
        </row>
      </sheetData>
      <sheetData sheetId="28">
        <row r="8">
          <cell r="AD8">
            <v>0</v>
          </cell>
        </row>
        <row r="9">
          <cell r="AD9">
            <v>0</v>
          </cell>
        </row>
        <row r="10">
          <cell r="AD10">
            <v>0</v>
          </cell>
        </row>
        <row r="11">
          <cell r="AD11">
            <v>0</v>
          </cell>
        </row>
        <row r="12">
          <cell r="AD12">
            <v>0</v>
          </cell>
        </row>
        <row r="13">
          <cell r="AD13">
            <v>0</v>
          </cell>
        </row>
        <row r="14">
          <cell r="AD14">
            <v>0</v>
          </cell>
        </row>
        <row r="15">
          <cell r="AD15">
            <v>0</v>
          </cell>
        </row>
        <row r="16">
          <cell r="AD16">
            <v>0</v>
          </cell>
        </row>
        <row r="17">
          <cell r="AD17">
            <v>0</v>
          </cell>
        </row>
        <row r="18">
          <cell r="AD18">
            <v>0</v>
          </cell>
        </row>
        <row r="19">
          <cell r="AD19">
            <v>0</v>
          </cell>
        </row>
        <row r="20">
          <cell r="AD20">
            <v>0</v>
          </cell>
        </row>
        <row r="21">
          <cell r="AD21">
            <v>0</v>
          </cell>
        </row>
        <row r="22">
          <cell r="AD22">
            <v>0</v>
          </cell>
        </row>
        <row r="23">
          <cell r="AD23">
            <v>0</v>
          </cell>
        </row>
        <row r="24">
          <cell r="AD24">
            <v>0</v>
          </cell>
        </row>
        <row r="25">
          <cell r="AD25">
            <v>0</v>
          </cell>
        </row>
        <row r="26">
          <cell r="AD26">
            <v>0</v>
          </cell>
        </row>
        <row r="27">
          <cell r="AD27">
            <v>0</v>
          </cell>
        </row>
        <row r="28">
          <cell r="AD28">
            <v>0</v>
          </cell>
        </row>
        <row r="29">
          <cell r="AD29">
            <v>0</v>
          </cell>
        </row>
        <row r="30">
          <cell r="AD30">
            <v>0</v>
          </cell>
        </row>
        <row r="31">
          <cell r="AD31">
            <v>0</v>
          </cell>
        </row>
        <row r="32">
          <cell r="AD32">
            <v>0</v>
          </cell>
        </row>
        <row r="33">
          <cell r="AD33">
            <v>0</v>
          </cell>
        </row>
        <row r="34">
          <cell r="AD34">
            <v>0</v>
          </cell>
        </row>
        <row r="35">
          <cell r="AD35">
            <v>0</v>
          </cell>
        </row>
        <row r="36">
          <cell r="AD36">
            <v>0</v>
          </cell>
        </row>
        <row r="37">
          <cell r="AD37">
            <v>0</v>
          </cell>
        </row>
        <row r="38">
          <cell r="AD38">
            <v>0</v>
          </cell>
        </row>
        <row r="39">
          <cell r="AD39">
            <v>0</v>
          </cell>
        </row>
        <row r="41">
          <cell r="AD41">
            <v>0</v>
          </cell>
        </row>
        <row r="42">
          <cell r="AD42">
            <v>0</v>
          </cell>
        </row>
        <row r="43">
          <cell r="AD43">
            <v>0</v>
          </cell>
        </row>
        <row r="44">
          <cell r="AD44">
            <v>0</v>
          </cell>
        </row>
        <row r="45">
          <cell r="AD45">
            <v>0</v>
          </cell>
        </row>
        <row r="46">
          <cell r="AD46">
            <v>0</v>
          </cell>
        </row>
        <row r="47">
          <cell r="AD47">
            <v>0</v>
          </cell>
        </row>
        <row r="48">
          <cell r="AD48">
            <v>0</v>
          </cell>
        </row>
        <row r="49">
          <cell r="AD49">
            <v>0</v>
          </cell>
        </row>
        <row r="51">
          <cell r="AD51">
            <v>0</v>
          </cell>
        </row>
        <row r="52">
          <cell r="AD52">
            <v>0</v>
          </cell>
        </row>
        <row r="53">
          <cell r="AD53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0</v>
          </cell>
        </row>
        <row r="115">
          <cell r="N115">
            <v>0</v>
          </cell>
        </row>
        <row r="116">
          <cell r="N116">
            <v>0</v>
          </cell>
        </row>
        <row r="117">
          <cell r="N117">
            <v>0</v>
          </cell>
        </row>
        <row r="118">
          <cell r="N118">
            <v>0</v>
          </cell>
        </row>
      </sheetData>
      <sheetData sheetId="29">
        <row r="8">
          <cell r="AD8">
            <v>0</v>
          </cell>
        </row>
        <row r="9">
          <cell r="AD9">
            <v>0</v>
          </cell>
        </row>
        <row r="10">
          <cell r="AD10">
            <v>0</v>
          </cell>
        </row>
        <row r="11">
          <cell r="AD11">
            <v>0</v>
          </cell>
        </row>
        <row r="12">
          <cell r="AD12">
            <v>0</v>
          </cell>
        </row>
        <row r="13">
          <cell r="AD13">
            <v>0</v>
          </cell>
        </row>
        <row r="14">
          <cell r="AD14">
            <v>0</v>
          </cell>
        </row>
        <row r="15">
          <cell r="AD15">
            <v>0</v>
          </cell>
        </row>
        <row r="16">
          <cell r="AD16">
            <v>0</v>
          </cell>
        </row>
        <row r="17">
          <cell r="AD17">
            <v>0</v>
          </cell>
        </row>
        <row r="18">
          <cell r="AD18">
            <v>0</v>
          </cell>
        </row>
        <row r="19">
          <cell r="AD19">
            <v>0</v>
          </cell>
        </row>
        <row r="20">
          <cell r="AD20">
            <v>0</v>
          </cell>
        </row>
        <row r="21">
          <cell r="AD21">
            <v>0</v>
          </cell>
        </row>
        <row r="22">
          <cell r="AD22">
            <v>0</v>
          </cell>
        </row>
        <row r="23">
          <cell r="AD23">
            <v>0</v>
          </cell>
        </row>
        <row r="24">
          <cell r="AD24">
            <v>0</v>
          </cell>
        </row>
        <row r="25">
          <cell r="AD25">
            <v>0</v>
          </cell>
        </row>
        <row r="26">
          <cell r="AD26">
            <v>0</v>
          </cell>
        </row>
        <row r="27">
          <cell r="AD27">
            <v>0</v>
          </cell>
        </row>
        <row r="28">
          <cell r="AD28">
            <v>0</v>
          </cell>
        </row>
        <row r="29">
          <cell r="AD29">
            <v>0</v>
          </cell>
        </row>
        <row r="30">
          <cell r="AD30">
            <v>0</v>
          </cell>
        </row>
        <row r="31">
          <cell r="AD31">
            <v>0</v>
          </cell>
        </row>
        <row r="32">
          <cell r="AD32">
            <v>0</v>
          </cell>
        </row>
        <row r="33">
          <cell r="AD33">
            <v>0</v>
          </cell>
        </row>
        <row r="34">
          <cell r="AD34">
            <v>0</v>
          </cell>
        </row>
        <row r="35">
          <cell r="AD35">
            <v>0</v>
          </cell>
        </row>
        <row r="36">
          <cell r="AD36">
            <v>0</v>
          </cell>
        </row>
        <row r="37">
          <cell r="AD37">
            <v>0</v>
          </cell>
        </row>
        <row r="38">
          <cell r="AD38">
            <v>0</v>
          </cell>
        </row>
        <row r="39">
          <cell r="AD39">
            <v>0</v>
          </cell>
        </row>
        <row r="40">
          <cell r="AD40">
            <v>0</v>
          </cell>
        </row>
        <row r="41">
          <cell r="AD41">
            <v>0</v>
          </cell>
        </row>
        <row r="42">
          <cell r="AD42">
            <v>0</v>
          </cell>
        </row>
        <row r="43">
          <cell r="AD43">
            <v>0</v>
          </cell>
        </row>
        <row r="44">
          <cell r="AD44">
            <v>0</v>
          </cell>
        </row>
        <row r="45">
          <cell r="AD45">
            <v>0</v>
          </cell>
        </row>
        <row r="46">
          <cell r="AD46">
            <v>0</v>
          </cell>
        </row>
        <row r="47">
          <cell r="AD47">
            <v>0</v>
          </cell>
        </row>
        <row r="48">
          <cell r="AD48">
            <v>0</v>
          </cell>
        </row>
        <row r="49">
          <cell r="AD49">
            <v>0</v>
          </cell>
        </row>
        <row r="50">
          <cell r="AD50">
            <v>0</v>
          </cell>
        </row>
        <row r="51">
          <cell r="AD51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glue Jan"/>
      <sheetName val="Daily glue FEB"/>
      <sheetName val="Daily glue MAR"/>
      <sheetName val="Daily glue APR"/>
      <sheetName val="Daily glue MAY"/>
      <sheetName val="Daily glue June"/>
      <sheetName val="Daily glue July"/>
      <sheetName val="Daily glue Aug"/>
      <sheetName val="Daily glue Sep"/>
      <sheetName val="Summary"/>
      <sheetName val="Glue tote "/>
      <sheetName val="Glue usage for Bottling 2026"/>
    </sheetNames>
    <sheetDataSet>
      <sheetData sheetId="0" refreshError="1"/>
      <sheetData sheetId="1">
        <row r="2">
          <cell r="H2">
            <v>1.1221556886227543E-2</v>
          </cell>
        </row>
        <row r="4">
          <cell r="H4">
            <v>1.5132428940568474E-2</v>
          </cell>
        </row>
        <row r="5">
          <cell r="H5">
            <v>1.3943452380952381E-2</v>
          </cell>
        </row>
        <row r="7">
          <cell r="H7">
            <v>1.5629691409507922E-2</v>
          </cell>
        </row>
        <row r="8">
          <cell r="H8">
            <v>2.6695156695156694E-2</v>
          </cell>
        </row>
        <row r="9">
          <cell r="H9">
            <v>1.9561586638830897E-2</v>
          </cell>
        </row>
        <row r="10">
          <cell r="H10">
            <v>2.1540229885057469E-2</v>
          </cell>
        </row>
        <row r="11">
          <cell r="H11">
            <v>1.6954161640530759E-2</v>
          </cell>
        </row>
        <row r="12">
          <cell r="H12">
            <v>2.3555865921787707E-2</v>
          </cell>
        </row>
        <row r="13">
          <cell r="H13">
            <v>1.2453482190324295E-2</v>
          </cell>
        </row>
        <row r="14">
          <cell r="H14">
            <v>1.2622361921867983E-2</v>
          </cell>
        </row>
        <row r="15">
          <cell r="H15">
            <v>2.1770446096654274E-2</v>
          </cell>
        </row>
        <row r="16">
          <cell r="H16">
            <v>1.7362569487337862E-2</v>
          </cell>
        </row>
        <row r="17">
          <cell r="H17">
            <v>1.4717277486910995E-2</v>
          </cell>
        </row>
        <row r="18">
          <cell r="H18">
            <v>2.2654738878143132E-2</v>
          </cell>
        </row>
        <row r="19">
          <cell r="H19">
            <v>2.3003273322422257E-2</v>
          </cell>
        </row>
        <row r="20">
          <cell r="H20">
            <v>1.9419689119170983E-2</v>
          </cell>
        </row>
        <row r="21">
          <cell r="H21">
            <v>2.2426998563906172E-2</v>
          </cell>
        </row>
        <row r="22">
          <cell r="H22">
            <v>2.8641921397379907E-2</v>
          </cell>
        </row>
        <row r="23">
          <cell r="H23">
            <v>1.5627084723148763E-2</v>
          </cell>
        </row>
        <row r="26">
          <cell r="H26">
            <v>2.1984983575786012E-2</v>
          </cell>
        </row>
        <row r="27">
          <cell r="H27">
            <v>1.5057392102846645E-2</v>
          </cell>
        </row>
        <row r="28">
          <cell r="H28">
            <v>3.1233333333333328E-2</v>
          </cell>
        </row>
        <row r="29">
          <cell r="H29">
            <v>2.4451983298538617E-2</v>
          </cell>
        </row>
        <row r="33">
          <cell r="H33">
            <v>2.5855408388520969E-2</v>
          </cell>
        </row>
        <row r="34">
          <cell r="H34">
            <v>1.0378164556962024E-2</v>
          </cell>
        </row>
        <row r="35">
          <cell r="H35">
            <v>2.2230130486358243E-2</v>
          </cell>
        </row>
        <row r="36">
          <cell r="H36">
            <v>1.5651447661469933E-2</v>
          </cell>
        </row>
        <row r="42">
          <cell r="H42">
            <v>2.1858475894245721E-2</v>
          </cell>
        </row>
        <row r="43">
          <cell r="H43">
            <v>1.6613475177304965E-2</v>
          </cell>
        </row>
        <row r="44">
          <cell r="H44">
            <v>1.7915869980879542E-2</v>
          </cell>
        </row>
        <row r="46">
          <cell r="H46">
            <v>1.7384044526901669E-2</v>
          </cell>
        </row>
        <row r="47">
          <cell r="H47">
            <v>1.6099656357388317E-2</v>
          </cell>
        </row>
        <row r="49">
          <cell r="H49">
            <v>2.3951942740286294E-2</v>
          </cell>
        </row>
        <row r="50">
          <cell r="H50">
            <v>1.8318670576735092E-2</v>
          </cell>
        </row>
        <row r="51">
          <cell r="H51">
            <v>1.2021627565982403E-2</v>
          </cell>
        </row>
        <row r="53">
          <cell r="H53">
            <v>1.6887229660144179E-2</v>
          </cell>
        </row>
        <row r="54">
          <cell r="H54">
            <v>1.1810924369747899E-2</v>
          </cell>
        </row>
        <row r="55">
          <cell r="H55">
            <v>1.6419392523364485E-2</v>
          </cell>
        </row>
        <row r="56">
          <cell r="H56">
            <v>2.0413943355119823E-2</v>
          </cell>
        </row>
        <row r="57">
          <cell r="H57">
            <v>2.4920212765957444E-2</v>
          </cell>
        </row>
        <row r="58">
          <cell r="H58">
            <v>3.6177606177606174E-2</v>
          </cell>
        </row>
        <row r="59">
          <cell r="H59">
            <v>2.04982984929509E-2</v>
          </cell>
        </row>
        <row r="60">
          <cell r="H60">
            <v>1.7005444646098003E-2</v>
          </cell>
        </row>
        <row r="61">
          <cell r="H61">
            <v>1.4866273798730732E-2</v>
          </cell>
        </row>
        <row r="63">
          <cell r="H63">
            <v>1.6872749099639855E-2</v>
          </cell>
        </row>
      </sheetData>
      <sheetData sheetId="2">
        <row r="2">
          <cell r="H2">
            <v>1.4283536585365852E-2</v>
          </cell>
        </row>
        <row r="3">
          <cell r="H3">
            <v>2.1082500000000001E-2</v>
          </cell>
        </row>
        <row r="4">
          <cell r="H4">
            <v>1.9016605166051661E-2</v>
          </cell>
        </row>
        <row r="5">
          <cell r="H5">
            <v>1.5430218196788801E-2</v>
          </cell>
        </row>
        <row r="7">
          <cell r="H7">
            <v>1.6995163240628778E-2</v>
          </cell>
        </row>
        <row r="8">
          <cell r="H8">
            <v>1.301991662806855E-2</v>
          </cell>
        </row>
        <row r="9">
          <cell r="H9">
            <v>9.0400385914134098E-3</v>
          </cell>
        </row>
        <row r="11">
          <cell r="H11">
            <v>1.3752446183953033E-2</v>
          </cell>
        </row>
        <row r="12">
          <cell r="H12">
            <v>1.4442046855733661E-2</v>
          </cell>
        </row>
        <row r="13">
          <cell r="H13">
            <v>1.6772076372315037E-2</v>
          </cell>
        </row>
        <row r="14">
          <cell r="H14">
            <v>2.9232529118136435E-2</v>
          </cell>
        </row>
        <row r="15">
          <cell r="H15">
            <v>2.1649722735674674E-2</v>
          </cell>
        </row>
        <row r="16">
          <cell r="H16">
            <v>9.7118573797678256E-3</v>
          </cell>
        </row>
        <row r="17">
          <cell r="H17">
            <v>3.4280487804878051E-2</v>
          </cell>
        </row>
        <row r="18">
          <cell r="H18">
            <v>1.231968444778362E-2</v>
          </cell>
        </row>
        <row r="19">
          <cell r="H19">
            <v>2.5066880684858212E-2</v>
          </cell>
        </row>
        <row r="20">
          <cell r="H20">
            <v>3.824489795918367E-2</v>
          </cell>
        </row>
        <row r="21">
          <cell r="H21">
            <v>5.2444029850746265E-3</v>
          </cell>
        </row>
        <row r="22">
          <cell r="H22">
            <v>2.289661654135338E-2</v>
          </cell>
        </row>
        <row r="23">
          <cell r="H23">
            <v>1.0148014440433213E-2</v>
          </cell>
        </row>
        <row r="24">
          <cell r="H24">
            <v>1.4531637717121586E-2</v>
          </cell>
        </row>
        <row r="25">
          <cell r="H25">
            <v>2.4503138075313805E-2</v>
          </cell>
        </row>
        <row r="26">
          <cell r="H26">
            <v>3.794546436285097E-2</v>
          </cell>
        </row>
        <row r="27">
          <cell r="H27">
            <v>1.4991999999999998E-2</v>
          </cell>
        </row>
        <row r="28">
          <cell r="H28">
            <v>2.4503138075313805E-2</v>
          </cell>
        </row>
        <row r="29">
          <cell r="H29">
            <v>2.0886488340192043E-2</v>
          </cell>
        </row>
        <row r="30">
          <cell r="H30">
            <v>1.2930082796688133E-2</v>
          </cell>
        </row>
        <row r="31">
          <cell r="H31">
            <v>1.1791107382550335E-2</v>
          </cell>
        </row>
        <row r="33">
          <cell r="H33">
            <v>1.9227086183310534E-2</v>
          </cell>
        </row>
        <row r="34">
          <cell r="H34">
            <v>2.2578313253012048E-2</v>
          </cell>
        </row>
        <row r="42">
          <cell r="H42">
            <v>1.5865221808330509E-2</v>
          </cell>
        </row>
        <row r="43">
          <cell r="H43">
            <v>1.1107744994731297E-2</v>
          </cell>
        </row>
        <row r="45">
          <cell r="H45">
            <v>2.1760928961748634E-2</v>
          </cell>
        </row>
        <row r="46">
          <cell r="H46">
            <v>1.8622060284862536E-2</v>
          </cell>
        </row>
        <row r="47">
          <cell r="H47">
            <v>2.7680945347119644E-2</v>
          </cell>
        </row>
        <row r="48">
          <cell r="H48">
            <v>2.6426269137792099E-2</v>
          </cell>
        </row>
        <row r="49">
          <cell r="H49">
            <v>2.4631966351209251E-2</v>
          </cell>
        </row>
        <row r="52">
          <cell r="H52">
            <v>2.6706026058631916E-2</v>
          </cell>
        </row>
        <row r="53">
          <cell r="H53">
            <v>2.2524038461538456E-2</v>
          </cell>
        </row>
        <row r="54">
          <cell r="H54">
            <v>2.2309523809523807E-2</v>
          </cell>
        </row>
        <row r="55">
          <cell r="H55">
            <v>1.3623586429725363E-2</v>
          </cell>
        </row>
        <row r="57">
          <cell r="H57">
            <v>1.5774410774410774E-2</v>
          </cell>
        </row>
        <row r="58">
          <cell r="H58">
            <v>2.3523012552301256E-2</v>
          </cell>
        </row>
        <row r="61">
          <cell r="H61">
            <v>1.4814229249011856E-2</v>
          </cell>
        </row>
        <row r="62">
          <cell r="H62">
            <v>1.4196969696969696E-2</v>
          </cell>
        </row>
        <row r="63">
          <cell r="H63">
            <v>2.4722955145118731E-2</v>
          </cell>
        </row>
        <row r="65">
          <cell r="H65">
            <v>1.8620826709062E-2</v>
          </cell>
        </row>
        <row r="67">
          <cell r="H67">
            <v>2.0007117437722419E-2</v>
          </cell>
        </row>
        <row r="69">
          <cell r="H69">
            <v>1.2248366013071894E-2</v>
          </cell>
        </row>
      </sheetData>
      <sheetData sheetId="3">
        <row r="2">
          <cell r="H2">
            <v>1.3222013170272813E-2</v>
          </cell>
        </row>
        <row r="6">
          <cell r="H6">
            <v>4.6849999999999996E-2</v>
          </cell>
        </row>
        <row r="7">
          <cell r="H7">
            <v>1.7084683954619123E-2</v>
          </cell>
        </row>
        <row r="10">
          <cell r="H10">
            <v>1.7384044526901669E-2</v>
          </cell>
        </row>
        <row r="11">
          <cell r="H11">
            <v>2.01805831676607E-2</v>
          </cell>
        </row>
        <row r="12">
          <cell r="H12">
            <v>2.525606469002695E-2</v>
          </cell>
        </row>
        <row r="13">
          <cell r="H13">
            <v>2.2325879765395892E-2</v>
          </cell>
        </row>
        <row r="14">
          <cell r="H14">
            <v>1.9657342657342657E-2</v>
          </cell>
        </row>
        <row r="16">
          <cell r="H16">
            <v>2.2347081930415263E-2</v>
          </cell>
        </row>
        <row r="17">
          <cell r="H17">
            <v>1.8690159574468086E-2</v>
          </cell>
        </row>
        <row r="19">
          <cell r="H19">
            <v>2.8629419467481446E-2</v>
          </cell>
        </row>
        <row r="20">
          <cell r="H20">
            <v>3.8401639344262287E-2</v>
          </cell>
        </row>
        <row r="21">
          <cell r="H21">
            <v>3.4293355855855849E-2</v>
          </cell>
        </row>
        <row r="23">
          <cell r="H23">
            <v>2.2402869097429765E-2</v>
          </cell>
        </row>
        <row r="24">
          <cell r="H24">
            <v>2.1436197254702593E-2</v>
          </cell>
        </row>
        <row r="25">
          <cell r="H25">
            <v>3.9666039510818436E-2</v>
          </cell>
        </row>
        <row r="26">
          <cell r="H26">
            <v>3.9896593673965933E-2</v>
          </cell>
        </row>
        <row r="27">
          <cell r="H27">
            <v>2.6112401300510915E-2</v>
          </cell>
        </row>
        <row r="28">
          <cell r="H28">
            <v>2.9212782540919718E-2</v>
          </cell>
        </row>
        <row r="30">
          <cell r="H30">
            <v>2.2424521354933724E-2</v>
          </cell>
        </row>
        <row r="31">
          <cell r="H31">
            <v>2.3917417417417416E-2</v>
          </cell>
        </row>
        <row r="32">
          <cell r="H32">
            <v>2.1775116195924201E-2</v>
          </cell>
        </row>
        <row r="34">
          <cell r="H34">
            <v>3.1851050679851667E-2</v>
          </cell>
        </row>
        <row r="35">
          <cell r="H35">
            <v>5.4057692307692307E-2</v>
          </cell>
        </row>
        <row r="36">
          <cell r="H36">
            <v>2.2352099236641217E-2</v>
          </cell>
        </row>
        <row r="37">
          <cell r="H37">
            <v>8.5130224106602058E-3</v>
          </cell>
        </row>
        <row r="38">
          <cell r="H38">
            <v>3.4119253527537551E-2</v>
          </cell>
        </row>
        <row r="40">
          <cell r="H40">
            <v>2.2406521739130433E-2</v>
          </cell>
        </row>
        <row r="41">
          <cell r="H41">
            <v>2.4266752994496599E-2</v>
          </cell>
        </row>
        <row r="42">
          <cell r="H42">
            <v>2.4174406604747158E-2</v>
          </cell>
        </row>
        <row r="45">
          <cell r="H45">
            <v>3.1513452914798207E-2</v>
          </cell>
        </row>
        <row r="46">
          <cell r="H46">
            <v>2.3994878361075542E-2</v>
          </cell>
        </row>
        <row r="47">
          <cell r="H47">
            <v>3.4630411826821535E-2</v>
          </cell>
        </row>
        <row r="48">
          <cell r="H48">
            <v>2.8147530040053406E-2</v>
          </cell>
        </row>
        <row r="51">
          <cell r="H51">
            <v>1.704324979789814E-2</v>
          </cell>
        </row>
        <row r="52">
          <cell r="H52">
            <v>2.4973347547974412E-2</v>
          </cell>
        </row>
        <row r="53">
          <cell r="H53">
            <v>3.3285968028419183E-2</v>
          </cell>
        </row>
        <row r="54">
          <cell r="H54">
            <v>2.4901290812452539E-2</v>
          </cell>
        </row>
        <row r="55">
          <cell r="H55">
            <v>1.6473277074542894E-2</v>
          </cell>
        </row>
        <row r="57">
          <cell r="H57">
            <v>2.2609445018958976E-2</v>
          </cell>
        </row>
        <row r="58">
          <cell r="H58">
            <v>2.0369565217391306E-2</v>
          </cell>
        </row>
        <row r="60">
          <cell r="H60">
            <v>2.6394366197183095E-2</v>
          </cell>
        </row>
      </sheetData>
      <sheetData sheetId="4">
        <row r="2">
          <cell r="H2">
            <v>3.0422077922077923E-2</v>
          </cell>
        </row>
        <row r="3">
          <cell r="H3">
            <v>3.7256461232604371E-2</v>
          </cell>
        </row>
        <row r="4">
          <cell r="H4">
            <v>2.2790132036136203E-2</v>
          </cell>
        </row>
        <row r="7">
          <cell r="H7">
            <v>2.4228960977903148E-2</v>
          </cell>
        </row>
        <row r="8">
          <cell r="H8">
            <v>1.8236022646850671E-2</v>
          </cell>
        </row>
        <row r="9">
          <cell r="H9">
            <v>2.1702374059061957E-2</v>
          </cell>
        </row>
        <row r="11">
          <cell r="H11">
            <v>2.1056179775280896E-2</v>
          </cell>
        </row>
        <row r="12">
          <cell r="H12">
            <v>2.0298960138648178E-2</v>
          </cell>
        </row>
        <row r="13">
          <cell r="H13">
            <v>1.9246833276275247E-2</v>
          </cell>
        </row>
        <row r="14">
          <cell r="H14">
            <v>1.8284299009306514E-2</v>
          </cell>
        </row>
        <row r="15">
          <cell r="H15">
            <v>1.6330364058869094E-2</v>
          </cell>
        </row>
        <row r="16">
          <cell r="H16">
            <v>2.9548002803083392E-2</v>
          </cell>
        </row>
        <row r="17">
          <cell r="H17">
            <v>1.6267361111111111E-2</v>
          </cell>
        </row>
        <row r="20">
          <cell r="H20">
            <v>2.4292592592592588E-2</v>
          </cell>
        </row>
        <row r="21">
          <cell r="H21">
            <v>1.2800546448087429E-2</v>
          </cell>
        </row>
        <row r="22">
          <cell r="H22">
            <v>3.4459086730003065E-2</v>
          </cell>
        </row>
        <row r="23">
          <cell r="H23">
            <v>2.0688478522681651E-2</v>
          </cell>
        </row>
        <row r="25">
          <cell r="H25">
            <v>4.4170333123821494E-2</v>
          </cell>
        </row>
        <row r="26">
          <cell r="H26">
            <v>1.8973520249221183E-2</v>
          </cell>
        </row>
        <row r="27">
          <cell r="H27">
            <v>2.0007117437722419E-2</v>
          </cell>
        </row>
        <row r="28">
          <cell r="H28">
            <v>2.5120643431635385E-2</v>
          </cell>
        </row>
        <row r="29">
          <cell r="H29">
            <v>2.1935232149824423E-2</v>
          </cell>
        </row>
        <row r="30">
          <cell r="H30">
            <v>1.6901154401154399E-2</v>
          </cell>
        </row>
        <row r="31">
          <cell r="H31">
            <v>2.5601092896174862E-2</v>
          </cell>
        </row>
        <row r="32">
          <cell r="H32">
            <v>1.6217307692307691E-2</v>
          </cell>
        </row>
        <row r="33">
          <cell r="H33">
            <v>1.5501838235294118E-2</v>
          </cell>
        </row>
        <row r="34">
          <cell r="H34">
            <v>3.0918090062111801E-2</v>
          </cell>
        </row>
        <row r="35">
          <cell r="H35">
            <v>2.1049422336328623E-2</v>
          </cell>
        </row>
        <row r="36">
          <cell r="H36">
            <v>1.5582039911308203E-2</v>
          </cell>
        </row>
        <row r="37">
          <cell r="H37">
            <v>2.150315547905909E-2</v>
          </cell>
        </row>
        <row r="38">
          <cell r="H38">
            <v>2.1221254355400693E-2</v>
          </cell>
        </row>
        <row r="39">
          <cell r="H39">
            <v>1.8488555643251775E-2</v>
          </cell>
        </row>
        <row r="41">
          <cell r="H41">
            <v>2.7518355359765052E-2</v>
          </cell>
        </row>
        <row r="42">
          <cell r="H42">
            <v>1.5674138507862159E-2</v>
          </cell>
        </row>
        <row r="43">
          <cell r="H43">
            <v>2.4232758620689656E-2</v>
          </cell>
        </row>
        <row r="44">
          <cell r="H44">
            <v>2.3648345485137407E-2</v>
          </cell>
        </row>
        <row r="45">
          <cell r="H45">
            <v>1.9879773691654879E-2</v>
          </cell>
        </row>
        <row r="48">
          <cell r="H48">
            <v>2.2578313253012045E-2</v>
          </cell>
        </row>
        <row r="51">
          <cell r="H51">
            <v>1.1860759493670886E-2</v>
          </cell>
        </row>
        <row r="52">
          <cell r="H52">
            <v>2.4688468691878487E-2</v>
          </cell>
        </row>
        <row r="53">
          <cell r="H53">
            <v>1.7727898176814583E-2</v>
          </cell>
        </row>
        <row r="54">
          <cell r="H54">
            <v>7.1855828220858892E-3</v>
          </cell>
        </row>
        <row r="55">
          <cell r="H55">
            <v>2.4798452768729638E-2</v>
          </cell>
        </row>
        <row r="56">
          <cell r="H56">
            <v>1.5865989356555393E-2</v>
          </cell>
        </row>
      </sheetData>
      <sheetData sheetId="5">
        <row r="17">
          <cell r="H17">
            <v>4.3299445471349347E-2</v>
          </cell>
        </row>
        <row r="18">
          <cell r="H18">
            <v>2.1392694063926937E-2</v>
          </cell>
        </row>
        <row r="19">
          <cell r="H19">
            <v>3.0764540337711064E-2</v>
          </cell>
        </row>
        <row r="20">
          <cell r="H20">
            <v>1.718005133846718E-2</v>
          </cell>
        </row>
        <row r="21">
          <cell r="H21">
            <v>3.1302895322939867E-2</v>
          </cell>
        </row>
        <row r="22">
          <cell r="H22">
            <v>2.5370036101083033E-2</v>
          </cell>
        </row>
        <row r="23">
          <cell r="H23">
            <v>2.3000920527769253E-2</v>
          </cell>
        </row>
        <row r="26">
          <cell r="H26">
            <v>1.3886624675805852E-2</v>
          </cell>
        </row>
        <row r="27">
          <cell r="H27">
            <v>2.8901912399753236E-2</v>
          </cell>
        </row>
        <row r="28">
          <cell r="H28">
            <v>2.5554545454545455E-2</v>
          </cell>
        </row>
        <row r="29">
          <cell r="H29">
            <v>2.1797939514788964E-2</v>
          </cell>
        </row>
        <row r="30">
          <cell r="H30">
            <v>2.3957386363636365E-2</v>
          </cell>
        </row>
        <row r="31">
          <cell r="H31">
            <v>2.3103205353997881E-2</v>
          </cell>
        </row>
        <row r="32">
          <cell r="H32">
            <v>1.7036363636363634E-2</v>
          </cell>
        </row>
        <row r="34">
          <cell r="H34">
            <v>1.7036363636363634E-2</v>
          </cell>
        </row>
        <row r="35">
          <cell r="H35">
            <v>2.1069707677481526E-2</v>
          </cell>
        </row>
        <row r="36">
          <cell r="H36">
            <v>2.984076433121019E-2</v>
          </cell>
        </row>
        <row r="37">
          <cell r="H37">
            <v>1.8300781249999998E-2</v>
          </cell>
        </row>
        <row r="38">
          <cell r="H38">
            <v>3.0461638491547462E-2</v>
          </cell>
        </row>
        <row r="40">
          <cell r="H40">
            <v>2.1087771942985747E-2</v>
          </cell>
        </row>
        <row r="41">
          <cell r="H41">
            <v>2.0822222222222221E-2</v>
          </cell>
        </row>
      </sheetData>
      <sheetData sheetId="6">
        <row r="3">
          <cell r="H3">
            <v>1.68626274745051E-2</v>
          </cell>
        </row>
        <row r="4">
          <cell r="H4">
            <v>2.459317585301837E-2</v>
          </cell>
        </row>
        <row r="5">
          <cell r="H5">
            <v>1.9366779406238255E-2</v>
          </cell>
        </row>
        <row r="7">
          <cell r="H7">
            <v>2.9396078431372548E-2</v>
          </cell>
        </row>
        <row r="8">
          <cell r="H8">
            <v>2.2765984654731453E-2</v>
          </cell>
        </row>
        <row r="9">
          <cell r="H9">
            <v>3.0620915032679736E-2</v>
          </cell>
        </row>
        <row r="10">
          <cell r="H10">
            <v>2.1975960128994429E-2</v>
          </cell>
        </row>
        <row r="12">
          <cell r="H12">
            <v>2.4342525979216625E-2</v>
          </cell>
        </row>
        <row r="13">
          <cell r="H13">
            <v>1.2418820410868123E-2</v>
          </cell>
        </row>
        <row r="14">
          <cell r="H14">
            <v>1.9359504132231403E-2</v>
          </cell>
        </row>
        <row r="15">
          <cell r="H15">
            <v>2.7839558573853986E-2</v>
          </cell>
        </row>
        <row r="16">
          <cell r="H16">
            <v>2.5741758241758238E-2</v>
          </cell>
        </row>
        <row r="17">
          <cell r="H17">
            <v>6.519016697588126E-3</v>
          </cell>
        </row>
        <row r="19">
          <cell r="H19">
            <v>1.8123791102514508E-2</v>
          </cell>
        </row>
        <row r="20">
          <cell r="H20">
            <v>6.2411190053285968E-3</v>
          </cell>
        </row>
        <row r="21">
          <cell r="H21">
            <v>1.485280797101449E-2</v>
          </cell>
        </row>
        <row r="22">
          <cell r="H22">
            <v>8.437640702386312E-3</v>
          </cell>
        </row>
        <row r="23">
          <cell r="H23">
            <v>7.6677577741407522E-3</v>
          </cell>
        </row>
        <row r="25">
          <cell r="H25">
            <v>7.1663479923518162E-3</v>
          </cell>
        </row>
        <row r="27">
          <cell r="H27">
            <v>5.0196428571428571E-3</v>
          </cell>
        </row>
        <row r="29">
          <cell r="H29">
            <v>3.9436026936026936E-3</v>
          </cell>
        </row>
        <row r="30">
          <cell r="H30">
            <v>6.5800561797752805E-3</v>
          </cell>
        </row>
        <row r="32">
          <cell r="H32">
            <v>1.6822262118491919E-2</v>
          </cell>
        </row>
        <row r="33">
          <cell r="H33">
            <v>8.773408239700374E-3</v>
          </cell>
        </row>
        <row r="34">
          <cell r="H34">
            <v>7.0134730538922154E-3</v>
          </cell>
        </row>
        <row r="35">
          <cell r="H35">
            <v>6.686489058039962E-3</v>
          </cell>
        </row>
        <row r="36">
          <cell r="H36">
            <v>5.7768187422934641E-3</v>
          </cell>
        </row>
        <row r="41">
          <cell r="H41">
            <v>7.0187265917602991E-3</v>
          </cell>
        </row>
        <row r="42">
          <cell r="H42">
            <v>2.5984470327232389E-3</v>
          </cell>
        </row>
        <row r="43">
          <cell r="H43">
            <v>3.1421864520456066E-3</v>
          </cell>
        </row>
        <row r="45">
          <cell r="H45">
            <v>4.6386138613861384E-3</v>
          </cell>
        </row>
        <row r="46">
          <cell r="H46">
            <v>5.8452900810979412E-3</v>
          </cell>
        </row>
        <row r="47">
          <cell r="H47">
            <v>4.3928738865447719E-3</v>
          </cell>
        </row>
        <row r="52">
          <cell r="H52">
            <v>1.0708571428571428E-2</v>
          </cell>
        </row>
        <row r="55">
          <cell r="H55">
            <v>1.009698275862069E-2</v>
          </cell>
        </row>
        <row r="56">
          <cell r="H56">
            <v>2.0915178571428571E-2</v>
          </cell>
        </row>
        <row r="59">
          <cell r="H59">
            <v>5.1725089704664634E-3</v>
          </cell>
        </row>
        <row r="60">
          <cell r="H60">
            <v>5.5117647058823523E-3</v>
          </cell>
        </row>
        <row r="61">
          <cell r="H61">
            <v>1.0411111111111111E-2</v>
          </cell>
        </row>
        <row r="62">
          <cell r="H62">
            <v>6.2341982701264132E-3</v>
          </cell>
        </row>
        <row r="64">
          <cell r="H64">
            <v>1.1974440894568689E-2</v>
          </cell>
        </row>
        <row r="65">
          <cell r="H65">
            <v>4.3785046728971955E-3</v>
          </cell>
        </row>
        <row r="67">
          <cell r="H67">
            <v>5.8709273182957385E-3</v>
          </cell>
        </row>
        <row r="70">
          <cell r="H70">
            <v>8.2120946538124448E-3</v>
          </cell>
        </row>
      </sheetData>
      <sheetData sheetId="7">
        <row r="4">
          <cell r="H4">
            <v>9.3512974051896194E-3</v>
          </cell>
        </row>
        <row r="5">
          <cell r="H5">
            <v>3.7182539682539678E-3</v>
          </cell>
        </row>
        <row r="6">
          <cell r="H6">
            <v>7.8563443264393507E-3</v>
          </cell>
        </row>
        <row r="7">
          <cell r="H7">
            <v>6.2869028448738588E-3</v>
          </cell>
        </row>
        <row r="8">
          <cell r="H8">
            <v>4.9238045191802417E-3</v>
          </cell>
        </row>
        <row r="9">
          <cell r="H9">
            <v>1.6155172413793103E-2</v>
          </cell>
        </row>
        <row r="10">
          <cell r="H10">
            <v>1.0121913580246913E-2</v>
          </cell>
        </row>
        <row r="11">
          <cell r="H11">
            <v>3.1559447625463116E-3</v>
          </cell>
        </row>
        <row r="12">
          <cell r="H12">
            <v>1.2221739130434782E-2</v>
          </cell>
        </row>
        <row r="13">
          <cell r="H13">
            <v>4.5722186076772933E-3</v>
          </cell>
        </row>
        <row r="14">
          <cell r="H14">
            <v>6.3741496598639447E-3</v>
          </cell>
        </row>
        <row r="15">
          <cell r="H15">
            <v>6.230053191489361E-3</v>
          </cell>
        </row>
        <row r="16">
          <cell r="H16">
            <v>5.0241286863270777E-3</v>
          </cell>
        </row>
        <row r="17">
          <cell r="H17">
            <v>1.2924137931034481E-2</v>
          </cell>
        </row>
        <row r="18">
          <cell r="H18">
            <v>8.8396226415094325E-3</v>
          </cell>
        </row>
        <row r="19">
          <cell r="H19">
            <v>6.6141176470588233E-3</v>
          </cell>
        </row>
        <row r="20">
          <cell r="H20">
            <v>6.4442916093535073E-3</v>
          </cell>
        </row>
        <row r="21">
          <cell r="H21">
            <v>8.6566888396156678E-3</v>
          </cell>
        </row>
        <row r="22">
          <cell r="H22">
            <v>4.7579553148273529E-3</v>
          </cell>
        </row>
        <row r="23">
          <cell r="H23">
            <v>2.0548245614035086E-3</v>
          </cell>
        </row>
        <row r="24">
          <cell r="H24">
            <v>6.9100294985250735E-3</v>
          </cell>
        </row>
        <row r="25">
          <cell r="H25">
            <v>2.1740139211136888E-2</v>
          </cell>
        </row>
        <row r="26">
          <cell r="H26">
            <v>6.5372093023255817E-3</v>
          </cell>
        </row>
        <row r="27">
          <cell r="H27">
            <v>1.2800546448087429E-2</v>
          </cell>
        </row>
        <row r="28">
          <cell r="H28">
            <v>9.0575157080715306E-3</v>
          </cell>
        </row>
        <row r="29">
          <cell r="H29">
            <v>6.1321989528795801E-3</v>
          </cell>
        </row>
        <row r="30">
          <cell r="H30">
            <v>3.9502529510961216E-3</v>
          </cell>
        </row>
        <row r="31">
          <cell r="H31">
            <v>4.3798691181053282E-3</v>
          </cell>
        </row>
        <row r="32">
          <cell r="H32">
            <v>3.8068797399783316E-3</v>
          </cell>
        </row>
        <row r="33">
          <cell r="H33">
            <v>5.5443786982248512E-3</v>
          </cell>
        </row>
        <row r="34">
          <cell r="H34">
            <v>7.277669902912621E-3</v>
          </cell>
        </row>
        <row r="35">
          <cell r="H35">
            <v>5.0080171031533938E-3</v>
          </cell>
        </row>
        <row r="36">
          <cell r="H36">
            <v>5.4161849710982653E-3</v>
          </cell>
        </row>
        <row r="39">
          <cell r="H39">
            <v>1.3943452380952379E-2</v>
          </cell>
        </row>
        <row r="40">
          <cell r="H40">
            <v>7.2748447204968938E-3</v>
          </cell>
        </row>
        <row r="41">
          <cell r="H41">
            <v>7.326035965598123E-3</v>
          </cell>
        </row>
        <row r="42">
          <cell r="H42">
            <v>4.2629663330300271E-3</v>
          </cell>
        </row>
        <row r="43">
          <cell r="H43">
            <v>7.5261044176706824E-3</v>
          </cell>
        </row>
        <row r="45">
          <cell r="H45">
            <v>7.8410041841004176E-3</v>
          </cell>
        </row>
        <row r="46">
          <cell r="H46">
            <v>1.1585064292779425E-2</v>
          </cell>
        </row>
        <row r="48">
          <cell r="H48">
            <v>4.9752212389380527E-3</v>
          </cell>
        </row>
        <row r="49">
          <cell r="H49">
            <v>5.7839506172839509E-3</v>
          </cell>
        </row>
        <row r="50">
          <cell r="H50">
            <v>5.791100123609394E-3</v>
          </cell>
        </row>
        <row r="52">
          <cell r="H52">
            <v>7.3375097885669529E-3</v>
          </cell>
        </row>
        <row r="56">
          <cell r="H56">
            <v>9.2467105263157896E-3</v>
          </cell>
        </row>
      </sheetData>
      <sheetData sheetId="8">
        <row r="3">
          <cell r="H3">
            <v>3.2808123249299715E-3</v>
          </cell>
        </row>
        <row r="4">
          <cell r="H4">
            <v>1.1818869828456103E-2</v>
          </cell>
        </row>
        <row r="5">
          <cell r="H5">
            <v>6.4620689655172413E-3</v>
          </cell>
        </row>
        <row r="7">
          <cell r="H7">
            <v>7.0303121248499389E-3</v>
          </cell>
        </row>
        <row r="8">
          <cell r="H8">
            <v>4.0387931034482757E-3</v>
          </cell>
        </row>
        <row r="9">
          <cell r="H9">
            <v>4.1730997624703087E-3</v>
          </cell>
        </row>
        <row r="10">
          <cell r="H10">
            <v>7.2748447204968938E-3</v>
          </cell>
        </row>
        <row r="11">
          <cell r="H11">
            <v>6.4222069910897872E-3</v>
          </cell>
        </row>
        <row r="15">
          <cell r="H15">
            <v>6.4889196675900276E-3</v>
          </cell>
        </row>
        <row r="16">
          <cell r="H16">
            <v>5.8174668874172181E-3</v>
          </cell>
        </row>
        <row r="17">
          <cell r="H17">
            <v>5.1076587626056142E-3</v>
          </cell>
        </row>
        <row r="18">
          <cell r="H18">
            <v>7.1308980213089799E-3</v>
          </cell>
        </row>
        <row r="22">
          <cell r="H22">
            <v>4.4875478927203062E-3</v>
          </cell>
        </row>
        <row r="23">
          <cell r="H23">
            <v>7.3895899053627763E-3</v>
          </cell>
        </row>
        <row r="24">
          <cell r="H24">
            <v>7.8827818283791363E-3</v>
          </cell>
        </row>
        <row r="25">
          <cell r="H25">
            <v>3.0422077922077919E-3</v>
          </cell>
        </row>
        <row r="26">
          <cell r="H26">
            <v>6.1201828870019589E-3</v>
          </cell>
        </row>
        <row r="27">
          <cell r="H27">
            <v>4.4875478927203062E-3</v>
          </cell>
        </row>
        <row r="28">
          <cell r="H28">
            <v>1.6022571819425443E-3</v>
          </cell>
        </row>
        <row r="29">
          <cell r="H29">
            <v>4.3703358208955221E-3</v>
          </cell>
        </row>
        <row r="31">
          <cell r="H31">
            <v>1.5076427996781978E-2</v>
          </cell>
        </row>
        <row r="32">
          <cell r="H32">
            <v>2.1065647482014387E-2</v>
          </cell>
        </row>
        <row r="33">
          <cell r="H33">
            <v>1.531045751633987E-2</v>
          </cell>
        </row>
        <row r="35">
          <cell r="H35">
            <v>1.0242036227357899E-2</v>
          </cell>
        </row>
        <row r="36">
          <cell r="H36">
            <v>6.5916285613788249E-3</v>
          </cell>
        </row>
        <row r="37">
          <cell r="H37">
            <v>9.2680514342235402E-3</v>
          </cell>
        </row>
        <row r="38">
          <cell r="H38">
            <v>5.4635568513119528E-3</v>
          </cell>
        </row>
        <row r="39">
          <cell r="H39">
            <v>5.7602459016393446E-3</v>
          </cell>
        </row>
        <row r="40">
          <cell r="H40">
            <v>6.0490639122014198E-3</v>
          </cell>
        </row>
        <row r="42">
          <cell r="H42">
            <v>8.8731060606060588E-3</v>
          </cell>
        </row>
        <row r="44">
          <cell r="H44">
            <v>6.1482939632545924E-3</v>
          </cell>
        </row>
        <row r="46">
          <cell r="H46">
            <v>1.1062573789846515E-2</v>
          </cell>
        </row>
        <row r="47">
          <cell r="H47">
            <v>1.9232348111658453E-2</v>
          </cell>
        </row>
        <row r="48">
          <cell r="H48">
            <v>5.1940133037694011E-3</v>
          </cell>
        </row>
        <row r="49">
          <cell r="H49">
            <v>1.2809295967190703E-2</v>
          </cell>
        </row>
        <row r="50">
          <cell r="H50">
            <v>4.2565112053301029E-3</v>
          </cell>
        </row>
        <row r="52">
          <cell r="H52">
            <v>7.75983436853002E-3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int"/>
      <sheetName val="Monthly summary loss"/>
      <sheetName val="Pareto YTD"/>
      <sheetName val="Pareto Data"/>
      <sheetName val="Pareto analysis month "/>
      <sheetName val="Uncaser Downtime Detail "/>
      <sheetName val="Washer Downtime Detail"/>
      <sheetName val="EBI Downtime Detail"/>
      <sheetName val="Filler Downtime Detail"/>
      <sheetName val="Pasteurizer Downtime Detail"/>
      <sheetName val="Labeler Downtime Detail"/>
      <sheetName val="Videojet Downtime Detail "/>
      <sheetName val="Packer Downtime Detail  "/>
      <sheetName val="Carton Errector-sealer Detail"/>
      <sheetName val="Conveyor Downtime (new)"/>
      <sheetName val="Org &amp; Tech Downtime"/>
      <sheetName val="Data Sheet"/>
      <sheetName val="Dec"/>
      <sheetName val="2 weeks Downtime Trend"/>
      <sheetName val="Nov"/>
      <sheetName val="Jan"/>
      <sheetName val="Apr"/>
      <sheetName val="Feb"/>
      <sheetName val="Mar"/>
      <sheetName val="May"/>
      <sheetName val="Jun"/>
      <sheetName val="Jul"/>
      <sheetName val="Aug"/>
      <sheetName val="Sept"/>
      <sheetName val="Oct"/>
      <sheetName val="Washer Downtime Detail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8">
          <cell r="E8">
            <v>1.1458333333333333</v>
          </cell>
        </row>
        <row r="52">
          <cell r="AD52">
            <v>0</v>
          </cell>
        </row>
        <row r="53">
          <cell r="AD53">
            <v>0</v>
          </cell>
        </row>
        <row r="54">
          <cell r="AD54">
            <v>0</v>
          </cell>
        </row>
        <row r="55">
          <cell r="AD55">
            <v>0</v>
          </cell>
        </row>
        <row r="56">
          <cell r="AD56">
            <v>0</v>
          </cell>
        </row>
        <row r="57">
          <cell r="AD57">
            <v>0</v>
          </cell>
        </row>
        <row r="59">
          <cell r="AD59"/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0</v>
          </cell>
        </row>
        <row r="115">
          <cell r="N115"/>
        </row>
        <row r="116">
          <cell r="N116"/>
        </row>
        <row r="117">
          <cell r="N117"/>
        </row>
      </sheetData>
      <sheetData sheetId="18" refreshError="1"/>
      <sheetData sheetId="19">
        <row r="8">
          <cell r="E8">
            <v>1.1944444444444444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>
        <row r="8">
          <cell r="E8">
            <v>0.38472222222222202</v>
          </cell>
        </row>
        <row r="51">
          <cell r="AD51">
            <v>0</v>
          </cell>
        </row>
      </sheetData>
      <sheetData sheetId="25">
        <row r="8">
          <cell r="E8">
            <v>9.375E-2</v>
          </cell>
        </row>
      </sheetData>
      <sheetData sheetId="26">
        <row r="8">
          <cell r="E8">
            <v>1</v>
          </cell>
        </row>
      </sheetData>
      <sheetData sheetId="27">
        <row r="8">
          <cell r="E8">
            <v>1.0541666666666667</v>
          </cell>
        </row>
      </sheetData>
      <sheetData sheetId="28">
        <row r="8">
          <cell r="E8">
            <v>0.34722222222222221</v>
          </cell>
        </row>
      </sheetData>
      <sheetData sheetId="29">
        <row r="8">
          <cell r="E8">
            <v>1.0243055555555556</v>
          </cell>
        </row>
      </sheetData>
      <sheetData sheetId="30" refreshError="1"/>
      <sheetData sheetId="3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EA4C4-8C79-435E-A6C9-B212CA43B18B}" name="Table1" displayName="Table1" ref="B5:T63" totalsRowShown="0" tableBorderDxfId="110">
  <autoFilter ref="B5:T63" xr:uid="{8E8EA4C4-8C79-435E-A6C9-B212CA43B18B}"/>
  <tableColumns count="19">
    <tableColumn id="1" xr3:uid="{74F24080-6E13-4FFC-A740-FA5864BDE1A3}" name="DATE " dataDxfId="109"/>
    <tableColumn id="2" xr3:uid="{CF97D01A-91FA-49EE-B085-D6A22557C6FD}" name="DAY" dataDxfId="108"/>
    <tableColumn id="3" xr3:uid="{563BA31A-1B5D-4C64-A98B-E6E075D178FB}" name="PRODUCT" dataDxfId="107"/>
    <tableColumn id="4" xr3:uid="{88C9E675-CFDD-4A22-9E6C-FFBAAEF2FB63}" name="AVAIL." dataDxfId="106"/>
    <tableColumn id="5" xr3:uid="{50BF4FDB-8EBE-4375-A977-5AD48F537BFA}" name="FILL" dataDxfId="105"/>
    <tableColumn id="6" xr3:uid="{523B3415-1052-45F3-920D-4C1382EEA15E}" name="CASES" dataDxfId="104"/>
    <tableColumn id="7" xr3:uid="{8BA2ADCE-4D9E-474D-9C75-CE6FFA9EDDAE}" name="Line Rated" dataDxfId="103">
      <calculatedColumnFormula>(G6)*24/(F6/60)/17000*100</calculatedColumnFormula>
    </tableColumn>
    <tableColumn id="8" xr3:uid="{C473CEE7-E3EE-47DA-AD3C-8BB38889E4CF}" name="Cases on Hold" dataDxfId="102"/>
    <tableColumn id="9" xr3:uid="{91B06FC9-BD19-4759-B570-8EBEBBB9CC39}" name="BBT" dataDxfId="101"/>
    <tableColumn id="10" xr3:uid="{3610480D-A325-45AE-840C-8DF6EDBE7DE8}" name="BOTTLED" dataDxfId="100"/>
    <tableColumn id="11" xr3:uid="{F10F7E63-27E1-4133-B474-A3EC2B18F4FF}" name="Diff BBT " dataDxfId="99">
      <calculatedColumnFormula>J6-K6</calculatedColumnFormula>
    </tableColumn>
    <tableColumn id="12" xr3:uid="{5AD234E5-19EB-474B-8CC5-77617C614A72}" name="DOWNTIME"/>
    <tableColumn id="13" xr3:uid="{B8796287-5FA3-4597-8C6D-56B271B85A17}" name="REJECTS" dataDxfId="98"/>
    <tableColumn id="14" xr3:uid="{BD5AB55E-B1B2-434A-8FD6-93B17A90B08D}" name="KEGS" dataDxfId="97"/>
    <tableColumn id="15" xr3:uid="{C97B40BD-C523-4E33-8CB2-427FC6DA7C5F}" name="BOTTLED2" dataDxfId="96"/>
    <tableColumn id="16" xr3:uid="{03BB8AAF-6D68-4F10-BD57-4734DCD08BBB}" name="AVERAGE" dataDxfId="95">
      <calculatedColumnFormula>G6/(F6/60)</calculatedColumnFormula>
    </tableColumn>
    <tableColumn id="17" xr3:uid="{32DA6B0B-4794-45FB-AFCB-23233B125E1F}" name="YTD" dataDxfId="94"/>
    <tableColumn id="20" xr3:uid="{9C8D6DA9-14BD-428C-922A-71848A31A5A9}" name="Glue" dataDxfId="93"/>
    <tableColumn id="18" xr3:uid="{7F4D38F0-8F10-4D4F-8B3F-9474F77EB5F8}" name="AVG" dataDxfId="9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6E5198-E2A5-4551-BF7A-1C645E8B97F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Tvk0IGNsCs061P7O_mj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1"/>
    <pageSetUpPr fitToPage="1"/>
  </sheetPr>
  <dimension ref="B1:CB128"/>
  <sheetViews>
    <sheetView topLeftCell="A4" zoomScale="80" zoomScaleNormal="80" zoomScaleSheetLayoutView="80" workbookViewId="0">
      <pane xSplit="2" ySplit="4" topLeftCell="E37" activePane="bottomRight" state="frozen"/>
      <selection activeCell="A4" sqref="A4"/>
      <selection pane="topRight" activeCell="B4" sqref="B4"/>
      <selection pane="bottomLeft" activeCell="A8" sqref="A8"/>
      <selection pane="bottomRight" activeCell="S65" sqref="S65"/>
    </sheetView>
  </sheetViews>
  <sheetFormatPr defaultColWidth="9.140625" defaultRowHeight="18.75"/>
  <cols>
    <col min="1" max="1" width="2.42578125" style="93" customWidth="1"/>
    <col min="2" max="2" width="9.140625" style="130" customWidth="1"/>
    <col min="3" max="3" width="9.42578125" style="130" customWidth="1"/>
    <col min="4" max="4" width="66.5703125" style="131" customWidth="1"/>
    <col min="5" max="5" width="8.85546875" style="130" customWidth="1"/>
    <col min="6" max="6" width="8.5703125" style="132" customWidth="1"/>
    <col min="7" max="8" width="13.5703125" style="93" customWidth="1"/>
    <col min="9" max="9" width="10.5703125" style="133" customWidth="1"/>
    <col min="10" max="10" width="16.42578125" style="133" bestFit="1" customWidth="1"/>
    <col min="11" max="11" width="13.140625" style="133" customWidth="1"/>
    <col min="12" max="12" width="14" style="133" customWidth="1"/>
    <col min="13" max="13" width="19.140625" style="133" customWidth="1"/>
    <col min="14" max="14" width="16.5703125" style="133" customWidth="1"/>
    <col min="15" max="15" width="9.42578125" style="133" customWidth="1"/>
    <col min="16" max="16" width="12.42578125" style="136" customWidth="1"/>
    <col min="17" max="17" width="15.42578125" style="136" customWidth="1"/>
    <col min="18" max="18" width="15.140625" style="113" hidden="1" customWidth="1"/>
    <col min="19" max="20" width="11" style="93" customWidth="1"/>
    <col min="21" max="21" width="9.85546875" style="93" bestFit="1" customWidth="1"/>
    <col min="22" max="22" width="20.85546875" style="93" customWidth="1"/>
    <col min="23" max="23" width="13.5703125" style="93" customWidth="1"/>
    <col min="24" max="24" width="15.85546875" style="93" customWidth="1"/>
    <col min="25" max="25" width="10.5703125" style="93" customWidth="1"/>
    <col min="26" max="16384" width="9.140625" style="93"/>
  </cols>
  <sheetData>
    <row r="1" spans="2:21">
      <c r="B1" s="408" t="s">
        <v>0</v>
      </c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</row>
    <row r="3" spans="2:21" ht="21">
      <c r="B3" s="409" t="s">
        <v>1</v>
      </c>
      <c r="C3" s="40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</row>
    <row r="4" spans="2:21" thickBot="1">
      <c r="B4" s="410">
        <v>46023</v>
      </c>
      <c r="C4" s="410"/>
      <c r="D4" s="410"/>
      <c r="E4" s="410"/>
      <c r="F4" s="410"/>
      <c r="G4" s="410"/>
      <c r="H4" s="410"/>
      <c r="I4" s="410"/>
      <c r="J4" s="410"/>
      <c r="K4" s="410"/>
      <c r="L4" s="410"/>
      <c r="M4" s="410"/>
      <c r="N4" s="410"/>
      <c r="O4" s="410"/>
      <c r="P4" s="410"/>
      <c r="Q4" s="410"/>
      <c r="R4" s="410"/>
    </row>
    <row r="5" spans="2:21" ht="20.25" thickTop="1" thickBot="1">
      <c r="B5" s="94" t="s">
        <v>2</v>
      </c>
      <c r="C5" s="94" t="s">
        <v>3</v>
      </c>
      <c r="D5" s="95" t="s">
        <v>4</v>
      </c>
      <c r="E5" s="94" t="s">
        <v>37</v>
      </c>
      <c r="F5" s="96" t="s">
        <v>12</v>
      </c>
      <c r="G5" s="94" t="s">
        <v>5</v>
      </c>
      <c r="H5" s="94" t="s">
        <v>13</v>
      </c>
      <c r="I5" s="411" t="s">
        <v>26</v>
      </c>
      <c r="J5" s="94" t="s">
        <v>18</v>
      </c>
      <c r="K5" s="94" t="s">
        <v>6</v>
      </c>
      <c r="L5" s="414" t="s">
        <v>22</v>
      </c>
      <c r="M5" s="417" t="s">
        <v>24</v>
      </c>
      <c r="N5" s="417" t="s">
        <v>25</v>
      </c>
      <c r="O5" s="417" t="s">
        <v>23</v>
      </c>
      <c r="P5" s="96" t="s">
        <v>6</v>
      </c>
      <c r="Q5" s="97" t="s">
        <v>9</v>
      </c>
      <c r="R5" s="97" t="s">
        <v>9</v>
      </c>
      <c r="S5" s="94" t="s">
        <v>20</v>
      </c>
      <c r="T5" s="94" t="s">
        <v>95</v>
      </c>
    </row>
    <row r="6" spans="2:21" ht="16.5" customHeight="1" thickTop="1">
      <c r="B6" s="98"/>
      <c r="C6" s="98"/>
      <c r="D6" s="99"/>
      <c r="E6" s="98" t="s">
        <v>11</v>
      </c>
      <c r="F6" s="100" t="s">
        <v>11</v>
      </c>
      <c r="G6" s="98" t="s">
        <v>6</v>
      </c>
      <c r="H6" s="98" t="s">
        <v>14</v>
      </c>
      <c r="I6" s="412"/>
      <c r="J6" s="98" t="s">
        <v>17</v>
      </c>
      <c r="K6" s="98" t="s">
        <v>17</v>
      </c>
      <c r="L6" s="415"/>
      <c r="M6" s="418"/>
      <c r="N6" s="418"/>
      <c r="O6" s="418"/>
      <c r="P6" s="100" t="s">
        <v>19</v>
      </c>
      <c r="Q6" s="101" t="s">
        <v>10</v>
      </c>
      <c r="R6" s="101" t="s">
        <v>10</v>
      </c>
      <c r="S6" s="420" t="s">
        <v>21</v>
      </c>
      <c r="T6" s="420" t="s">
        <v>96</v>
      </c>
    </row>
    <row r="7" spans="2:21" ht="19.5" thickBot="1">
      <c r="B7" s="98"/>
      <c r="C7" s="102"/>
      <c r="D7" s="103"/>
      <c r="E7" s="98"/>
      <c r="F7" s="104" t="s">
        <v>15</v>
      </c>
      <c r="G7" s="102"/>
      <c r="H7" s="102" t="s">
        <v>16</v>
      </c>
      <c r="I7" s="413"/>
      <c r="J7" s="102"/>
      <c r="K7" s="102"/>
      <c r="L7" s="416"/>
      <c r="M7" s="419"/>
      <c r="N7" s="419"/>
      <c r="O7" s="419"/>
      <c r="P7" s="104"/>
      <c r="Q7" s="104" t="s">
        <v>80</v>
      </c>
      <c r="R7" s="105" t="s">
        <v>81</v>
      </c>
      <c r="S7" s="421"/>
      <c r="T7" s="421" t="s">
        <v>3</v>
      </c>
    </row>
    <row r="8" spans="2:21">
      <c r="B8" s="143">
        <v>46024</v>
      </c>
      <c r="C8" s="115">
        <v>1</v>
      </c>
      <c r="D8" s="30" t="s">
        <v>45</v>
      </c>
      <c r="E8" s="48">
        <v>790</v>
      </c>
      <c r="F8" s="39">
        <f>[3]Jan!$N69</f>
        <v>559</v>
      </c>
      <c r="G8" s="18">
        <v>3360</v>
      </c>
      <c r="H8" s="109">
        <f t="shared" ref="H8:H15" si="0">(G8)*24/(F8/60)/17000*100</f>
        <v>50.91444806903084</v>
      </c>
      <c r="I8" s="55">
        <v>139</v>
      </c>
      <c r="J8" s="54">
        <f>SUM(52.3,59,65,50.9)</f>
        <v>227.20000000000002</v>
      </c>
      <c r="K8" s="109">
        <f t="shared" ref="K8:K44" si="1">(G8)*0.066</f>
        <v>221.76000000000002</v>
      </c>
      <c r="L8" s="109">
        <f t="shared" ref="L8:L15" si="2">J8-K8</f>
        <v>5.4399999999999977</v>
      </c>
      <c r="M8" s="55">
        <f>[3]Jan!$AD8</f>
        <v>276</v>
      </c>
      <c r="N8" s="55">
        <v>4</v>
      </c>
      <c r="O8" s="55"/>
      <c r="P8" s="54">
        <f t="shared" ref="P8:P15" si="3">(J8-K8)/J8*100</f>
        <v>2.3943661971830976</v>
      </c>
      <c r="Q8" s="110">
        <f>(G8)/(E8/60)</f>
        <v>255.18987341772154</v>
      </c>
      <c r="R8" s="110">
        <f>(G8)/(F8/60)</f>
        <v>360.64400715563505</v>
      </c>
      <c r="S8" s="426">
        <f>((J9+J8)-(K9+K8))/(J9+J8)*100</f>
        <v>2.4146981627296631</v>
      </c>
      <c r="T8" s="426"/>
    </row>
    <row r="9" spans="2:21">
      <c r="B9" s="60">
        <v>46027</v>
      </c>
      <c r="C9" s="49">
        <v>2</v>
      </c>
      <c r="D9" s="30" t="s">
        <v>45</v>
      </c>
      <c r="E9" s="48">
        <v>1330</v>
      </c>
      <c r="F9" s="39">
        <f>[3]Jan!$N70</f>
        <v>160</v>
      </c>
      <c r="G9" s="185">
        <v>20</v>
      </c>
      <c r="H9" s="109">
        <f t="shared" si="0"/>
        <v>1.0588235294117647</v>
      </c>
      <c r="I9" s="50"/>
      <c r="J9" s="54">
        <f>SUM(88.6)-73.2-14</f>
        <v>1.3999999999999915</v>
      </c>
      <c r="K9" s="109">
        <f>(G9)*0.066</f>
        <v>1.32</v>
      </c>
      <c r="L9" s="109">
        <f t="shared" si="2"/>
        <v>7.9999999999991411E-2</v>
      </c>
      <c r="M9" s="55">
        <f>[3]Jan!$AD9</f>
        <v>1358</v>
      </c>
      <c r="N9" s="55"/>
      <c r="O9" s="55"/>
      <c r="P9" s="54">
        <f t="shared" si="3"/>
        <v>5.7142857142851353</v>
      </c>
      <c r="Q9" s="110">
        <f>(G9)/(E9/60)</f>
        <v>0.90225563909774431</v>
      </c>
      <c r="R9" s="110">
        <f t="shared" ref="R9:R15" si="4">(G9)/(F9/60)</f>
        <v>7.5</v>
      </c>
      <c r="S9" s="426"/>
      <c r="T9" s="426"/>
    </row>
    <row r="10" spans="2:21" s="264" customFormat="1">
      <c r="B10" s="228">
        <v>46028</v>
      </c>
      <c r="C10" s="229"/>
      <c r="D10" s="250" t="s">
        <v>70</v>
      </c>
      <c r="E10" s="230"/>
      <c r="F10" s="231">
        <f>[3]Jan!$N71</f>
        <v>0</v>
      </c>
      <c r="G10" s="249"/>
      <c r="H10" s="260" t="e">
        <f t="shared" si="0"/>
        <v>#DIV/0!</v>
      </c>
      <c r="I10" s="261"/>
      <c r="J10" s="227"/>
      <c r="K10" s="260">
        <f t="shared" si="1"/>
        <v>0</v>
      </c>
      <c r="L10" s="260">
        <f t="shared" si="2"/>
        <v>0</v>
      </c>
      <c r="M10" s="232">
        <f>[3]Jan!$AD10</f>
        <v>1440</v>
      </c>
      <c r="N10" s="232"/>
      <c r="O10" s="232"/>
      <c r="P10" s="227" t="e">
        <f t="shared" si="3"/>
        <v>#DIV/0!</v>
      </c>
      <c r="Q10" s="227" t="e">
        <f t="shared" ref="Q10:Q44" si="5">(G10)/(E10/60)</f>
        <v>#DIV/0!</v>
      </c>
      <c r="R10" s="262" t="e">
        <f t="shared" si="4"/>
        <v>#DIV/0!</v>
      </c>
      <c r="S10" s="233"/>
      <c r="T10" s="233"/>
      <c r="U10" s="263"/>
    </row>
    <row r="11" spans="2:21" s="264" customFormat="1">
      <c r="B11" s="228">
        <v>46029</v>
      </c>
      <c r="C11" s="229"/>
      <c r="D11" s="250" t="s">
        <v>70</v>
      </c>
      <c r="E11" s="230"/>
      <c r="F11" s="231">
        <f>[3]Jan!$N72</f>
        <v>0</v>
      </c>
      <c r="G11" s="249"/>
      <c r="H11" s="260" t="e">
        <f t="shared" ref="H11" si="6">(G11)*24/(F11/60)/17000*100</f>
        <v>#DIV/0!</v>
      </c>
      <c r="I11" s="261"/>
      <c r="J11" s="227"/>
      <c r="K11" s="260">
        <f t="shared" ref="K11" si="7">(G11)*0.066</f>
        <v>0</v>
      </c>
      <c r="L11" s="260">
        <f t="shared" ref="L11" si="8">J11-K11</f>
        <v>0</v>
      </c>
      <c r="M11" s="232">
        <f>[3]Jan!$AD11</f>
        <v>1440</v>
      </c>
      <c r="N11" s="232"/>
      <c r="O11" s="232">
        <v>45</v>
      </c>
      <c r="P11" s="227" t="e">
        <f t="shared" ref="P11" si="9">(J11-K11)/J11*100</f>
        <v>#DIV/0!</v>
      </c>
      <c r="Q11" s="227" t="e">
        <f t="shared" si="5"/>
        <v>#DIV/0!</v>
      </c>
      <c r="R11" s="262" t="e">
        <f t="shared" ref="R11" si="10">(G11)/(F11/60)</f>
        <v>#DIV/0!</v>
      </c>
      <c r="S11" s="233"/>
      <c r="T11" s="233"/>
      <c r="U11" s="263"/>
    </row>
    <row r="12" spans="2:21">
      <c r="B12" s="60">
        <v>46030</v>
      </c>
      <c r="C12" s="49">
        <v>3</v>
      </c>
      <c r="D12" s="30" t="s">
        <v>45</v>
      </c>
      <c r="E12" s="48">
        <v>1440</v>
      </c>
      <c r="F12" s="39">
        <f>[3]Jan!$N73</f>
        <v>271</v>
      </c>
      <c r="G12" s="18">
        <v>1563</v>
      </c>
      <c r="H12" s="109">
        <f t="shared" si="0"/>
        <v>48.8543520729325</v>
      </c>
      <c r="I12" s="50"/>
      <c r="J12" s="184">
        <f>SUM(98.8,64.65)-59.5</f>
        <v>103.94999999999999</v>
      </c>
      <c r="K12" s="109">
        <f t="shared" si="1"/>
        <v>103.158</v>
      </c>
      <c r="L12" s="109">
        <f t="shared" si="2"/>
        <v>0.79199999999998738</v>
      </c>
      <c r="M12" s="55">
        <f>[3]Jan!$AD12</f>
        <v>1264</v>
      </c>
      <c r="N12" s="55">
        <v>4</v>
      </c>
      <c r="O12" s="55"/>
      <c r="P12" s="54">
        <f t="shared" si="3"/>
        <v>0.76190476190474987</v>
      </c>
      <c r="Q12" s="110">
        <f>(G12)/(E12/60)</f>
        <v>65.125</v>
      </c>
      <c r="R12" s="110">
        <f t="shared" si="4"/>
        <v>346.05166051660518</v>
      </c>
      <c r="S12" s="425">
        <f>((J13+J12)-(K13+K12))/(J13+J12)*100</f>
        <v>2.8714467543487445</v>
      </c>
      <c r="T12" s="425"/>
      <c r="U12" s="113"/>
    </row>
    <row r="13" spans="2:21">
      <c r="B13" s="60">
        <v>46031</v>
      </c>
      <c r="C13" s="49">
        <v>4</v>
      </c>
      <c r="D13" s="30" t="s">
        <v>45</v>
      </c>
      <c r="E13" s="402">
        <v>1185</v>
      </c>
      <c r="F13" s="39">
        <f>[3]Jan!$N74</f>
        <v>633</v>
      </c>
      <c r="G13" s="18">
        <v>3640</v>
      </c>
      <c r="H13" s="109">
        <f t="shared" si="0"/>
        <v>48.709227766936152</v>
      </c>
      <c r="I13" s="181"/>
      <c r="J13" s="173">
        <f>SUM(93.9,59.5,96.2)</f>
        <v>249.60000000000002</v>
      </c>
      <c r="K13" s="109">
        <f t="shared" si="1"/>
        <v>240.24</v>
      </c>
      <c r="L13" s="109">
        <f t="shared" si="2"/>
        <v>9.3600000000000136</v>
      </c>
      <c r="M13" s="55">
        <f>[3]Jan!$AD13</f>
        <v>304</v>
      </c>
      <c r="N13" s="55">
        <f>9+13</f>
        <v>22</v>
      </c>
      <c r="O13" s="55"/>
      <c r="P13" s="54">
        <f t="shared" si="3"/>
        <v>3.7500000000000053</v>
      </c>
      <c r="Q13" s="110">
        <f t="shared" ref="Q13" si="11">(G13)/(E13/60)</f>
        <v>184.30379746835442</v>
      </c>
      <c r="R13" s="110">
        <f t="shared" si="4"/>
        <v>345.02369668246445</v>
      </c>
      <c r="S13" s="425"/>
      <c r="T13" s="425"/>
      <c r="U13" s="113"/>
    </row>
    <row r="14" spans="2:21">
      <c r="B14" s="60">
        <v>46031</v>
      </c>
      <c r="C14" s="49">
        <v>4</v>
      </c>
      <c r="D14" s="30" t="s">
        <v>48</v>
      </c>
      <c r="E14" s="404"/>
      <c r="F14" s="39">
        <f>[3]Jan!$N75</f>
        <v>341</v>
      </c>
      <c r="G14" s="18">
        <v>2559</v>
      </c>
      <c r="H14" s="109">
        <f t="shared" si="0"/>
        <v>63.56667241676729</v>
      </c>
      <c r="I14" s="50"/>
      <c r="J14" s="173">
        <f>SUM(98.4,101)-24.1</f>
        <v>175.3</v>
      </c>
      <c r="K14" s="109">
        <f t="shared" si="1"/>
        <v>168.89400000000001</v>
      </c>
      <c r="L14" s="109">
        <f t="shared" si="2"/>
        <v>6.4060000000000059</v>
      </c>
      <c r="M14" s="55">
        <f>[3]Jan!$AD14</f>
        <v>136</v>
      </c>
      <c r="N14" s="55">
        <v>7</v>
      </c>
      <c r="O14" s="55"/>
      <c r="P14" s="54">
        <f t="shared" si="3"/>
        <v>3.6543069024529409</v>
      </c>
      <c r="Q14" s="110">
        <f>(G14)/(E13/60)</f>
        <v>129.56962025316454</v>
      </c>
      <c r="R14" s="110">
        <f t="shared" si="4"/>
        <v>450.26392961876832</v>
      </c>
      <c r="S14" s="424">
        <f>((J15+J14)-(K15+K14))/(J15+J14)*100</f>
        <v>3.4806378132118421</v>
      </c>
      <c r="T14" s="424"/>
      <c r="U14" s="113"/>
    </row>
    <row r="15" spans="2:21">
      <c r="B15" s="60">
        <v>46032</v>
      </c>
      <c r="C15" s="49">
        <v>5</v>
      </c>
      <c r="D15" s="30" t="s">
        <v>48</v>
      </c>
      <c r="E15" s="48">
        <v>400</v>
      </c>
      <c r="F15" s="39">
        <f>[3]Jan!$N76</f>
        <v>331</v>
      </c>
      <c r="G15" s="18">
        <v>2577</v>
      </c>
      <c r="H15" s="109">
        <f t="shared" si="0"/>
        <v>65.947751910431833</v>
      </c>
      <c r="I15" s="50"/>
      <c r="J15" s="173">
        <f>SUM(24.1,99,103.8)-51</f>
        <v>175.89999999999998</v>
      </c>
      <c r="K15" s="109">
        <f t="shared" si="1"/>
        <v>170.08200000000002</v>
      </c>
      <c r="L15" s="109">
        <f t="shared" si="2"/>
        <v>5.8179999999999552</v>
      </c>
      <c r="M15" s="55">
        <f>[3]Jan!$AD15</f>
        <v>107</v>
      </c>
      <c r="N15" s="55">
        <v>32</v>
      </c>
      <c r="O15" s="55"/>
      <c r="P15" s="54">
        <f t="shared" si="3"/>
        <v>3.3075611142694465</v>
      </c>
      <c r="Q15" s="110">
        <f>(G15)/(E15/60)</f>
        <v>386.54999999999995</v>
      </c>
      <c r="R15" s="110">
        <f t="shared" si="4"/>
        <v>467.12990936555894</v>
      </c>
      <c r="S15" s="424"/>
      <c r="T15" s="424"/>
      <c r="U15" s="113"/>
    </row>
    <row r="16" spans="2:21">
      <c r="B16" s="60">
        <v>46034</v>
      </c>
      <c r="C16" s="49">
        <v>6</v>
      </c>
      <c r="D16" s="30" t="s">
        <v>64</v>
      </c>
      <c r="E16" s="402">
        <v>1380</v>
      </c>
      <c r="F16" s="39">
        <f>[3]Jan!$N77</f>
        <v>375</v>
      </c>
      <c r="G16" s="108">
        <v>2656</v>
      </c>
      <c r="H16" s="109">
        <f t="shared" ref="H16:H43" si="12">(G16)*24/(F16/60)/17000*100</f>
        <v>59.994352941176473</v>
      </c>
      <c r="I16" s="182"/>
      <c r="J16" s="173">
        <f>SUM(93.2,93.6,1.5)</f>
        <v>188.3</v>
      </c>
      <c r="K16" s="109">
        <f>(G16)*0.0708</f>
        <v>188.04480000000001</v>
      </c>
      <c r="L16" s="109">
        <f>J16-K16</f>
        <v>0.25520000000000209</v>
      </c>
      <c r="M16" s="55">
        <f>[3]Jan!$AD16</f>
        <v>191</v>
      </c>
      <c r="N16" s="110">
        <v>5</v>
      </c>
      <c r="O16" s="110"/>
      <c r="P16" s="111">
        <f>(J16-K16)/J16*100</f>
        <v>0.13552841210833885</v>
      </c>
      <c r="Q16" s="110">
        <f>(G16)/(E16/60)</f>
        <v>115.47826086956522</v>
      </c>
      <c r="R16" s="110">
        <f t="shared" ref="R16:R43" si="13">(G16)/(F16/60)</f>
        <v>424.96</v>
      </c>
      <c r="S16" s="175"/>
      <c r="T16" s="175"/>
      <c r="U16" s="113"/>
    </row>
    <row r="17" spans="2:80">
      <c r="B17" s="60">
        <v>46034</v>
      </c>
      <c r="C17" s="49">
        <v>6</v>
      </c>
      <c r="D17" s="30" t="s">
        <v>48</v>
      </c>
      <c r="E17" s="403"/>
      <c r="F17" s="39">
        <f>[3]Jan!$N78</f>
        <v>369</v>
      </c>
      <c r="G17" s="108">
        <v>2263</v>
      </c>
      <c r="H17" s="109">
        <f t="shared" si="12"/>
        <v>51.948350071736002</v>
      </c>
      <c r="I17" s="55">
        <v>1517</v>
      </c>
      <c r="J17" s="173">
        <f>SUM(51,102)</f>
        <v>153</v>
      </c>
      <c r="K17" s="109">
        <f t="shared" si="1"/>
        <v>149.358</v>
      </c>
      <c r="L17" s="109">
        <f>J17-K17</f>
        <v>3.6419999999999959</v>
      </c>
      <c r="M17" s="55">
        <f>[3]Jan!$AD17</f>
        <v>273</v>
      </c>
      <c r="N17" s="110">
        <f>7+7</f>
        <v>14</v>
      </c>
      <c r="O17" s="110"/>
      <c r="P17" s="111">
        <f>(J17-K17)/J17*100</f>
        <v>2.3803921568627424</v>
      </c>
      <c r="Q17" s="110">
        <f>(G17)/(E16/60)</f>
        <v>98.391304347826093</v>
      </c>
      <c r="R17" s="110">
        <f t="shared" si="13"/>
        <v>367.96747967479672</v>
      </c>
      <c r="S17" s="175"/>
      <c r="T17" s="175"/>
      <c r="U17" s="113"/>
    </row>
    <row r="18" spans="2:80">
      <c r="B18" s="60">
        <v>46034</v>
      </c>
      <c r="C18" s="49">
        <v>6</v>
      </c>
      <c r="D18" s="30" t="s">
        <v>27</v>
      </c>
      <c r="E18" s="404"/>
      <c r="F18" s="39">
        <f>[3]Jan!$N79</f>
        <v>78</v>
      </c>
      <c r="G18" s="108">
        <v>750</v>
      </c>
      <c r="H18" s="109">
        <f t="shared" si="12"/>
        <v>81.447963800904972</v>
      </c>
      <c r="I18" s="110"/>
      <c r="J18" s="173">
        <f>SUM(94,101.5)-74.5-69</f>
        <v>52</v>
      </c>
      <c r="K18" s="109">
        <f t="shared" si="1"/>
        <v>49.5</v>
      </c>
      <c r="L18" s="109">
        <f t="shared" ref="L18:L43" si="14">J18-K18</f>
        <v>2.5</v>
      </c>
      <c r="M18" s="55">
        <f>[3]Jan!$AD18</f>
        <v>114</v>
      </c>
      <c r="N18" s="110">
        <v>2</v>
      </c>
      <c r="O18" s="110"/>
      <c r="P18" s="111">
        <f>(J18-K18)/J18*100</f>
        <v>4.8076923076923084</v>
      </c>
      <c r="Q18" s="110">
        <f>(G18)/(E16/60)</f>
        <v>32.608695652173914</v>
      </c>
      <c r="R18" s="110">
        <f t="shared" si="13"/>
        <v>576.92307692307691</v>
      </c>
      <c r="S18" s="422">
        <f>((J19+J18)-(K19+K18))/(J19+J18)*100</f>
        <v>2.1446625436945261</v>
      </c>
      <c r="T18" s="422"/>
      <c r="U18" s="113"/>
    </row>
    <row r="19" spans="2:80">
      <c r="B19" s="60">
        <v>46035</v>
      </c>
      <c r="C19" s="49">
        <v>7</v>
      </c>
      <c r="D19" s="30" t="s">
        <v>27</v>
      </c>
      <c r="E19" s="402">
        <v>1440</v>
      </c>
      <c r="F19" s="39">
        <f>[3]Jan!$N80</f>
        <v>861</v>
      </c>
      <c r="G19" s="108">
        <v>4764</v>
      </c>
      <c r="H19" s="109">
        <f t="shared" si="12"/>
        <v>46.8686206189793</v>
      </c>
      <c r="I19" s="110"/>
      <c r="J19" s="173">
        <f>SUM(74.5,69,84.3,92.1)</f>
        <v>319.89999999999998</v>
      </c>
      <c r="K19" s="109">
        <f t="shared" si="1"/>
        <v>314.42400000000004</v>
      </c>
      <c r="L19" s="109">
        <f t="shared" si="14"/>
        <v>5.4759999999999422</v>
      </c>
      <c r="M19" s="55">
        <f>[3]Jan!$AD19</f>
        <v>273</v>
      </c>
      <c r="N19" s="110">
        <v>11</v>
      </c>
      <c r="O19" s="110"/>
      <c r="P19" s="111">
        <f t="shared" ref="P19:P45" si="15">(J19-K19)/J19*100</f>
        <v>1.7117849327914794</v>
      </c>
      <c r="Q19" s="110">
        <f>(G19)/(E19/60)</f>
        <v>198.5</v>
      </c>
      <c r="R19" s="110">
        <f>(G19)/(F19/60)</f>
        <v>331.98606271777004</v>
      </c>
      <c r="S19" s="422"/>
      <c r="T19" s="422"/>
      <c r="U19" s="113"/>
      <c r="CB19" s="118"/>
    </row>
    <row r="20" spans="2:80">
      <c r="B20" s="143">
        <v>46035</v>
      </c>
      <c r="C20" s="115">
        <v>7</v>
      </c>
      <c r="D20" s="30" t="s">
        <v>45</v>
      </c>
      <c r="E20" s="404"/>
      <c r="F20" s="39">
        <f>[3]Jan!$N81</f>
        <v>496</v>
      </c>
      <c r="G20" s="108">
        <v>2780</v>
      </c>
      <c r="H20" s="109">
        <f t="shared" si="12"/>
        <v>47.476280834914611</v>
      </c>
      <c r="I20" s="110"/>
      <c r="J20" s="173">
        <f>SUM(95,95)-1</f>
        <v>189</v>
      </c>
      <c r="K20" s="109">
        <f t="shared" si="1"/>
        <v>183.48000000000002</v>
      </c>
      <c r="L20" s="109">
        <f t="shared" si="14"/>
        <v>5.5199999999999818</v>
      </c>
      <c r="M20" s="55">
        <f>[3]Jan!$AD20</f>
        <v>181</v>
      </c>
      <c r="N20" s="110">
        <v>7</v>
      </c>
      <c r="O20" s="110"/>
      <c r="P20" s="111">
        <f t="shared" si="15"/>
        <v>2.9206349206349111</v>
      </c>
      <c r="Q20" s="110">
        <f>(G20)/(E19/60)</f>
        <v>115.83333333333333</v>
      </c>
      <c r="R20" s="110">
        <f>(G20)/(F20/60)</f>
        <v>336.29032258064512</v>
      </c>
      <c r="S20" s="423">
        <f>((J21+J20)-(K21+K20))/(J21+J20)*100</f>
        <v>2.5274056029232503</v>
      </c>
      <c r="T20" s="423"/>
      <c r="U20" s="113"/>
    </row>
    <row r="21" spans="2:80">
      <c r="B21" s="143">
        <v>46036</v>
      </c>
      <c r="C21" s="115">
        <v>8</v>
      </c>
      <c r="D21" s="30" t="s">
        <v>45</v>
      </c>
      <c r="E21" s="402">
        <v>1428</v>
      </c>
      <c r="F21" s="39">
        <f>[3]Jan!$N82</f>
        <v>278</v>
      </c>
      <c r="G21" s="108">
        <v>2070</v>
      </c>
      <c r="H21" s="109">
        <f t="shared" si="12"/>
        <v>63.072365636902241</v>
      </c>
      <c r="I21" s="183"/>
      <c r="J21" s="173">
        <f>SUM(1,55.4,83)</f>
        <v>139.4</v>
      </c>
      <c r="K21" s="109">
        <f t="shared" si="1"/>
        <v>136.62</v>
      </c>
      <c r="L21" s="109">
        <f t="shared" si="14"/>
        <v>2.7800000000000011</v>
      </c>
      <c r="M21" s="55">
        <f>[3]Jan!$AD21</f>
        <v>55</v>
      </c>
      <c r="N21" s="110">
        <v>10</v>
      </c>
      <c r="O21" s="110"/>
      <c r="P21" s="111">
        <f t="shared" si="15"/>
        <v>1.9942611190817798</v>
      </c>
      <c r="Q21" s="110">
        <f>(G21)/(E19/60)</f>
        <v>86.25</v>
      </c>
      <c r="R21" s="110">
        <f t="shared" si="13"/>
        <v>446.76258992805754</v>
      </c>
      <c r="S21" s="423"/>
      <c r="T21" s="423"/>
      <c r="U21" s="113"/>
    </row>
    <row r="22" spans="2:80">
      <c r="B22" s="143">
        <v>46036</v>
      </c>
      <c r="C22" s="115">
        <v>8</v>
      </c>
      <c r="D22" s="30" t="s">
        <v>27</v>
      </c>
      <c r="E22" s="404"/>
      <c r="F22" s="39">
        <f>[3]Jan!$N83</f>
        <v>949</v>
      </c>
      <c r="G22" s="108">
        <v>5326</v>
      </c>
      <c r="H22" s="109">
        <f t="shared" si="12"/>
        <v>47.538833446972042</v>
      </c>
      <c r="I22" s="110"/>
      <c r="J22" s="173">
        <f>SUM(80.8,75,50.8,72,79.8)</f>
        <v>358.40000000000003</v>
      </c>
      <c r="K22" s="109">
        <f>(G22)*0.066+(10*0.19)</f>
        <v>353.416</v>
      </c>
      <c r="L22" s="109">
        <f>J22-K22</f>
        <v>4.9840000000000373</v>
      </c>
      <c r="M22" s="55">
        <f>[3]Jan!$AD22</f>
        <v>381</v>
      </c>
      <c r="N22" s="110">
        <f>1+10+8+1</f>
        <v>20</v>
      </c>
      <c r="O22" s="110">
        <v>10</v>
      </c>
      <c r="P22" s="111">
        <f t="shared" si="15"/>
        <v>1.3906250000000102</v>
      </c>
      <c r="Q22" s="110">
        <f>(G22)/(E21/60)</f>
        <v>223.781512605042</v>
      </c>
      <c r="R22" s="110">
        <f t="shared" si="13"/>
        <v>336.73340358271867</v>
      </c>
      <c r="S22" s="175"/>
      <c r="T22" s="175"/>
      <c r="U22" s="113"/>
    </row>
    <row r="23" spans="2:80">
      <c r="B23" s="143">
        <v>46037</v>
      </c>
      <c r="C23" s="115">
        <v>9</v>
      </c>
      <c r="D23" s="30" t="s">
        <v>49</v>
      </c>
      <c r="E23" s="402">
        <v>1408</v>
      </c>
      <c r="F23" s="39">
        <f>[3]Jan!$N84</f>
        <v>965</v>
      </c>
      <c r="G23" s="108">
        <v>5765</v>
      </c>
      <c r="H23" s="109">
        <f t="shared" si="12"/>
        <v>50.604084120694914</v>
      </c>
      <c r="I23" s="110"/>
      <c r="J23" s="173">
        <f>SUM(95.2,93,98,100)</f>
        <v>386.2</v>
      </c>
      <c r="K23" s="109">
        <f t="shared" si="1"/>
        <v>380.49</v>
      </c>
      <c r="L23" s="109">
        <f t="shared" si="14"/>
        <v>5.7099999999999795</v>
      </c>
      <c r="M23" s="55">
        <f>[3]Jan!$AD23</f>
        <v>268</v>
      </c>
      <c r="N23" s="110">
        <f>6+10+4</f>
        <v>20</v>
      </c>
      <c r="O23" s="110"/>
      <c r="P23" s="111">
        <f t="shared" si="15"/>
        <v>1.4785085447954376</v>
      </c>
      <c r="Q23" s="110">
        <f>(G23)/(E23/60)</f>
        <v>245.66761363636365</v>
      </c>
      <c r="R23" s="110">
        <f t="shared" si="13"/>
        <v>358.44559585492232</v>
      </c>
      <c r="S23" s="175"/>
      <c r="T23" s="175"/>
      <c r="U23" s="113"/>
    </row>
    <row r="24" spans="2:80">
      <c r="B24" s="143">
        <v>46037</v>
      </c>
      <c r="C24" s="115">
        <v>9</v>
      </c>
      <c r="D24" s="30" t="s">
        <v>71</v>
      </c>
      <c r="E24" s="404"/>
      <c r="F24" s="39">
        <f>[3]Jan!$N85</f>
        <v>252</v>
      </c>
      <c r="G24" s="108">
        <v>1323</v>
      </c>
      <c r="H24" s="109">
        <f t="shared" si="12"/>
        <v>44.470588235294116</v>
      </c>
      <c r="I24" s="110"/>
      <c r="J24" s="173">
        <v>90.6</v>
      </c>
      <c r="K24" s="109">
        <f t="shared" si="1"/>
        <v>87.317999999999998</v>
      </c>
      <c r="L24" s="109">
        <f t="shared" si="14"/>
        <v>3.2819999999999965</v>
      </c>
      <c r="M24" s="55">
        <f>[3]Jan!$AD24</f>
        <v>168</v>
      </c>
      <c r="N24" s="110">
        <v>10</v>
      </c>
      <c r="O24" s="110"/>
      <c r="P24" s="111">
        <f t="shared" si="15"/>
        <v>3.6225165562913872</v>
      </c>
      <c r="Q24" s="110">
        <f>(G24)/(E23/60)</f>
        <v>56.377840909090914</v>
      </c>
      <c r="R24" s="110">
        <f>(G24)/(F24/60)</f>
        <v>315</v>
      </c>
      <c r="S24" s="175"/>
      <c r="T24" s="175"/>
      <c r="U24" s="113"/>
    </row>
    <row r="25" spans="2:80">
      <c r="B25" s="143">
        <v>46038</v>
      </c>
      <c r="C25" s="115">
        <v>10</v>
      </c>
      <c r="D25" s="30" t="s">
        <v>72</v>
      </c>
      <c r="E25" s="402">
        <v>1230</v>
      </c>
      <c r="F25" s="39">
        <f>[3]Jan!$N86</f>
        <v>311</v>
      </c>
      <c r="G25" s="108">
        <v>1792</v>
      </c>
      <c r="H25" s="109">
        <f t="shared" si="12"/>
        <v>48.808019670890857</v>
      </c>
      <c r="I25" s="110"/>
      <c r="J25" s="54">
        <f>K25*1.02</f>
        <v>120.63744000000001</v>
      </c>
      <c r="K25" s="109">
        <f t="shared" si="1"/>
        <v>118.27200000000001</v>
      </c>
      <c r="L25" s="109">
        <f t="shared" si="14"/>
        <v>2.3654400000000066</v>
      </c>
      <c r="M25" s="55">
        <f>[3]Jan!$AD25</f>
        <v>188</v>
      </c>
      <c r="N25" s="110">
        <v>7</v>
      </c>
      <c r="O25" s="110"/>
      <c r="P25" s="111">
        <f t="shared" si="15"/>
        <v>1.9607843137254954</v>
      </c>
      <c r="Q25" s="110">
        <f>(G25)/(E25/60)</f>
        <v>87.41463414634147</v>
      </c>
      <c r="R25" s="110">
        <f>(G25)/(F25/60)</f>
        <v>345.72347266881025</v>
      </c>
      <c r="S25" s="175"/>
      <c r="T25" s="175"/>
      <c r="U25" s="113"/>
    </row>
    <row r="26" spans="2:80">
      <c r="B26" s="143">
        <v>46038</v>
      </c>
      <c r="C26" s="115">
        <v>11</v>
      </c>
      <c r="D26" s="30" t="s">
        <v>45</v>
      </c>
      <c r="E26" s="404"/>
      <c r="F26" s="39">
        <f>[3]Jan!$N87</f>
        <v>731</v>
      </c>
      <c r="G26" s="108">
        <v>4642</v>
      </c>
      <c r="H26" s="109">
        <f>(G26)*24/(F26/60)/17000*100</f>
        <v>53.789973444918317</v>
      </c>
      <c r="I26" s="182"/>
      <c r="J26" s="173">
        <f>SUM(88,80,82.3,101.7)-39.6</f>
        <v>312.39999999999998</v>
      </c>
      <c r="K26" s="109">
        <f t="shared" si="1"/>
        <v>306.37200000000001</v>
      </c>
      <c r="L26" s="109">
        <f t="shared" si="14"/>
        <v>6.0279999999999632</v>
      </c>
      <c r="M26" s="55">
        <f>[3]Jan!$AD26</f>
        <v>242</v>
      </c>
      <c r="N26" s="110">
        <f>8+2</f>
        <v>10</v>
      </c>
      <c r="O26" s="110"/>
      <c r="P26" s="111">
        <f t="shared" si="15"/>
        <v>1.9295774647887207</v>
      </c>
      <c r="Q26" s="110">
        <f>(G26)/(E23/60)</f>
        <v>197.8125</v>
      </c>
      <c r="R26" s="110">
        <f t="shared" si="13"/>
        <v>381.0123119015048</v>
      </c>
      <c r="S26" s="407">
        <f>((J27+J26)-(K27+K26))/(J27+J26)*100</f>
        <v>1.7898115840893327</v>
      </c>
      <c r="T26" s="407"/>
      <c r="U26" s="118"/>
    </row>
    <row r="27" spans="2:80" ht="19.350000000000001" customHeight="1">
      <c r="B27" s="143">
        <v>46041</v>
      </c>
      <c r="C27" s="115">
        <v>12</v>
      </c>
      <c r="D27" s="30" t="s">
        <v>45</v>
      </c>
      <c r="E27" s="402">
        <v>1380</v>
      </c>
      <c r="F27" s="39">
        <f>[3]Jan!$N88</f>
        <v>736</v>
      </c>
      <c r="G27" s="285">
        <v>5919</v>
      </c>
      <c r="H27" s="109">
        <f t="shared" si="12"/>
        <v>68.121483375959073</v>
      </c>
      <c r="I27" s="182"/>
      <c r="J27" s="173">
        <f>SUM(100,77,93.5,39.6,94)</f>
        <v>404.1</v>
      </c>
      <c r="K27" s="109">
        <f>(G27)*0.066+(35*0.19)</f>
        <v>397.30399999999997</v>
      </c>
      <c r="L27" s="109">
        <f t="shared" si="14"/>
        <v>6.7960000000000491</v>
      </c>
      <c r="M27" s="55">
        <f>[3]Jan!$AD27</f>
        <v>279</v>
      </c>
      <c r="N27" s="110">
        <f>6+2+4</f>
        <v>12</v>
      </c>
      <c r="O27" s="110">
        <v>35</v>
      </c>
      <c r="P27" s="111">
        <f t="shared" si="15"/>
        <v>1.6817619401138451</v>
      </c>
      <c r="Q27" s="110">
        <f>(G27)/(E27/60)</f>
        <v>257.3478260869565</v>
      </c>
      <c r="R27" s="110">
        <f t="shared" si="13"/>
        <v>482.52717391304344</v>
      </c>
      <c r="S27" s="407"/>
      <c r="T27" s="407"/>
      <c r="U27" s="168"/>
    </row>
    <row r="28" spans="2:80" ht="18" customHeight="1">
      <c r="B28" s="143">
        <v>46041</v>
      </c>
      <c r="C28" s="115">
        <v>12</v>
      </c>
      <c r="D28" s="30" t="s">
        <v>27</v>
      </c>
      <c r="E28" s="404"/>
      <c r="F28" s="39">
        <f>[3]Jan!$N89</f>
        <v>295</v>
      </c>
      <c r="G28" s="108">
        <v>2049</v>
      </c>
      <c r="H28" s="109">
        <f t="shared" si="12"/>
        <v>58.834695912263214</v>
      </c>
      <c r="I28" s="110"/>
      <c r="J28" s="173">
        <f>SUM(99.8,100.8)-63.3</f>
        <v>137.30000000000001</v>
      </c>
      <c r="K28" s="109">
        <f t="shared" si="1"/>
        <v>135.23400000000001</v>
      </c>
      <c r="L28" s="109">
        <f t="shared" si="14"/>
        <v>2.0660000000000025</v>
      </c>
      <c r="M28" s="55">
        <f>[3]Jan!$AD28</f>
        <v>86</v>
      </c>
      <c r="N28" s="110"/>
      <c r="O28" s="110"/>
      <c r="P28" s="111">
        <f t="shared" si="15"/>
        <v>1.5047341587764038</v>
      </c>
      <c r="Q28" s="110">
        <f>(G28)/(E27/60)</f>
        <v>89.086956521739125</v>
      </c>
      <c r="R28" s="110">
        <f t="shared" si="13"/>
        <v>416.74576271186436</v>
      </c>
      <c r="S28" s="427">
        <f>((J29+J28)-(K29+K28))/(J29+J28)*100</f>
        <v>1.2920353982300843</v>
      </c>
      <c r="T28" s="427"/>
      <c r="U28" s="168"/>
    </row>
    <row r="29" spans="2:80" ht="16.5" customHeight="1">
      <c r="B29" s="143">
        <v>46042</v>
      </c>
      <c r="C29" s="115">
        <v>13</v>
      </c>
      <c r="D29" s="30" t="s">
        <v>27</v>
      </c>
      <c r="E29" s="402">
        <v>1435</v>
      </c>
      <c r="F29" s="39">
        <f>[3]Jan!$N90</f>
        <v>588</v>
      </c>
      <c r="G29" s="285">
        <v>3528</v>
      </c>
      <c r="H29" s="109">
        <f t="shared" si="12"/>
        <v>50.823529411764703</v>
      </c>
      <c r="I29" s="110"/>
      <c r="J29" s="173">
        <f>SUM(                    73.3,63.3,99)</f>
        <v>235.6</v>
      </c>
      <c r="K29" s="109">
        <f t="shared" si="1"/>
        <v>232.84800000000001</v>
      </c>
      <c r="L29" s="109">
        <f t="shared" si="14"/>
        <v>2.7519999999999811</v>
      </c>
      <c r="M29" s="55">
        <f>[3]Jan!$AD29</f>
        <v>147</v>
      </c>
      <c r="N29" s="110">
        <f>6+4</f>
        <v>10</v>
      </c>
      <c r="O29" s="110"/>
      <c r="P29" s="111">
        <f t="shared" si="15"/>
        <v>1.1680814940577169</v>
      </c>
      <c r="Q29" s="110">
        <f>(G29)/(E29/60)</f>
        <v>147.51219512195121</v>
      </c>
      <c r="R29" s="110">
        <f t="shared" si="13"/>
        <v>360</v>
      </c>
      <c r="S29" s="427"/>
      <c r="T29" s="427"/>
      <c r="U29" s="113"/>
    </row>
    <row r="30" spans="2:80">
      <c r="B30" s="143">
        <v>46042</v>
      </c>
      <c r="C30" s="115">
        <v>13</v>
      </c>
      <c r="D30" s="30" t="s">
        <v>73</v>
      </c>
      <c r="E30" s="404"/>
      <c r="F30" s="39">
        <f>[3]Jan!$N91</f>
        <v>572</v>
      </c>
      <c r="G30" s="108">
        <v>3008</v>
      </c>
      <c r="H30" s="109">
        <f t="shared" si="12"/>
        <v>44.544631838749488</v>
      </c>
      <c r="I30" s="110">
        <v>3</v>
      </c>
      <c r="J30" s="173">
        <f>SUM(99.3,103)</f>
        <v>202.3</v>
      </c>
      <c r="K30" s="109">
        <f>(G30)*0.066</f>
        <v>198.52800000000002</v>
      </c>
      <c r="L30" s="109">
        <f t="shared" si="14"/>
        <v>3.7719999999999914</v>
      </c>
      <c r="M30" s="55">
        <f>[3]Jan!$AD30</f>
        <v>184</v>
      </c>
      <c r="N30" s="110">
        <f>4+7</f>
        <v>11</v>
      </c>
      <c r="O30" s="110"/>
      <c r="P30" s="111">
        <f t="shared" si="15"/>
        <v>1.8645575877409744</v>
      </c>
      <c r="Q30" s="110">
        <f>(G30)/(E29/60)</f>
        <v>125.77003484320556</v>
      </c>
      <c r="R30" s="110">
        <f t="shared" si="13"/>
        <v>315.52447552447552</v>
      </c>
      <c r="S30" s="175"/>
      <c r="T30" s="175"/>
      <c r="U30" s="113"/>
    </row>
    <row r="31" spans="2:80">
      <c r="B31" s="143">
        <v>46043</v>
      </c>
      <c r="C31" s="115">
        <v>14</v>
      </c>
      <c r="D31" s="30" t="s">
        <v>74</v>
      </c>
      <c r="E31" s="402">
        <v>1440</v>
      </c>
      <c r="F31" s="39">
        <f>[3]Jan!$N92</f>
        <v>62</v>
      </c>
      <c r="G31" s="108">
        <v>417</v>
      </c>
      <c r="H31" s="109">
        <f t="shared" si="12"/>
        <v>56.971537001897531</v>
      </c>
      <c r="I31" s="110"/>
      <c r="J31" s="54">
        <f>K31</f>
        <v>27.522000000000002</v>
      </c>
      <c r="K31" s="109">
        <f>(G31)*0.066</f>
        <v>27.522000000000002</v>
      </c>
      <c r="L31" s="109">
        <f t="shared" si="14"/>
        <v>0</v>
      </c>
      <c r="M31" s="55">
        <f>[3]Jan!$AD31</f>
        <v>199</v>
      </c>
      <c r="N31" s="110">
        <v>6</v>
      </c>
      <c r="O31" s="110"/>
      <c r="P31" s="265">
        <f>(J31-K31)/J31*100</f>
        <v>0</v>
      </c>
      <c r="Q31" s="110">
        <f>(G31)/(E31/60)</f>
        <v>17.375</v>
      </c>
      <c r="R31" s="110">
        <f t="shared" si="13"/>
        <v>403.54838709677415</v>
      </c>
      <c r="S31" s="175"/>
      <c r="T31" s="175"/>
      <c r="U31" s="113"/>
    </row>
    <row r="32" spans="2:80">
      <c r="B32" s="143">
        <v>46043</v>
      </c>
      <c r="C32" s="115">
        <v>14</v>
      </c>
      <c r="D32" s="30" t="s">
        <v>78</v>
      </c>
      <c r="E32" s="403"/>
      <c r="F32" s="39">
        <f>[3]Jan!$N93</f>
        <v>665</v>
      </c>
      <c r="G32" s="108">
        <v>1335</v>
      </c>
      <c r="H32" s="109">
        <f t="shared" si="12"/>
        <v>17.004865103936311</v>
      </c>
      <c r="I32" s="110"/>
      <c r="J32" s="184">
        <f>(1400)*0.066</f>
        <v>92.4</v>
      </c>
      <c r="K32" s="109">
        <f>(G32)*0.066</f>
        <v>88.11</v>
      </c>
      <c r="L32" s="109">
        <f t="shared" si="14"/>
        <v>4.2900000000000063</v>
      </c>
      <c r="M32" s="55">
        <f>[3]Jan!$AD32</f>
        <v>293</v>
      </c>
      <c r="N32" s="110">
        <v>14</v>
      </c>
      <c r="O32" s="110"/>
      <c r="P32" s="111">
        <f>(J32-K32)/J32*100</f>
        <v>4.6428571428571495</v>
      </c>
      <c r="Q32" s="110">
        <f>(G32)/(E31/60)</f>
        <v>55.625</v>
      </c>
      <c r="R32" s="110">
        <f t="shared" si="13"/>
        <v>120.45112781954887</v>
      </c>
      <c r="S32" s="175"/>
      <c r="T32" s="175"/>
      <c r="U32" s="113"/>
    </row>
    <row r="33" spans="2:21">
      <c r="B33" s="143">
        <v>46043</v>
      </c>
      <c r="C33" s="115">
        <v>14</v>
      </c>
      <c r="D33" s="30" t="s">
        <v>75</v>
      </c>
      <c r="E33" s="403"/>
      <c r="F33" s="39">
        <f>[3]Jan!$N94</f>
        <v>311</v>
      </c>
      <c r="G33" s="108">
        <v>1328</v>
      </c>
      <c r="H33" s="109">
        <f t="shared" si="12"/>
        <v>36.170228863249484</v>
      </c>
      <c r="I33" s="110"/>
      <c r="J33" s="184">
        <f>(1400)*0.066</f>
        <v>92.4</v>
      </c>
      <c r="K33" s="109">
        <f t="shared" si="1"/>
        <v>87.64800000000001</v>
      </c>
      <c r="L33" s="109">
        <f t="shared" si="14"/>
        <v>4.7519999999999953</v>
      </c>
      <c r="M33" s="55">
        <f>[3]Jan!$AD33</f>
        <v>224</v>
      </c>
      <c r="N33" s="110">
        <v>10</v>
      </c>
      <c r="O33" s="110"/>
      <c r="P33" s="111">
        <f t="shared" si="15"/>
        <v>5.142857142857137</v>
      </c>
      <c r="Q33" s="110">
        <f>(G33)/(E31/60)</f>
        <v>55.333333333333336</v>
      </c>
      <c r="R33" s="110">
        <f t="shared" si="13"/>
        <v>256.20578778135047</v>
      </c>
      <c r="S33" s="175"/>
      <c r="T33" s="175"/>
      <c r="U33" s="113"/>
    </row>
    <row r="34" spans="2:21">
      <c r="B34" s="143">
        <v>46043</v>
      </c>
      <c r="C34" s="115">
        <v>14</v>
      </c>
      <c r="D34" s="30" t="s">
        <v>76</v>
      </c>
      <c r="E34" s="404"/>
      <c r="F34" s="39">
        <f>[3]Jan!$N95</f>
        <v>175</v>
      </c>
      <c r="G34" s="108">
        <v>455</v>
      </c>
      <c r="H34" s="109">
        <f t="shared" si="12"/>
        <v>22.023529411764706</v>
      </c>
      <c r="I34" s="110"/>
      <c r="J34" s="184">
        <f>(500)*0.066</f>
        <v>33</v>
      </c>
      <c r="K34" s="109">
        <f t="shared" si="1"/>
        <v>30.03</v>
      </c>
      <c r="L34" s="109">
        <f t="shared" si="14"/>
        <v>2.9699999999999989</v>
      </c>
      <c r="M34" s="55">
        <f>[3]Jan!$AD34</f>
        <v>147</v>
      </c>
      <c r="N34" s="110">
        <v>16</v>
      </c>
      <c r="O34" s="110"/>
      <c r="P34" s="111">
        <f>(J34-K34)/J34*100</f>
        <v>8.9999999999999964</v>
      </c>
      <c r="Q34" s="110">
        <f>(G34)/(E31/60)</f>
        <v>18.958333333333332</v>
      </c>
      <c r="R34" s="110">
        <f t="shared" si="13"/>
        <v>156</v>
      </c>
      <c r="S34" s="175"/>
      <c r="T34" s="175"/>
      <c r="U34" s="113"/>
    </row>
    <row r="35" spans="2:21" s="280" customFormat="1">
      <c r="B35" s="266">
        <v>46044</v>
      </c>
      <c r="C35" s="267">
        <v>15</v>
      </c>
      <c r="D35" s="268" t="s">
        <v>79</v>
      </c>
      <c r="E35" s="269"/>
      <c r="F35" s="270"/>
      <c r="G35" s="271"/>
      <c r="H35" s="272" t="e">
        <f t="shared" si="12"/>
        <v>#DIV/0!</v>
      </c>
      <c r="I35" s="273"/>
      <c r="J35" s="274"/>
      <c r="K35" s="272">
        <f t="shared" si="1"/>
        <v>0</v>
      </c>
      <c r="L35" s="272">
        <f t="shared" si="14"/>
        <v>0</v>
      </c>
      <c r="M35" s="275">
        <f>[3]Jan!$AD35</f>
        <v>1440</v>
      </c>
      <c r="N35" s="273"/>
      <c r="O35" s="273"/>
      <c r="P35" s="276" t="e">
        <f t="shared" si="15"/>
        <v>#DIV/0!</v>
      </c>
      <c r="Q35" s="273" t="e">
        <f>(G35)/(E35/60)</f>
        <v>#DIV/0!</v>
      </c>
      <c r="R35" s="273" t="e">
        <f t="shared" si="13"/>
        <v>#DIV/0!</v>
      </c>
      <c r="S35" s="277"/>
      <c r="T35" s="175"/>
      <c r="U35" s="279"/>
    </row>
    <row r="36" spans="2:21">
      <c r="B36" s="143">
        <v>46045</v>
      </c>
      <c r="C36" s="115">
        <v>16</v>
      </c>
      <c r="D36" s="116" t="s">
        <v>77</v>
      </c>
      <c r="E36" s="402">
        <v>1221</v>
      </c>
      <c r="F36" s="39">
        <f>[3]Jan!$N97</f>
        <v>6</v>
      </c>
      <c r="G36" s="108">
        <v>13</v>
      </c>
      <c r="H36" s="109">
        <f t="shared" si="12"/>
        <v>18.352941176470587</v>
      </c>
      <c r="I36" s="110"/>
      <c r="J36" s="281">
        <f>200*0.066</f>
        <v>13.200000000000001</v>
      </c>
      <c r="K36" s="109">
        <f t="shared" si="1"/>
        <v>0.8580000000000001</v>
      </c>
      <c r="L36" s="109">
        <f t="shared" si="14"/>
        <v>12.342000000000001</v>
      </c>
      <c r="M36" s="55">
        <f>[3]Jan!$AD36</f>
        <v>398</v>
      </c>
      <c r="N36" s="110">
        <v>12</v>
      </c>
      <c r="O36" s="110"/>
      <c r="P36" s="111">
        <f t="shared" si="15"/>
        <v>93.5</v>
      </c>
      <c r="Q36" s="110">
        <f>(G36)/(E36/60)</f>
        <v>0.63882063882063878</v>
      </c>
      <c r="R36" s="110">
        <f t="shared" si="13"/>
        <v>130</v>
      </c>
      <c r="S36" s="175"/>
      <c r="T36" s="175"/>
      <c r="U36" s="113"/>
    </row>
    <row r="37" spans="2:21" ht="20.100000000000001" customHeight="1">
      <c r="B37" s="143">
        <v>46045</v>
      </c>
      <c r="C37" s="115">
        <v>16</v>
      </c>
      <c r="D37" s="116" t="s">
        <v>82</v>
      </c>
      <c r="E37" s="403"/>
      <c r="F37" s="39">
        <f>[3]Jan!$N98</f>
        <v>303</v>
      </c>
      <c r="G37" s="108">
        <v>1389</v>
      </c>
      <c r="H37" s="109">
        <f t="shared" si="12"/>
        <v>38.830518345952242</v>
      </c>
      <c r="I37" s="110"/>
      <c r="J37" s="281">
        <f>1400*0.066</f>
        <v>92.4</v>
      </c>
      <c r="K37" s="109">
        <f t="shared" si="1"/>
        <v>91.674000000000007</v>
      </c>
      <c r="L37" s="109">
        <f t="shared" si="14"/>
        <v>0.72599999999999909</v>
      </c>
      <c r="M37" s="55">
        <f>[3]Jan!$AD37</f>
        <v>234</v>
      </c>
      <c r="N37" s="110">
        <f>1</f>
        <v>1</v>
      </c>
      <c r="O37" s="110"/>
      <c r="P37" s="111">
        <f t="shared" si="15"/>
        <v>0.7857142857142847</v>
      </c>
      <c r="Q37" s="110">
        <f>(G37)/(E36/60)</f>
        <v>68.255528255528247</v>
      </c>
      <c r="R37" s="110">
        <f t="shared" si="13"/>
        <v>275.04950495049508</v>
      </c>
      <c r="S37" s="175"/>
      <c r="T37" s="175"/>
    </row>
    <row r="38" spans="2:21">
      <c r="B38" s="143">
        <v>46045</v>
      </c>
      <c r="C38" s="115">
        <v>16</v>
      </c>
      <c r="D38" s="116" t="s">
        <v>83</v>
      </c>
      <c r="E38" s="403"/>
      <c r="F38" s="39">
        <f>[3]Jan!$N99</f>
        <v>170</v>
      </c>
      <c r="G38" s="108">
        <v>798</v>
      </c>
      <c r="H38" s="109">
        <f t="shared" si="12"/>
        <v>39.761937716262977</v>
      </c>
      <c r="I38" s="110"/>
      <c r="J38" s="281">
        <f>800*0.066</f>
        <v>52.800000000000004</v>
      </c>
      <c r="K38" s="109">
        <f t="shared" si="1"/>
        <v>52.667999999999999</v>
      </c>
      <c r="L38" s="109">
        <f t="shared" si="14"/>
        <v>0.132000000000005</v>
      </c>
      <c r="M38" s="55">
        <f>[3]Jan!$AD38</f>
        <v>73</v>
      </c>
      <c r="N38" s="110">
        <v>6</v>
      </c>
      <c r="O38" s="110"/>
      <c r="P38" s="111">
        <f>(J38-K38)/J38*100</f>
        <v>0.25000000000000944</v>
      </c>
      <c r="Q38" s="110">
        <f>(G38)/(E36/60)</f>
        <v>39.213759213759211</v>
      </c>
      <c r="R38" s="110">
        <f t="shared" si="13"/>
        <v>281.64705882352939</v>
      </c>
      <c r="S38" s="175"/>
      <c r="T38" s="175"/>
    </row>
    <row r="39" spans="2:21">
      <c r="B39" s="143">
        <v>46045</v>
      </c>
      <c r="C39" s="115">
        <v>16</v>
      </c>
      <c r="D39" s="116" t="s">
        <v>84</v>
      </c>
      <c r="E39" s="404"/>
      <c r="F39" s="39">
        <f>[3]Jan!$N100</f>
        <v>94</v>
      </c>
      <c r="G39" s="285">
        <v>637</v>
      </c>
      <c r="H39" s="109">
        <f>(G39)*24/(F39/60)/17000*100</f>
        <v>57.401752190237801</v>
      </c>
      <c r="I39" s="110"/>
      <c r="J39" s="281">
        <f>700*0.066</f>
        <v>46.2</v>
      </c>
      <c r="K39" s="109">
        <f t="shared" si="1"/>
        <v>42.042000000000002</v>
      </c>
      <c r="L39" s="109">
        <f t="shared" si="14"/>
        <v>4.1580000000000013</v>
      </c>
      <c r="M39" s="55">
        <f>[3]Jan!$AD39</f>
        <v>29</v>
      </c>
      <c r="N39" s="110">
        <v>2</v>
      </c>
      <c r="O39" s="110"/>
      <c r="P39" s="111">
        <f t="shared" si="15"/>
        <v>9.0000000000000018</v>
      </c>
      <c r="Q39" s="110">
        <f>(G39)/(E36/60)</f>
        <v>31.302211302211301</v>
      </c>
      <c r="R39" s="110">
        <f t="shared" si="13"/>
        <v>406.59574468085106</v>
      </c>
      <c r="S39" s="175"/>
      <c r="T39" s="175"/>
    </row>
    <row r="40" spans="2:21">
      <c r="B40" s="143">
        <v>46048</v>
      </c>
      <c r="C40" s="115">
        <v>17</v>
      </c>
      <c r="D40" s="116" t="s">
        <v>84</v>
      </c>
      <c r="E40" s="402">
        <v>1380</v>
      </c>
      <c r="F40" s="39">
        <f>[3]Jan!$N101</f>
        <v>91</v>
      </c>
      <c r="G40" s="108">
        <v>586</v>
      </c>
      <c r="H40" s="109">
        <f t="shared" si="12"/>
        <v>54.546864899806081</v>
      </c>
      <c r="I40" s="110"/>
      <c r="J40" s="281">
        <f>700*0.066</f>
        <v>46.2</v>
      </c>
      <c r="K40" s="109">
        <f t="shared" si="1"/>
        <v>38.676000000000002</v>
      </c>
      <c r="L40" s="109">
        <f t="shared" si="14"/>
        <v>7.5240000000000009</v>
      </c>
      <c r="M40" s="55">
        <f>[3]Jan!$AD40</f>
        <v>49</v>
      </c>
      <c r="N40" s="110">
        <v>14</v>
      </c>
      <c r="O40" s="110"/>
      <c r="P40" s="111">
        <f>(J40-K40)/J40*100</f>
        <v>16.285714285714288</v>
      </c>
      <c r="Q40" s="110">
        <f>(G40)/(E36/60)</f>
        <v>28.796068796068795</v>
      </c>
      <c r="R40" s="110">
        <f t="shared" si="13"/>
        <v>386.37362637362639</v>
      </c>
      <c r="S40" s="175"/>
      <c r="T40" s="175"/>
    </row>
    <row r="41" spans="2:21">
      <c r="B41" s="143">
        <v>46048</v>
      </c>
      <c r="C41" s="115">
        <v>17</v>
      </c>
      <c r="D41" s="116" t="s">
        <v>45</v>
      </c>
      <c r="E41" s="404"/>
      <c r="F41" s="39">
        <f>[3]Jan!$N102</f>
        <v>1115</v>
      </c>
      <c r="G41" s="108">
        <v>1840</v>
      </c>
      <c r="H41" s="109">
        <f t="shared" si="12"/>
        <v>13.978369823265629</v>
      </c>
      <c r="I41" s="110"/>
      <c r="J41" s="173">
        <f>SUM(100,95)-65.8</f>
        <v>129.19999999999999</v>
      </c>
      <c r="K41" s="109">
        <f t="shared" si="1"/>
        <v>121.44000000000001</v>
      </c>
      <c r="L41" s="109">
        <f t="shared" si="14"/>
        <v>7.7599999999999767</v>
      </c>
      <c r="M41" s="55">
        <f>[3]Jan!$AD41</f>
        <v>955</v>
      </c>
      <c r="N41" s="110">
        <v>1</v>
      </c>
      <c r="O41" s="110"/>
      <c r="P41" s="111">
        <f t="shared" si="15"/>
        <v>6.0061919504643786</v>
      </c>
      <c r="Q41" s="110">
        <f t="shared" ref="Q41" si="16">(G41)/(E40/60)</f>
        <v>80</v>
      </c>
      <c r="R41" s="110">
        <f t="shared" si="13"/>
        <v>99.013452914798208</v>
      </c>
      <c r="S41" s="175"/>
      <c r="T41" s="175"/>
    </row>
    <row r="42" spans="2:21">
      <c r="B42" s="143">
        <v>46049</v>
      </c>
      <c r="C42" s="115">
        <v>18</v>
      </c>
      <c r="D42" s="116" t="s">
        <v>45</v>
      </c>
      <c r="E42" s="402">
        <v>1435</v>
      </c>
      <c r="F42" s="39">
        <f>[3]Jan!$N103</f>
        <v>967</v>
      </c>
      <c r="G42" s="108">
        <v>6773</v>
      </c>
      <c r="H42" s="109">
        <f t="shared" si="12"/>
        <v>59.329156274712567</v>
      </c>
      <c r="I42" s="110"/>
      <c r="J42" s="173">
        <f>SUM(65.8,94.8,100,89.3,100)</f>
        <v>449.90000000000003</v>
      </c>
      <c r="K42" s="109">
        <f t="shared" si="1"/>
        <v>447.01800000000003</v>
      </c>
      <c r="L42" s="109">
        <f t="shared" si="14"/>
        <v>2.882000000000005</v>
      </c>
      <c r="M42" s="55">
        <f>[3]Jan!$AD42</f>
        <v>189</v>
      </c>
      <c r="N42" s="110">
        <f>1+5</f>
        <v>6</v>
      </c>
      <c r="O42" s="110"/>
      <c r="P42" s="111">
        <f t="shared" si="15"/>
        <v>0.64058679706601573</v>
      </c>
      <c r="Q42" s="110">
        <f>(G42)/(E40/60)</f>
        <v>294.47826086956519</v>
      </c>
      <c r="R42" s="110">
        <f t="shared" si="13"/>
        <v>420.24819027921404</v>
      </c>
      <c r="S42" s="175"/>
      <c r="T42" s="175"/>
    </row>
    <row r="43" spans="2:21">
      <c r="B43" s="143">
        <v>46049</v>
      </c>
      <c r="C43" s="115">
        <v>18</v>
      </c>
      <c r="D43" s="116" t="s">
        <v>126</v>
      </c>
      <c r="E43" s="404"/>
      <c r="F43" s="39">
        <f>[3]Jan!$N104</f>
        <v>207</v>
      </c>
      <c r="G43" s="108">
        <v>933</v>
      </c>
      <c r="H43" s="109">
        <f t="shared" si="12"/>
        <v>38.179028132992329</v>
      </c>
      <c r="I43" s="110"/>
      <c r="J43" s="109">
        <f>SUM(95)-26.4</f>
        <v>68.599999999999994</v>
      </c>
      <c r="K43" s="109">
        <f t="shared" si="1"/>
        <v>61.578000000000003</v>
      </c>
      <c r="L43" s="109">
        <f t="shared" si="14"/>
        <v>7.0219999999999914</v>
      </c>
      <c r="M43" s="55">
        <f>[3]Jan!$AD43</f>
        <v>268</v>
      </c>
      <c r="N43" s="110">
        <v>4</v>
      </c>
      <c r="O43" s="110"/>
      <c r="P43" s="111">
        <f>(J43-K43)/J43*100</f>
        <v>10.236151603498531</v>
      </c>
      <c r="Q43" s="110">
        <f>(G43)/(E40/60)</f>
        <v>40.565217391304351</v>
      </c>
      <c r="R43" s="110">
        <f t="shared" si="13"/>
        <v>270.43478260869563</v>
      </c>
      <c r="S43" s="398">
        <f>((J44+J43)-(K44+K43))/(J44+J43)*100</f>
        <v>4.6861702127659592</v>
      </c>
      <c r="T43" s="428"/>
    </row>
    <row r="44" spans="2:21">
      <c r="B44" s="143">
        <v>46050</v>
      </c>
      <c r="C44" s="115">
        <v>19</v>
      </c>
      <c r="D44" s="116" t="s">
        <v>85</v>
      </c>
      <c r="E44" s="402">
        <v>1482</v>
      </c>
      <c r="F44" s="39">
        <f>[3]Jan!$N105</f>
        <v>400</v>
      </c>
      <c r="G44" s="285">
        <v>1782</v>
      </c>
      <c r="H44" s="109">
        <f t="shared" ref="H44:H56" si="17">(G44)*24/(F44/60)/17000*100</f>
        <v>37.736470588235292</v>
      </c>
      <c r="I44" s="110"/>
      <c r="J44" s="109">
        <f>SUM(93,26.4)</f>
        <v>119.4</v>
      </c>
      <c r="K44" s="109">
        <f t="shared" si="1"/>
        <v>117.61200000000001</v>
      </c>
      <c r="L44" s="109">
        <f t="shared" ref="L44:L48" si="18">J44-K44</f>
        <v>1.7879999999999967</v>
      </c>
      <c r="M44" s="55">
        <f>[3]Jan!$AD44</f>
        <v>121</v>
      </c>
      <c r="N44" s="110">
        <f>3+1</f>
        <v>4</v>
      </c>
      <c r="O44" s="110"/>
      <c r="P44" s="111">
        <f t="shared" si="15"/>
        <v>1.4974874371859268</v>
      </c>
      <c r="Q44" s="110">
        <f t="shared" si="5"/>
        <v>72.145748987854248</v>
      </c>
      <c r="R44" s="110">
        <f t="shared" ref="R44:R52" si="19">(G44)/(F44/60)</f>
        <v>267.3</v>
      </c>
      <c r="S44" s="398"/>
      <c r="T44" s="428"/>
    </row>
    <row r="45" spans="2:21">
      <c r="B45" s="143">
        <v>46050</v>
      </c>
      <c r="C45" s="115">
        <v>19</v>
      </c>
      <c r="D45" s="116" t="s">
        <v>87</v>
      </c>
      <c r="E45" s="403"/>
      <c r="F45" s="405">
        <f>[3]Jan!$N106</f>
        <v>530</v>
      </c>
      <c r="G45" s="108">
        <v>2284</v>
      </c>
      <c r="H45" s="399">
        <f>(G45+G46)*24/(F45/60)/17000*100</f>
        <v>46.092785793562705</v>
      </c>
      <c r="I45" s="110"/>
      <c r="J45" s="399">
        <f>SUM(97.2,99.9)</f>
        <v>197.10000000000002</v>
      </c>
      <c r="K45" s="399">
        <f>(G45+G46)*0.066</f>
        <v>190.34400000000002</v>
      </c>
      <c r="L45" s="399">
        <f t="shared" si="18"/>
        <v>6.7560000000000002</v>
      </c>
      <c r="M45" s="406">
        <f>[3]Jan!$AD45</f>
        <v>216</v>
      </c>
      <c r="N45" s="400">
        <f>2+1</f>
        <v>3</v>
      </c>
      <c r="O45" s="210"/>
      <c r="P45" s="399">
        <f t="shared" si="15"/>
        <v>3.4277016742770163</v>
      </c>
      <c r="Q45" s="110">
        <f>(G45)/(E44/60)</f>
        <v>92.469635627530366</v>
      </c>
      <c r="R45" s="400">
        <f>(G45+G46)/(F45/60)</f>
        <v>326.49056603773585</v>
      </c>
      <c r="S45" s="112"/>
      <c r="T45" s="112"/>
    </row>
    <row r="46" spans="2:21">
      <c r="B46" s="143">
        <v>46050</v>
      </c>
      <c r="C46" s="115">
        <v>19</v>
      </c>
      <c r="D46" s="116" t="s">
        <v>86</v>
      </c>
      <c r="E46" s="403"/>
      <c r="F46" s="405"/>
      <c r="G46" s="108">
        <v>600</v>
      </c>
      <c r="H46" s="399"/>
      <c r="I46" s="110"/>
      <c r="J46" s="399"/>
      <c r="K46" s="399"/>
      <c r="L46" s="399"/>
      <c r="M46" s="406"/>
      <c r="N46" s="400"/>
      <c r="O46" s="210"/>
      <c r="P46" s="399"/>
      <c r="Q46" s="110">
        <f>(G46)/(E44/60)</f>
        <v>24.291497975708502</v>
      </c>
      <c r="R46" s="400"/>
      <c r="S46" s="112"/>
      <c r="T46" s="112"/>
    </row>
    <row r="47" spans="2:21">
      <c r="B47" s="143">
        <v>46050</v>
      </c>
      <c r="C47" s="115">
        <v>19</v>
      </c>
      <c r="D47" s="116" t="s">
        <v>64</v>
      </c>
      <c r="E47" s="404"/>
      <c r="F47" s="39">
        <f>[3]Jan!$N107</f>
        <v>296</v>
      </c>
      <c r="G47" s="108">
        <v>1533</v>
      </c>
      <c r="H47" s="109">
        <f t="shared" si="17"/>
        <v>43.869634340222575</v>
      </c>
      <c r="I47" s="110"/>
      <c r="J47" s="109">
        <f>SUM(97,95)-82.8</f>
        <v>109.2</v>
      </c>
      <c r="K47" s="109">
        <f>(G47)*0.0708</f>
        <v>108.5364</v>
      </c>
      <c r="L47" s="109">
        <f t="shared" si="18"/>
        <v>0.66360000000000241</v>
      </c>
      <c r="M47" s="55">
        <f>[3]Jan!$AD46</f>
        <v>173</v>
      </c>
      <c r="N47" s="110">
        <v>3</v>
      </c>
      <c r="O47" s="210"/>
      <c r="P47" s="111">
        <f t="shared" ref="P47:P52" si="20">(J47-K47)/J47*100</f>
        <v>0.60769230769230986</v>
      </c>
      <c r="Q47" s="110">
        <f>(G47)/(E44/60)</f>
        <v>62.064777327935225</v>
      </c>
      <c r="R47" s="110">
        <f t="shared" si="19"/>
        <v>310.74324324324323</v>
      </c>
      <c r="S47" s="112"/>
      <c r="T47" s="112"/>
    </row>
    <row r="48" spans="2:21">
      <c r="B48" s="143">
        <v>46051</v>
      </c>
      <c r="C48" s="115">
        <v>20</v>
      </c>
      <c r="D48" s="116" t="s">
        <v>64</v>
      </c>
      <c r="E48" s="401">
        <v>1432</v>
      </c>
      <c r="F48" s="39">
        <f>[3]Jan!$N108</f>
        <v>495</v>
      </c>
      <c r="G48" s="108">
        <v>3171</v>
      </c>
      <c r="H48" s="109">
        <f t="shared" si="17"/>
        <v>54.263101604278077</v>
      </c>
      <c r="I48" s="110"/>
      <c r="J48" s="109">
        <f>SUM(82.8,98.3,95)-50</f>
        <v>226.10000000000002</v>
      </c>
      <c r="K48" s="109">
        <f>(G48)*0.0708</f>
        <v>224.5068</v>
      </c>
      <c r="L48" s="109">
        <f t="shared" si="18"/>
        <v>1.5932000000000244</v>
      </c>
      <c r="M48" s="55">
        <f>[3]Jan!$AD47</f>
        <v>78</v>
      </c>
      <c r="N48" s="110">
        <f>1+3</f>
        <v>4</v>
      </c>
      <c r="O48" s="210"/>
      <c r="P48" s="111">
        <f t="shared" si="20"/>
        <v>0.70464396284830799</v>
      </c>
      <c r="Q48" s="110">
        <f>(G48)/(E48/60)</f>
        <v>132.8631284916201</v>
      </c>
      <c r="R48" s="110">
        <f t="shared" si="19"/>
        <v>384.36363636363637</v>
      </c>
      <c r="S48" s="112"/>
      <c r="T48" s="112"/>
    </row>
    <row r="49" spans="2:20">
      <c r="B49" s="143">
        <v>46051</v>
      </c>
      <c r="C49" s="115">
        <v>20</v>
      </c>
      <c r="D49" s="116" t="s">
        <v>58</v>
      </c>
      <c r="E49" s="396"/>
      <c r="F49" s="39">
        <f>[3]Jan!$N109</f>
        <v>114</v>
      </c>
      <c r="G49" s="108">
        <v>701</v>
      </c>
      <c r="H49" s="109">
        <f t="shared" si="17"/>
        <v>52.086687306501545</v>
      </c>
      <c r="I49" s="110"/>
      <c r="J49" s="109">
        <v>50</v>
      </c>
      <c r="K49" s="109">
        <f>(G49)*0.0708</f>
        <v>49.630800000000001</v>
      </c>
      <c r="L49" s="109">
        <f t="shared" ref="L49:L50" si="21">J49-K49</f>
        <v>0.36919999999999931</v>
      </c>
      <c r="M49" s="55">
        <f>[3]Jan!$AD48</f>
        <v>24</v>
      </c>
      <c r="N49" s="110">
        <v>5</v>
      </c>
      <c r="O49" s="210"/>
      <c r="P49" s="111">
        <f t="shared" si="20"/>
        <v>0.73839999999999861</v>
      </c>
      <c r="Q49" s="110">
        <f t="shared" ref="Q49" si="22">(G49)/(E48/60)</f>
        <v>29.371508379888269</v>
      </c>
      <c r="R49" s="110">
        <f t="shared" si="19"/>
        <v>368.94736842105266</v>
      </c>
      <c r="S49" s="112"/>
      <c r="T49" s="112"/>
    </row>
    <row r="50" spans="2:20">
      <c r="B50" s="143">
        <v>46051</v>
      </c>
      <c r="C50" s="115">
        <v>20</v>
      </c>
      <c r="D50" s="116" t="s">
        <v>44</v>
      </c>
      <c r="E50" s="396"/>
      <c r="F50" s="39">
        <f>[3]Jan!$N110</f>
        <v>525</v>
      </c>
      <c r="G50" s="108">
        <v>2956</v>
      </c>
      <c r="H50" s="109">
        <f t="shared" si="17"/>
        <v>47.69344537815126</v>
      </c>
      <c r="I50" s="110"/>
      <c r="J50" s="109">
        <f>SUM(95.4,100.1)</f>
        <v>195.5</v>
      </c>
      <c r="K50" s="109">
        <f>G50*0.066</f>
        <v>195.096</v>
      </c>
      <c r="L50" s="109">
        <f t="shared" si="21"/>
        <v>0.40399999999999636</v>
      </c>
      <c r="M50" s="55">
        <f>[3]Jan!$AD49</f>
        <v>204</v>
      </c>
      <c r="N50" s="110">
        <f>12</f>
        <v>12</v>
      </c>
      <c r="O50" s="210"/>
      <c r="P50" s="111">
        <f t="shared" si="20"/>
        <v>0.20664961636828461</v>
      </c>
      <c r="Q50" s="110">
        <f>(G50)/(E48/60)</f>
        <v>123.85474860335195</v>
      </c>
      <c r="R50" s="110">
        <f t="shared" si="19"/>
        <v>337.82857142857142</v>
      </c>
      <c r="S50" s="112"/>
      <c r="T50" s="112"/>
    </row>
    <row r="51" spans="2:20">
      <c r="B51" s="143">
        <v>46051</v>
      </c>
      <c r="C51" s="115">
        <v>20</v>
      </c>
      <c r="D51" s="116" t="s">
        <v>45</v>
      </c>
      <c r="E51" s="397"/>
      <c r="F51" s="39">
        <f>[3]Jan!$N111</f>
        <v>60</v>
      </c>
      <c r="G51" s="108">
        <v>389</v>
      </c>
      <c r="H51" s="109">
        <f>(G51)*24/(F51/60)/17000*100</f>
        <v>54.917647058823526</v>
      </c>
      <c r="I51" s="110"/>
      <c r="J51" s="109">
        <f>SUM(89,97.3)-75.3-84.5</f>
        <v>26.500000000000014</v>
      </c>
      <c r="K51" s="109">
        <f t="shared" ref="K51:K54" si="23">G51*0.066</f>
        <v>25.673999999999999</v>
      </c>
      <c r="L51" s="109">
        <f t="shared" ref="L51:L54" si="24">J51-K51</f>
        <v>0.82600000000001472</v>
      </c>
      <c r="M51" s="55">
        <f>[3]Jan!$AD50</f>
        <v>72</v>
      </c>
      <c r="N51" s="110">
        <v>0</v>
      </c>
      <c r="O51" s="210"/>
      <c r="P51" s="111">
        <f t="shared" si="20"/>
        <v>3.1169811320755256</v>
      </c>
      <c r="Q51" s="110">
        <f>(G51)/(E48/60)</f>
        <v>16.298882681564244</v>
      </c>
      <c r="R51" s="110">
        <f t="shared" si="19"/>
        <v>389</v>
      </c>
      <c r="S51" s="398">
        <f>((J52+J51)-(K52+K51))/(J52+J51)*100</f>
        <v>2.3639291465378403</v>
      </c>
      <c r="T51" s="428"/>
    </row>
    <row r="52" spans="2:20">
      <c r="B52" s="114">
        <v>46052</v>
      </c>
      <c r="C52" s="106">
        <v>21</v>
      </c>
      <c r="D52" s="116" t="s">
        <v>45</v>
      </c>
      <c r="E52" s="396">
        <v>1250</v>
      </c>
      <c r="F52" s="39">
        <f>[3]Jan!$N112</f>
        <v>348</v>
      </c>
      <c r="G52" s="108">
        <v>2367</v>
      </c>
      <c r="H52" s="109">
        <f t="shared" si="17"/>
        <v>57.614604462474652</v>
      </c>
      <c r="I52" s="110"/>
      <c r="J52" s="109">
        <f>SUM(75.3,84.5)</f>
        <v>159.80000000000001</v>
      </c>
      <c r="K52" s="109">
        <f t="shared" si="23"/>
        <v>156.22200000000001</v>
      </c>
      <c r="L52" s="109">
        <f t="shared" si="24"/>
        <v>3.578000000000003</v>
      </c>
      <c r="M52" s="55">
        <f>[3]Jan!$AD51</f>
        <v>57</v>
      </c>
      <c r="N52" s="110">
        <v>6</v>
      </c>
      <c r="O52" s="210"/>
      <c r="P52" s="111">
        <f t="shared" si="20"/>
        <v>2.239048811013769</v>
      </c>
      <c r="Q52" s="110">
        <f>(G52)/(E52/60)</f>
        <v>113.616</v>
      </c>
      <c r="R52" s="110">
        <f t="shared" si="19"/>
        <v>408.10344827586209</v>
      </c>
      <c r="S52" s="398"/>
      <c r="T52" s="428"/>
    </row>
    <row r="53" spans="2:20">
      <c r="B53" s="114">
        <v>46052</v>
      </c>
      <c r="C53" s="106">
        <v>21</v>
      </c>
      <c r="D53" s="116" t="s">
        <v>27</v>
      </c>
      <c r="E53" s="397"/>
      <c r="F53" s="39">
        <f>[3]Jan!$N113</f>
        <v>746</v>
      </c>
      <c r="G53" s="108">
        <v>4470</v>
      </c>
      <c r="H53" s="109">
        <f t="shared" si="17"/>
        <v>50.755401356252946</v>
      </c>
      <c r="I53" s="110"/>
      <c r="J53" s="109">
        <f>SUM(95.2,100.2,82,100)-77.3</f>
        <v>300.09999999999997</v>
      </c>
      <c r="K53" s="109">
        <f t="shared" si="23"/>
        <v>295.02000000000004</v>
      </c>
      <c r="L53" s="109">
        <f t="shared" si="24"/>
        <v>5.0799999999999272</v>
      </c>
      <c r="M53" s="55">
        <f>[3]Jan!$AD52</f>
        <v>224</v>
      </c>
      <c r="N53" s="110">
        <f>7+3</f>
        <v>10</v>
      </c>
      <c r="O53" s="110"/>
      <c r="P53" s="111">
        <f t="shared" ref="P53:P61" si="25">(J53-K53)/J53*100</f>
        <v>1.6927690769743178</v>
      </c>
      <c r="Q53" s="110">
        <f>(G52)/(E52/60)</f>
        <v>113.616</v>
      </c>
      <c r="R53" s="110">
        <f t="shared" ref="R53:R61" si="26">(G53)/(F53/60)</f>
        <v>359.51742627345845</v>
      </c>
      <c r="S53" s="112"/>
      <c r="T53" s="112"/>
    </row>
    <row r="54" spans="2:20" ht="19.5" thickBot="1">
      <c r="B54" s="114"/>
      <c r="C54" s="106"/>
      <c r="D54" s="116"/>
      <c r="E54" s="284"/>
      <c r="F54" s="39">
        <f>[3]Jan!$N114</f>
        <v>0</v>
      </c>
      <c r="G54" s="108"/>
      <c r="H54" s="109" t="e">
        <f t="shared" si="17"/>
        <v>#DIV/0!</v>
      </c>
      <c r="I54" s="110"/>
      <c r="J54" s="109"/>
      <c r="K54" s="109">
        <f t="shared" si="23"/>
        <v>0</v>
      </c>
      <c r="L54" s="109">
        <f t="shared" si="24"/>
        <v>0</v>
      </c>
      <c r="M54" s="55">
        <f>[3]Jan!$AD53</f>
        <v>0</v>
      </c>
      <c r="N54" s="110"/>
      <c r="O54" s="110"/>
      <c r="P54" s="111" t="e">
        <f t="shared" si="25"/>
        <v>#DIV/0!</v>
      </c>
      <c r="Q54" s="110"/>
      <c r="R54" s="110" t="e">
        <f t="shared" si="26"/>
        <v>#DIV/0!</v>
      </c>
      <c r="S54" s="112"/>
      <c r="T54" s="112"/>
    </row>
    <row r="55" spans="2:20" ht="19.5" hidden="1" thickBot="1">
      <c r="B55" s="114"/>
      <c r="C55" s="106"/>
      <c r="D55" s="116"/>
      <c r="E55" s="283"/>
      <c r="F55" s="39"/>
      <c r="G55" s="108"/>
      <c r="H55" s="109" t="e">
        <f t="shared" si="17"/>
        <v>#DIV/0!</v>
      </c>
      <c r="I55" s="110"/>
      <c r="J55" s="109"/>
      <c r="K55" s="109">
        <f t="shared" ref="K55:K64" si="27">G55*0.066</f>
        <v>0</v>
      </c>
      <c r="L55" s="109">
        <f t="shared" ref="L55:L64" si="28">J55-K55</f>
        <v>0</v>
      </c>
      <c r="M55" s="55"/>
      <c r="N55" s="110"/>
      <c r="O55" s="110"/>
      <c r="P55" s="111" t="e">
        <f t="shared" si="25"/>
        <v>#DIV/0!</v>
      </c>
      <c r="Q55" s="110"/>
      <c r="R55" s="110" t="e">
        <f t="shared" si="26"/>
        <v>#DIV/0!</v>
      </c>
      <c r="S55" s="112"/>
      <c r="T55" s="112"/>
    </row>
    <row r="56" spans="2:20" ht="19.5" hidden="1" thickBot="1">
      <c r="B56" s="114"/>
      <c r="C56" s="106"/>
      <c r="D56" s="116"/>
      <c r="E56" s="259"/>
      <c r="F56" s="39"/>
      <c r="G56" s="108"/>
      <c r="H56" s="109" t="e">
        <f t="shared" si="17"/>
        <v>#DIV/0!</v>
      </c>
      <c r="I56" s="110"/>
      <c r="J56" s="109"/>
      <c r="K56" s="109">
        <f t="shared" si="27"/>
        <v>0</v>
      </c>
      <c r="L56" s="109">
        <f t="shared" si="28"/>
        <v>0</v>
      </c>
      <c r="M56" s="55"/>
      <c r="N56" s="110"/>
      <c r="O56" s="110"/>
      <c r="P56" s="111" t="e">
        <f t="shared" si="25"/>
        <v>#DIV/0!</v>
      </c>
      <c r="Q56" s="110"/>
      <c r="R56" s="110" t="e">
        <f t="shared" si="26"/>
        <v>#DIV/0!</v>
      </c>
      <c r="S56" s="112"/>
      <c r="T56" s="112"/>
    </row>
    <row r="57" spans="2:20" ht="19.5" hidden="1" thickBot="1">
      <c r="B57" s="114"/>
      <c r="C57" s="106"/>
      <c r="D57" s="116"/>
      <c r="E57" s="259"/>
      <c r="F57" s="39"/>
      <c r="G57" s="108"/>
      <c r="H57" s="109" t="e">
        <f t="shared" ref="H57:H61" si="29">(G57)*24/(F57/60)/17000*100</f>
        <v>#DIV/0!</v>
      </c>
      <c r="I57" s="110"/>
      <c r="J57" s="109"/>
      <c r="K57" s="109">
        <f t="shared" si="27"/>
        <v>0</v>
      </c>
      <c r="L57" s="109">
        <f t="shared" si="28"/>
        <v>0</v>
      </c>
      <c r="M57" s="55"/>
      <c r="N57" s="110"/>
      <c r="O57" s="110"/>
      <c r="P57" s="111" t="e">
        <f t="shared" si="25"/>
        <v>#DIV/0!</v>
      </c>
      <c r="Q57" s="110"/>
      <c r="R57" s="110" t="e">
        <f t="shared" si="26"/>
        <v>#DIV/0!</v>
      </c>
      <c r="S57" s="112"/>
      <c r="T57" s="112"/>
    </row>
    <row r="58" spans="2:20" ht="19.5" hidden="1" thickBot="1">
      <c r="B58" s="114"/>
      <c r="C58" s="106"/>
      <c r="D58" s="116"/>
      <c r="E58" s="282"/>
      <c r="F58" s="39"/>
      <c r="G58" s="108"/>
      <c r="H58" s="109" t="e">
        <f t="shared" si="29"/>
        <v>#DIV/0!</v>
      </c>
      <c r="I58" s="110"/>
      <c r="J58" s="109"/>
      <c r="K58" s="109">
        <f t="shared" si="27"/>
        <v>0</v>
      </c>
      <c r="L58" s="109">
        <f t="shared" si="28"/>
        <v>0</v>
      </c>
      <c r="M58" s="55"/>
      <c r="N58" s="110"/>
      <c r="O58" s="110"/>
      <c r="P58" s="111" t="e">
        <f t="shared" si="25"/>
        <v>#DIV/0!</v>
      </c>
      <c r="Q58" s="111"/>
      <c r="R58" s="110" t="e">
        <f t="shared" si="26"/>
        <v>#DIV/0!</v>
      </c>
      <c r="S58" s="112"/>
      <c r="T58" s="112"/>
    </row>
    <row r="59" spans="2:20" ht="19.5" hidden="1" thickBot="1">
      <c r="B59" s="114"/>
      <c r="C59" s="106"/>
      <c r="D59" s="116"/>
      <c r="E59" s="205"/>
      <c r="F59" s="39"/>
      <c r="G59" s="108"/>
      <c r="H59" s="109" t="e">
        <f t="shared" si="29"/>
        <v>#DIV/0!</v>
      </c>
      <c r="I59" s="110"/>
      <c r="J59" s="109"/>
      <c r="K59" s="109">
        <f t="shared" si="27"/>
        <v>0</v>
      </c>
      <c r="L59" s="109">
        <f t="shared" si="28"/>
        <v>0</v>
      </c>
      <c r="M59" s="55"/>
      <c r="N59" s="110"/>
      <c r="O59" s="110"/>
      <c r="P59" s="111" t="e">
        <f t="shared" si="25"/>
        <v>#DIV/0!</v>
      </c>
      <c r="Q59" s="111"/>
      <c r="R59" s="110" t="e">
        <f t="shared" si="26"/>
        <v>#DIV/0!</v>
      </c>
      <c r="S59" s="112"/>
      <c r="T59" s="112"/>
    </row>
    <row r="60" spans="2:20" ht="19.5" hidden="1" thickBot="1">
      <c r="B60" s="114"/>
      <c r="C60" s="106"/>
      <c r="D60" s="116"/>
      <c r="E60" s="205"/>
      <c r="F60" s="39"/>
      <c r="G60" s="108"/>
      <c r="H60" s="109" t="e">
        <f t="shared" si="29"/>
        <v>#DIV/0!</v>
      </c>
      <c r="I60" s="110"/>
      <c r="J60" s="109"/>
      <c r="K60" s="109">
        <f t="shared" si="27"/>
        <v>0</v>
      </c>
      <c r="L60" s="109">
        <f t="shared" si="28"/>
        <v>0</v>
      </c>
      <c r="M60" s="55"/>
      <c r="N60" s="110"/>
      <c r="O60" s="110"/>
      <c r="P60" s="111" t="e">
        <f t="shared" si="25"/>
        <v>#DIV/0!</v>
      </c>
      <c r="Q60" s="111"/>
      <c r="R60" s="110" t="e">
        <f t="shared" si="26"/>
        <v>#DIV/0!</v>
      </c>
      <c r="S60" s="112"/>
      <c r="T60" s="112"/>
    </row>
    <row r="61" spans="2:20" ht="19.5" hidden="1" thickBot="1">
      <c r="B61" s="114"/>
      <c r="C61" s="106"/>
      <c r="D61" s="116"/>
      <c r="E61" s="206"/>
      <c r="F61" s="39"/>
      <c r="G61" s="108"/>
      <c r="H61" s="109" t="e">
        <f t="shared" si="29"/>
        <v>#DIV/0!</v>
      </c>
      <c r="I61" s="110"/>
      <c r="J61" s="109"/>
      <c r="K61" s="109">
        <f t="shared" si="27"/>
        <v>0</v>
      </c>
      <c r="L61" s="109">
        <f t="shared" si="28"/>
        <v>0</v>
      </c>
      <c r="M61" s="110"/>
      <c r="N61" s="110"/>
      <c r="O61" s="110"/>
      <c r="P61" s="111" t="e">
        <f t="shared" si="25"/>
        <v>#DIV/0!</v>
      </c>
      <c r="Q61" s="111"/>
      <c r="R61" s="110" t="e">
        <f t="shared" si="26"/>
        <v>#DIV/0!</v>
      </c>
      <c r="S61" s="112"/>
      <c r="T61" s="112"/>
    </row>
    <row r="62" spans="2:20" ht="19.5" hidden="1" thickBot="1">
      <c r="B62" s="114"/>
      <c r="C62" s="106"/>
      <c r="D62" s="116"/>
      <c r="E62" s="206"/>
      <c r="F62" s="39"/>
      <c r="G62" s="108"/>
      <c r="H62" s="109" t="e">
        <f>(G62)*24/(F62/60)/17000*100</f>
        <v>#DIV/0!</v>
      </c>
      <c r="I62" s="110"/>
      <c r="J62" s="109"/>
      <c r="K62" s="109">
        <f t="shared" si="27"/>
        <v>0</v>
      </c>
      <c r="L62" s="109">
        <f t="shared" si="28"/>
        <v>0</v>
      </c>
      <c r="M62" s="110"/>
      <c r="N62" s="110"/>
      <c r="O62" s="110"/>
      <c r="P62" s="111" t="e">
        <f>(J62-K62)/J62*100</f>
        <v>#DIV/0!</v>
      </c>
      <c r="Q62" s="111"/>
      <c r="R62" s="110" t="e">
        <f>(G62)/(F62/60)</f>
        <v>#DIV/0!</v>
      </c>
      <c r="S62" s="112"/>
      <c r="T62" s="112"/>
    </row>
    <row r="63" spans="2:20" ht="19.5" hidden="1" thickBot="1">
      <c r="B63" s="114"/>
      <c r="C63" s="106"/>
      <c r="D63" s="116"/>
      <c r="E63" s="206"/>
      <c r="F63" s="39"/>
      <c r="G63" s="108"/>
      <c r="H63" s="109" t="e">
        <f>(G63)*24/(F63/60)/17000*100</f>
        <v>#DIV/0!</v>
      </c>
      <c r="I63" s="110"/>
      <c r="J63" s="109"/>
      <c r="K63" s="109">
        <f t="shared" si="27"/>
        <v>0</v>
      </c>
      <c r="L63" s="109">
        <f t="shared" si="28"/>
        <v>0</v>
      </c>
      <c r="M63" s="110"/>
      <c r="N63" s="110"/>
      <c r="O63" s="110"/>
      <c r="P63" s="111" t="e">
        <f>(J63-K63)/J63*100</f>
        <v>#DIV/0!</v>
      </c>
      <c r="Q63" s="111"/>
      <c r="R63" s="110" t="e">
        <f>(G63)/(F63/60)</f>
        <v>#DIV/0!</v>
      </c>
      <c r="S63" s="112"/>
      <c r="T63" s="112">
        <f>AVERAGE(G8:G62)</f>
        <v>2304.9069767441861</v>
      </c>
    </row>
    <row r="64" spans="2:20" ht="19.5" hidden="1" thickBot="1">
      <c r="B64" s="208"/>
      <c r="C64" s="106"/>
      <c r="D64" s="116"/>
      <c r="E64" s="207"/>
      <c r="F64" s="39"/>
      <c r="G64" s="108"/>
      <c r="H64" s="109" t="e">
        <f>(G64)*24/(F64/60)/17000*100</f>
        <v>#DIV/0!</v>
      </c>
      <c r="I64" s="110"/>
      <c r="J64" s="109"/>
      <c r="K64" s="109">
        <f t="shared" si="27"/>
        <v>0</v>
      </c>
      <c r="L64" s="109">
        <f t="shared" si="28"/>
        <v>0</v>
      </c>
      <c r="M64" s="110"/>
      <c r="N64" s="110"/>
      <c r="O64" s="110"/>
      <c r="P64" s="109" t="e">
        <f>(J64-K64)/J64*100</f>
        <v>#DIV/0!</v>
      </c>
      <c r="Q64" s="109"/>
      <c r="R64" s="110" t="e">
        <f>(G64)/(F64/60)</f>
        <v>#DIV/0!</v>
      </c>
      <c r="S64" s="112"/>
      <c r="T64" s="112"/>
    </row>
    <row r="65" spans="2:20" ht="20.25" thickTop="1" thickBot="1">
      <c r="B65" s="119"/>
      <c r="C65" s="119"/>
      <c r="D65" s="120"/>
      <c r="E65" s="121">
        <f>SUM(E8:E64)</f>
        <v>24486</v>
      </c>
      <c r="F65" s="122">
        <f>SUM(F8:F64)</f>
        <v>17831</v>
      </c>
      <c r="G65" s="167">
        <f>SUM(G8:G64)</f>
        <v>99111</v>
      </c>
      <c r="H65" s="123">
        <f>(G65)*24/(F65/60)/17000*100</f>
        <v>47.082523166857456</v>
      </c>
      <c r="I65" s="124">
        <f>SUM(I8:I35)</f>
        <v>1659</v>
      </c>
      <c r="J65" s="123">
        <f>SUM(J8:J64)</f>
        <v>6750.0094399999989</v>
      </c>
      <c r="K65" s="123">
        <f>SUM(K8:K64)</f>
        <v>6588.5688</v>
      </c>
      <c r="L65" s="125">
        <f>J65-K65</f>
        <v>161.44063999999889</v>
      </c>
      <c r="M65" s="126">
        <f>SUM(M8:M64)</f>
        <v>15022</v>
      </c>
      <c r="N65" s="127">
        <f>SUM(N8:N64)</f>
        <v>357</v>
      </c>
      <c r="O65" s="124">
        <f>SUM(O8:O64)</f>
        <v>90</v>
      </c>
      <c r="P65" s="128">
        <f>(J65-K65)/J65</f>
        <v>2.3917098403346666E-2</v>
      </c>
      <c r="Q65" s="124">
        <f>G65/(E65/60)</f>
        <v>242.85959323695172</v>
      </c>
      <c r="R65" s="124">
        <f>G65/(F65/60)</f>
        <v>333.50120576524029</v>
      </c>
      <c r="S65" s="129">
        <f>(G65)/((E65)/60)</f>
        <v>242.85959323695172</v>
      </c>
      <c r="T65" s="129">
        <f>AVERAGE(G8:G54)</f>
        <v>2304.9069767441861</v>
      </c>
    </row>
    <row r="66" spans="2:20" ht="19.5" thickTop="1">
      <c r="G66" s="130"/>
      <c r="H66" s="130"/>
      <c r="L66" s="134"/>
      <c r="M66" s="134"/>
      <c r="N66" s="135" t="s">
        <v>23</v>
      </c>
      <c r="O66" s="134"/>
      <c r="R66" s="137"/>
    </row>
    <row r="67" spans="2:20" ht="19.5" thickBot="1">
      <c r="G67" s="130"/>
      <c r="H67" s="80"/>
      <c r="I67" s="81"/>
      <c r="J67" s="180"/>
      <c r="L67" s="134"/>
      <c r="M67" s="134"/>
      <c r="N67" s="135" t="s">
        <v>31</v>
      </c>
      <c r="O67" s="134">
        <f>O65*2.75</f>
        <v>247.5</v>
      </c>
      <c r="R67" s="137"/>
    </row>
    <row r="68" spans="2:20" ht="21" thickTop="1" thickBot="1">
      <c r="G68" s="130"/>
      <c r="H68" s="130"/>
      <c r="J68" s="46" t="s">
        <v>36</v>
      </c>
      <c r="K68" s="167">
        <f>G65+O67</f>
        <v>99358.5</v>
      </c>
      <c r="L68" s="134"/>
      <c r="M68" s="134"/>
      <c r="N68" s="134"/>
      <c r="O68" s="134"/>
      <c r="R68" s="137"/>
    </row>
    <row r="69" spans="2:20" ht="19.5" thickTop="1">
      <c r="G69" s="130"/>
      <c r="H69" s="130"/>
      <c r="L69" s="134"/>
      <c r="M69" s="134"/>
      <c r="N69" s="138" t="s">
        <v>32</v>
      </c>
      <c r="O69" s="139"/>
      <c r="R69" s="137"/>
    </row>
    <row r="70" spans="2:20">
      <c r="G70" s="130"/>
      <c r="H70" s="130"/>
      <c r="L70" s="134"/>
      <c r="M70" s="134"/>
      <c r="N70" s="138" t="s">
        <v>33</v>
      </c>
      <c r="O70" s="139"/>
      <c r="R70" s="137"/>
    </row>
    <row r="71" spans="2:20">
      <c r="G71" s="130"/>
      <c r="H71" s="130"/>
      <c r="L71" s="134"/>
      <c r="M71" s="134"/>
      <c r="N71" s="138" t="s">
        <v>34</v>
      </c>
      <c r="O71" s="140"/>
      <c r="R71" s="137"/>
    </row>
    <row r="72" spans="2:20">
      <c r="G72" s="130"/>
      <c r="H72" s="130"/>
      <c r="L72" s="134"/>
      <c r="M72" s="134"/>
      <c r="N72" s="141" t="s">
        <v>35</v>
      </c>
      <c r="O72" s="142">
        <f>SUM(O69:O71)</f>
        <v>0</v>
      </c>
      <c r="R72" s="137"/>
    </row>
    <row r="73" spans="2:20">
      <c r="G73" s="130"/>
      <c r="H73" s="130"/>
      <c r="L73" s="134"/>
      <c r="M73" s="134"/>
      <c r="N73" s="134"/>
      <c r="O73" s="134"/>
      <c r="R73" s="137"/>
    </row>
    <row r="74" spans="2:20">
      <c r="G74" s="130"/>
      <c r="H74" s="130"/>
      <c r="L74" s="134"/>
      <c r="M74" s="134"/>
      <c r="N74" s="134"/>
      <c r="O74" s="134"/>
      <c r="R74" s="137"/>
    </row>
    <row r="75" spans="2:20">
      <c r="G75" s="130"/>
      <c r="H75" s="130"/>
      <c r="L75" s="134"/>
      <c r="M75" s="134"/>
      <c r="N75" s="134"/>
      <c r="O75" s="134"/>
      <c r="R75" s="137"/>
    </row>
    <row r="76" spans="2:20">
      <c r="G76" s="130"/>
      <c r="H76" s="130"/>
      <c r="L76" s="134"/>
      <c r="M76" s="134"/>
      <c r="N76" s="134"/>
      <c r="O76" s="134"/>
      <c r="R76" s="137"/>
    </row>
    <row r="77" spans="2:20" ht="23.25">
      <c r="G77" s="130"/>
      <c r="H77" s="130"/>
      <c r="I77" s="179"/>
      <c r="J77" s="179"/>
      <c r="L77" s="134"/>
      <c r="M77" s="134"/>
      <c r="N77" s="134"/>
      <c r="O77" s="134"/>
      <c r="R77" s="137"/>
    </row>
    <row r="78" spans="2:20">
      <c r="G78" s="130"/>
      <c r="H78" s="130"/>
      <c r="L78" s="134"/>
      <c r="M78" s="134"/>
      <c r="N78" s="134"/>
      <c r="O78" s="134"/>
      <c r="R78" s="137"/>
    </row>
    <row r="79" spans="2:20">
      <c r="G79" s="130"/>
      <c r="H79" s="130"/>
      <c r="L79" s="134"/>
      <c r="M79" s="134"/>
      <c r="N79" s="134"/>
      <c r="O79" s="134"/>
      <c r="R79" s="137"/>
    </row>
    <row r="80" spans="2:20">
      <c r="G80" s="130"/>
      <c r="H80" s="130"/>
      <c r="L80" s="134"/>
      <c r="M80" s="134"/>
      <c r="N80" s="134"/>
      <c r="O80" s="134"/>
      <c r="R80" s="137"/>
    </row>
    <row r="81" spans="7:18">
      <c r="G81" s="130"/>
      <c r="H81" s="130"/>
      <c r="R81" s="137"/>
    </row>
    <row r="82" spans="7:18">
      <c r="G82" s="130"/>
      <c r="H82" s="130"/>
      <c r="R82" s="137"/>
    </row>
    <row r="83" spans="7:18">
      <c r="G83" s="130"/>
      <c r="H83" s="130"/>
      <c r="R83" s="137"/>
    </row>
    <row r="84" spans="7:18">
      <c r="G84" s="130"/>
      <c r="H84" s="130"/>
      <c r="R84" s="137"/>
    </row>
    <row r="85" spans="7:18">
      <c r="G85" s="130"/>
      <c r="H85" s="130"/>
      <c r="R85" s="137"/>
    </row>
    <row r="86" spans="7:18">
      <c r="G86" s="130"/>
      <c r="H86" s="130"/>
      <c r="R86" s="137"/>
    </row>
    <row r="87" spans="7:18">
      <c r="G87" s="130"/>
      <c r="H87" s="130"/>
      <c r="R87" s="137"/>
    </row>
    <row r="88" spans="7:18">
      <c r="G88" s="130"/>
      <c r="H88" s="130"/>
      <c r="R88" s="137"/>
    </row>
    <row r="89" spans="7:18">
      <c r="G89" s="130"/>
      <c r="H89" s="130"/>
      <c r="R89" s="137"/>
    </row>
    <row r="90" spans="7:18">
      <c r="G90" s="130"/>
      <c r="H90" s="130"/>
      <c r="R90" s="137"/>
    </row>
    <row r="91" spans="7:18">
      <c r="G91" s="130"/>
      <c r="H91" s="130"/>
      <c r="R91" s="137"/>
    </row>
    <row r="92" spans="7:18">
      <c r="G92" s="130"/>
      <c r="H92" s="130"/>
      <c r="R92" s="137"/>
    </row>
    <row r="93" spans="7:18">
      <c r="G93" s="130"/>
      <c r="H93" s="130"/>
      <c r="R93" s="137"/>
    </row>
    <row r="94" spans="7:18">
      <c r="G94" s="130"/>
      <c r="H94" s="130"/>
      <c r="R94" s="137"/>
    </row>
    <row r="95" spans="7:18">
      <c r="G95" s="130"/>
      <c r="H95" s="130"/>
      <c r="R95" s="137"/>
    </row>
    <row r="96" spans="7:18">
      <c r="G96" s="130"/>
      <c r="H96" s="130"/>
      <c r="R96" s="137"/>
    </row>
    <row r="97" spans="7:18">
      <c r="G97" s="130"/>
      <c r="H97" s="130"/>
      <c r="R97" s="137"/>
    </row>
    <row r="98" spans="7:18">
      <c r="G98" s="130"/>
      <c r="H98" s="130"/>
      <c r="R98" s="137"/>
    </row>
    <row r="99" spans="7:18">
      <c r="G99" s="130"/>
      <c r="H99" s="130"/>
      <c r="R99" s="137"/>
    </row>
    <row r="100" spans="7:18">
      <c r="G100" s="130"/>
      <c r="H100" s="130"/>
      <c r="R100" s="137"/>
    </row>
    <row r="101" spans="7:18">
      <c r="G101" s="130"/>
      <c r="H101" s="130"/>
      <c r="R101" s="137"/>
    </row>
    <row r="102" spans="7:18">
      <c r="G102" s="130"/>
      <c r="H102" s="130"/>
      <c r="R102" s="137"/>
    </row>
    <row r="103" spans="7:18">
      <c r="G103" s="130"/>
      <c r="H103" s="130"/>
      <c r="R103" s="137"/>
    </row>
    <row r="104" spans="7:18">
      <c r="G104" s="130"/>
      <c r="H104" s="130"/>
      <c r="R104" s="137"/>
    </row>
    <row r="105" spans="7:18">
      <c r="G105" s="130"/>
      <c r="H105" s="130"/>
      <c r="R105" s="137"/>
    </row>
    <row r="106" spans="7:18">
      <c r="G106" s="130"/>
      <c r="H106" s="130"/>
      <c r="R106" s="137"/>
    </row>
    <row r="107" spans="7:18">
      <c r="G107" s="130"/>
      <c r="H107" s="130"/>
      <c r="R107" s="137"/>
    </row>
    <row r="108" spans="7:18">
      <c r="G108" s="130"/>
      <c r="H108" s="130"/>
      <c r="R108" s="137"/>
    </row>
    <row r="109" spans="7:18">
      <c r="G109" s="130"/>
      <c r="H109" s="130"/>
      <c r="R109" s="137"/>
    </row>
    <row r="110" spans="7:18">
      <c r="G110" s="130"/>
      <c r="H110" s="130"/>
      <c r="R110" s="137"/>
    </row>
    <row r="111" spans="7:18">
      <c r="G111" s="130"/>
      <c r="H111" s="130"/>
      <c r="R111" s="137"/>
    </row>
    <row r="112" spans="7:18">
      <c r="G112" s="130"/>
      <c r="H112" s="130"/>
      <c r="R112" s="137"/>
    </row>
    <row r="113" spans="7:18">
      <c r="G113" s="130"/>
      <c r="H113" s="130"/>
      <c r="R113" s="137"/>
    </row>
    <row r="114" spans="7:18">
      <c r="G114" s="130"/>
      <c r="H114" s="130"/>
      <c r="R114" s="137"/>
    </row>
    <row r="115" spans="7:18">
      <c r="G115" s="130"/>
      <c r="H115" s="130"/>
      <c r="R115" s="137"/>
    </row>
    <row r="116" spans="7:18">
      <c r="G116" s="130"/>
      <c r="H116" s="130"/>
      <c r="R116" s="137"/>
    </row>
    <row r="117" spans="7:18">
      <c r="G117" s="130"/>
      <c r="H117" s="130"/>
      <c r="R117" s="137"/>
    </row>
    <row r="118" spans="7:18">
      <c r="G118" s="130"/>
      <c r="H118" s="130"/>
      <c r="R118" s="137"/>
    </row>
    <row r="119" spans="7:18">
      <c r="G119" s="130"/>
      <c r="H119" s="130"/>
      <c r="R119" s="137"/>
    </row>
    <row r="120" spans="7:18">
      <c r="G120" s="130"/>
      <c r="H120" s="130"/>
      <c r="R120" s="137"/>
    </row>
    <row r="121" spans="7:18">
      <c r="G121" s="130"/>
      <c r="H121" s="130"/>
      <c r="R121" s="137"/>
    </row>
    <row r="122" spans="7:18">
      <c r="G122" s="130"/>
      <c r="H122" s="130"/>
      <c r="R122" s="137"/>
    </row>
    <row r="123" spans="7:18">
      <c r="G123" s="130"/>
      <c r="H123" s="130"/>
      <c r="R123" s="137"/>
    </row>
    <row r="124" spans="7:18">
      <c r="G124" s="130"/>
      <c r="H124" s="130"/>
      <c r="R124" s="137"/>
    </row>
    <row r="125" spans="7:18">
      <c r="G125" s="130"/>
      <c r="H125" s="130"/>
      <c r="R125" s="137"/>
    </row>
    <row r="126" spans="7:18">
      <c r="G126" s="130"/>
      <c r="H126" s="130"/>
      <c r="R126" s="137"/>
    </row>
    <row r="127" spans="7:18">
      <c r="G127" s="130"/>
      <c r="H127" s="130"/>
      <c r="R127" s="137"/>
    </row>
    <row r="128" spans="7:18">
      <c r="G128" s="130"/>
      <c r="H128" s="130"/>
      <c r="R128" s="137"/>
    </row>
  </sheetData>
  <autoFilter ref="B5:S72" xr:uid="{00000000-0001-0000-0000-000000000000}"/>
  <mergeCells count="52">
    <mergeCell ref="T20:T21"/>
    <mergeCell ref="T26:T27"/>
    <mergeCell ref="T28:T29"/>
    <mergeCell ref="T43:T44"/>
    <mergeCell ref="T51:T52"/>
    <mergeCell ref="T6:T7"/>
    <mergeCell ref="T8:T9"/>
    <mergeCell ref="T12:T13"/>
    <mergeCell ref="T14:T15"/>
    <mergeCell ref="T18:T19"/>
    <mergeCell ref="E40:E41"/>
    <mergeCell ref="S6:S7"/>
    <mergeCell ref="S18:S19"/>
    <mergeCell ref="S20:S21"/>
    <mergeCell ref="E19:E20"/>
    <mergeCell ref="E16:E18"/>
    <mergeCell ref="S14:S15"/>
    <mergeCell ref="S12:S13"/>
    <mergeCell ref="S8:S9"/>
    <mergeCell ref="E13:E14"/>
    <mergeCell ref="E23:E24"/>
    <mergeCell ref="E21:E22"/>
    <mergeCell ref="E36:E39"/>
    <mergeCell ref="E31:E34"/>
    <mergeCell ref="E29:E30"/>
    <mergeCell ref="S28:S29"/>
    <mergeCell ref="E27:E28"/>
    <mergeCell ref="S26:S27"/>
    <mergeCell ref="E25:E26"/>
    <mergeCell ref="B1:R1"/>
    <mergeCell ref="B3:R3"/>
    <mergeCell ref="B4:R4"/>
    <mergeCell ref="I5:I7"/>
    <mergeCell ref="L5:L7"/>
    <mergeCell ref="M5:M7"/>
    <mergeCell ref="N5:N7"/>
    <mergeCell ref="O5:O7"/>
    <mergeCell ref="S43:S44"/>
    <mergeCell ref="E44:E47"/>
    <mergeCell ref="F45:F46"/>
    <mergeCell ref="M45:M46"/>
    <mergeCell ref="J45:J46"/>
    <mergeCell ref="K45:K46"/>
    <mergeCell ref="L45:L46"/>
    <mergeCell ref="E42:E43"/>
    <mergeCell ref="E52:E53"/>
    <mergeCell ref="S51:S52"/>
    <mergeCell ref="P45:P46"/>
    <mergeCell ref="N45:N46"/>
    <mergeCell ref="R45:R46"/>
    <mergeCell ref="H45:H46"/>
    <mergeCell ref="E48:E51"/>
  </mergeCells>
  <conditionalFormatting sqref="I16 I18:I64">
    <cfRule type="cellIs" dxfId="91" priority="35" stopIfTrue="1" operator="lessThan">
      <formula>50</formula>
    </cfRule>
  </conditionalFormatting>
  <conditionalFormatting sqref="P8:P45 P47:P57 P58:Q63">
    <cfRule type="cellIs" dxfId="90" priority="8" stopIfTrue="1" operator="greaterThan">
      <formula>1.1</formula>
    </cfRule>
  </conditionalFormatting>
  <conditionalFormatting sqref="Q10:Q11">
    <cfRule type="cellIs" dxfId="89" priority="3" stopIfTrue="1" operator="greaterThan">
      <formula>1.1</formula>
    </cfRule>
  </conditionalFormatting>
  <conditionalFormatting sqref="S8:T8">
    <cfRule type="cellIs" dxfId="88" priority="6" operator="greaterThan">
      <formula>1.8</formula>
    </cfRule>
  </conditionalFormatting>
  <conditionalFormatting sqref="S12:T12 S14:T14">
    <cfRule type="cellIs" dxfId="87" priority="7" operator="greaterThan">
      <formula>1.8</formula>
    </cfRule>
  </conditionalFormatting>
  <conditionalFormatting sqref="S18:T18 S20:T20">
    <cfRule type="cellIs" dxfId="86" priority="5" operator="greaterThan">
      <formula>1.8</formula>
    </cfRule>
  </conditionalFormatting>
  <conditionalFormatting sqref="S26:T26 S28:T28">
    <cfRule type="cellIs" dxfId="85" priority="4" operator="greaterThan">
      <formula>1.8</formula>
    </cfRule>
  </conditionalFormatting>
  <conditionalFormatting sqref="S43:T43">
    <cfRule type="cellIs" dxfId="84" priority="2" operator="greaterThan">
      <formula>1.8</formula>
    </cfRule>
  </conditionalFormatting>
  <conditionalFormatting sqref="S51:T51">
    <cfRule type="cellIs" dxfId="83" priority="1" operator="greaterThan">
      <formula>1.8</formula>
    </cfRule>
  </conditionalFormatting>
  <pageMargins left="0.7" right="0.7" top="0.75" bottom="0.75" header="0.3" footer="0.3"/>
  <pageSetup scale="49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1"/>
    <pageSetUpPr fitToPage="1"/>
  </sheetPr>
  <dimension ref="B1:CD126"/>
  <sheetViews>
    <sheetView topLeftCell="A4" zoomScale="90" zoomScaleNormal="90" zoomScaleSheetLayoutView="80" workbookViewId="0">
      <pane xSplit="2" ySplit="4" topLeftCell="E38" activePane="bottomRight" state="frozen"/>
      <selection activeCell="A4" sqref="A4"/>
      <selection pane="topRight" activeCell="B4" sqref="B4"/>
      <selection pane="bottomLeft" activeCell="A8" sqref="A8"/>
      <selection pane="bottomRight" activeCell="H65" sqref="H65"/>
    </sheetView>
  </sheetViews>
  <sheetFormatPr defaultRowHeight="12.75"/>
  <cols>
    <col min="1" max="1" width="2.42578125" customWidth="1"/>
    <col min="2" max="2" width="12.140625" style="1" customWidth="1"/>
    <col min="3" max="3" width="11" style="1" bestFit="1" customWidth="1"/>
    <col min="4" max="4" width="45.5703125" style="32" bestFit="1" customWidth="1"/>
    <col min="5" max="5" width="10.85546875" style="1" customWidth="1"/>
    <col min="6" max="6" width="11.42578125" style="24" bestFit="1" customWidth="1"/>
    <col min="7" max="7" width="12.85546875" bestFit="1" customWidth="1"/>
    <col min="8" max="8" width="14.5703125" customWidth="1"/>
    <col min="9" max="9" width="15.42578125" style="7" customWidth="1"/>
    <col min="10" max="10" width="10.5703125" style="7" bestFit="1" customWidth="1"/>
    <col min="11" max="11" width="17.42578125" style="7" bestFit="1" customWidth="1"/>
    <col min="12" max="12" width="23.42578125" style="7" bestFit="1" customWidth="1"/>
    <col min="13" max="13" width="19.85546875" style="7" bestFit="1" customWidth="1"/>
    <col min="14" max="14" width="16.5703125" style="7" bestFit="1" customWidth="1"/>
    <col min="15" max="15" width="11.85546875" style="7" bestFit="1" customWidth="1"/>
    <col min="16" max="16" width="16.5703125" style="26" customWidth="1"/>
    <col min="17" max="17" width="14" style="6" customWidth="1"/>
    <col min="18" max="18" width="13" customWidth="1"/>
    <col min="19" max="19" width="11.85546875" bestFit="1" customWidth="1"/>
    <col min="20" max="20" width="12.5703125" bestFit="1" customWidth="1"/>
    <col min="21" max="21" width="13.42578125" customWidth="1"/>
    <col min="24" max="24" width="20.85546875" customWidth="1"/>
    <col min="25" max="25" width="13.5703125" customWidth="1"/>
    <col min="26" max="26" width="15.85546875" customWidth="1"/>
    <col min="27" max="27" width="10.5703125" customWidth="1"/>
  </cols>
  <sheetData>
    <row r="1" spans="2:23" ht="27">
      <c r="B1" s="384" t="s">
        <v>0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</row>
    <row r="3" spans="2:23" ht="22.5">
      <c r="B3" s="385" t="s">
        <v>1</v>
      </c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</row>
    <row r="4" spans="2:23" ht="21" thickBot="1">
      <c r="B4" s="386">
        <v>46071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</row>
    <row r="5" spans="2:23" ht="24" customHeight="1" thickTop="1" thickBot="1">
      <c r="B5" s="304" t="s">
        <v>2</v>
      </c>
      <c r="C5" s="8" t="s">
        <v>3</v>
      </c>
      <c r="D5" s="28" t="s">
        <v>4</v>
      </c>
      <c r="E5" s="8" t="s">
        <v>37</v>
      </c>
      <c r="F5" s="21" t="s">
        <v>12</v>
      </c>
      <c r="G5" s="8" t="s">
        <v>5</v>
      </c>
      <c r="H5" s="8" t="s">
        <v>13</v>
      </c>
      <c r="I5" s="294" t="s">
        <v>26</v>
      </c>
      <c r="J5" s="8" t="s">
        <v>18</v>
      </c>
      <c r="K5" s="8" t="s">
        <v>6</v>
      </c>
      <c r="L5" s="296" t="s">
        <v>97</v>
      </c>
      <c r="M5" s="298" t="s">
        <v>99</v>
      </c>
      <c r="N5" s="298" t="s">
        <v>101</v>
      </c>
      <c r="O5" s="298" t="s">
        <v>23</v>
      </c>
      <c r="P5" s="21" t="s">
        <v>94</v>
      </c>
      <c r="Q5" s="97" t="s">
        <v>9</v>
      </c>
      <c r="R5" s="308" t="s">
        <v>20</v>
      </c>
      <c r="S5" s="308" t="s">
        <v>89</v>
      </c>
      <c r="T5" s="308" t="s">
        <v>95</v>
      </c>
    </row>
    <row r="6" spans="2:23" ht="16.5" customHeight="1" thickTop="1">
      <c r="B6" s="304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294"/>
      <c r="J6" s="8" t="s">
        <v>17</v>
      </c>
      <c r="K6" s="8" t="s">
        <v>17</v>
      </c>
      <c r="L6" s="296" t="s">
        <v>98</v>
      </c>
      <c r="M6" s="298"/>
      <c r="N6" s="298" t="s">
        <v>102</v>
      </c>
      <c r="O6" s="298"/>
      <c r="P6" s="21" t="s">
        <v>19</v>
      </c>
      <c r="Q6" s="101" t="s">
        <v>10</v>
      </c>
      <c r="R6" s="324" t="s">
        <v>103</v>
      </c>
      <c r="S6" s="308" t="s">
        <v>88</v>
      </c>
      <c r="T6" s="308" t="s">
        <v>96</v>
      </c>
    </row>
    <row r="7" spans="2:23" ht="19.5" thickBot="1">
      <c r="B7" s="305"/>
      <c r="C7" s="10"/>
      <c r="D7" s="29"/>
      <c r="E7" s="8"/>
      <c r="F7" s="22" t="s">
        <v>15</v>
      </c>
      <c r="G7" s="10"/>
      <c r="H7" s="10" t="s">
        <v>16</v>
      </c>
      <c r="I7" s="295"/>
      <c r="J7" s="10"/>
      <c r="K7" s="10"/>
      <c r="L7" s="297"/>
      <c r="M7" s="299" t="s">
        <v>100</v>
      </c>
      <c r="N7" s="299"/>
      <c r="O7" s="299"/>
      <c r="P7" s="22"/>
      <c r="Q7" s="104" t="s">
        <v>80</v>
      </c>
      <c r="R7" s="325" t="s">
        <v>104</v>
      </c>
      <c r="S7" s="309" t="s">
        <v>90</v>
      </c>
      <c r="T7" s="309" t="s">
        <v>3</v>
      </c>
    </row>
    <row r="8" spans="2:23" s="93" customFormat="1" ht="18.75">
      <c r="B8" s="306">
        <v>46055</v>
      </c>
      <c r="C8" s="115">
        <v>1</v>
      </c>
      <c r="D8" s="116" t="s">
        <v>27</v>
      </c>
      <c r="E8" s="292">
        <v>1380</v>
      </c>
      <c r="F8" s="209">
        <f>[3]Feb!$N68</f>
        <v>354</v>
      </c>
      <c r="G8" s="108">
        <v>2653</v>
      </c>
      <c r="H8" s="109">
        <f>(G8)*24/(F8/60)/17000*100</f>
        <v>63.481555333997996</v>
      </c>
      <c r="I8" s="110"/>
      <c r="J8" s="109">
        <f>SUM(100.1,77.3)</f>
        <v>177.39999999999998</v>
      </c>
      <c r="K8" s="165">
        <f t="shared" ref="K8:K22" si="0">(G8)*0.066</f>
        <v>175.09800000000001</v>
      </c>
      <c r="L8" s="109">
        <f>J8-K8</f>
        <v>2.3019999999999641</v>
      </c>
      <c r="M8" s="110">
        <f>[3]Feb!$AD8</f>
        <v>221</v>
      </c>
      <c r="N8" s="110">
        <v>5</v>
      </c>
      <c r="O8" s="110"/>
      <c r="P8" s="111">
        <f>(J8-K8)/J8*100</f>
        <v>1.2976324689965977</v>
      </c>
      <c r="Q8" s="110">
        <f>G8/(E8/60)</f>
        <v>115.34782608695652</v>
      </c>
      <c r="R8" s="175"/>
      <c r="S8" s="111">
        <f>'[4]Daily glue FEB'!$H$2</f>
        <v>1.1221556886227543E-2</v>
      </c>
      <c r="T8" s="323"/>
      <c r="U8" s="134"/>
    </row>
    <row r="9" spans="2:23" s="93" customFormat="1" ht="18.75">
      <c r="B9" s="306">
        <v>46055</v>
      </c>
      <c r="C9" s="115">
        <v>1</v>
      </c>
      <c r="D9" s="116" t="s">
        <v>45</v>
      </c>
      <c r="E9" s="286"/>
      <c r="F9" s="209">
        <f>[3]Feb!$N69</f>
        <v>724</v>
      </c>
      <c r="G9" s="108">
        <v>5267</v>
      </c>
      <c r="H9" s="109">
        <f t="shared" ref="H9:H41" si="1">(G9)*24/(F9/60)/17000*100</f>
        <v>61.622359441013977</v>
      </c>
      <c r="I9" s="110"/>
      <c r="J9" s="109">
        <f>SUM(94,100.2,98,89.2)-26.8</f>
        <v>354.59999999999997</v>
      </c>
      <c r="K9" s="165">
        <f t="shared" si="0"/>
        <v>347.62200000000001</v>
      </c>
      <c r="L9" s="109">
        <f t="shared" ref="L9:L22" si="2">J9-K9</f>
        <v>6.9779999999999518</v>
      </c>
      <c r="M9" s="110">
        <f>[3]Feb!$AD9</f>
        <v>166</v>
      </c>
      <c r="N9" s="110">
        <v>1</v>
      </c>
      <c r="O9" s="110"/>
      <c r="P9" s="111">
        <f t="shared" ref="P9:P23" si="3">(J9-K9)/J9*100</f>
        <v>1.9678510998307819</v>
      </c>
      <c r="Q9" s="110">
        <f>E8/(F9/60)</f>
        <v>114.3646408839779</v>
      </c>
      <c r="R9" s="175"/>
      <c r="S9" s="111">
        <f>'[4]Daily glue FEB'!$H$4</f>
        <v>1.5132428940568474E-2</v>
      </c>
      <c r="T9" s="323"/>
      <c r="U9" s="134"/>
      <c r="V9" s="117"/>
      <c r="W9" s="113"/>
    </row>
    <row r="10" spans="2:23" s="93" customFormat="1" ht="18.75">
      <c r="B10" s="306">
        <v>46056</v>
      </c>
      <c r="C10" s="115">
        <v>2</v>
      </c>
      <c r="D10" s="116" t="s">
        <v>45</v>
      </c>
      <c r="E10" s="286">
        <v>1440</v>
      </c>
      <c r="F10" s="209">
        <f>[3]Feb!$N70</f>
        <v>1147</v>
      </c>
      <c r="G10" s="108">
        <v>8556</v>
      </c>
      <c r="H10" s="109">
        <f t="shared" si="1"/>
        <v>63.186009538950714</v>
      </c>
      <c r="I10" s="110"/>
      <c r="J10" s="109">
        <f>SUM(26.8,91,94,97.8,52.5,77.8,99.2,53,51)-12.8-56</f>
        <v>574.30000000000007</v>
      </c>
      <c r="K10" s="165">
        <f t="shared" si="0"/>
        <v>564.69600000000003</v>
      </c>
      <c r="L10" s="109">
        <f t="shared" si="2"/>
        <v>9.6040000000000418</v>
      </c>
      <c r="M10" s="110">
        <f>[3]Feb!$AD10</f>
        <v>433</v>
      </c>
      <c r="N10" s="110">
        <f>2+2+3</f>
        <v>7</v>
      </c>
      <c r="O10" s="110"/>
      <c r="P10" s="111">
        <f t="shared" si="3"/>
        <v>1.6722967090370955</v>
      </c>
      <c r="Q10" s="110">
        <f>G10/(E10/60)</f>
        <v>356.5</v>
      </c>
      <c r="R10" s="175"/>
      <c r="S10" s="111">
        <f>'[4]Daily glue FEB'!$H$5+'[4]Daily glue FEB'!$H$7+'[4]Daily glue FEB'!$H$7</f>
        <v>4.5202835199968226E-2</v>
      </c>
      <c r="T10" s="323"/>
      <c r="U10" s="134"/>
      <c r="V10" s="117"/>
      <c r="W10" s="113"/>
    </row>
    <row r="11" spans="2:23" s="93" customFormat="1" ht="18.75">
      <c r="B11" s="306">
        <v>46057</v>
      </c>
      <c r="C11" s="115">
        <v>3</v>
      </c>
      <c r="D11" s="116" t="s">
        <v>91</v>
      </c>
      <c r="E11" s="292">
        <v>1422</v>
      </c>
      <c r="F11" s="209">
        <f>[3]Feb!$N71</f>
        <v>711</v>
      </c>
      <c r="G11" s="108">
        <v>2804</v>
      </c>
      <c r="H11" s="109">
        <f t="shared" si="1"/>
        <v>33.405807892777361</v>
      </c>
      <c r="I11" s="110"/>
      <c r="J11" s="109">
        <f>SUM(12.8,56,101,17)</f>
        <v>186.8</v>
      </c>
      <c r="K11" s="165">
        <f t="shared" si="0"/>
        <v>185.06400000000002</v>
      </c>
      <c r="L11" s="109">
        <f t="shared" si="2"/>
        <v>1.73599999999999</v>
      </c>
      <c r="M11" s="110">
        <f>[3]Feb!$AD11</f>
        <v>342</v>
      </c>
      <c r="N11" s="110">
        <f>6+6</f>
        <v>12</v>
      </c>
      <c r="O11" s="110"/>
      <c r="P11" s="111">
        <f t="shared" si="3"/>
        <v>0.92933618843682542</v>
      </c>
      <c r="Q11" s="110">
        <f>G11/(E11/60)</f>
        <v>118.31223628691984</v>
      </c>
      <c r="R11" s="175"/>
      <c r="S11" s="111">
        <f>SUM('[4]Daily glue FEB'!$H$8,'[4]Daily glue FEB'!$H$9)</f>
        <v>4.6256743333987591E-2</v>
      </c>
      <c r="T11" s="323"/>
      <c r="U11" s="134"/>
      <c r="V11" s="117"/>
      <c r="W11" s="113"/>
    </row>
    <row r="12" spans="2:23" s="93" customFormat="1" ht="18.75">
      <c r="B12" s="306">
        <v>46057</v>
      </c>
      <c r="C12" s="115">
        <v>3</v>
      </c>
      <c r="D12" s="116" t="s">
        <v>51</v>
      </c>
      <c r="E12" s="286"/>
      <c r="F12" s="209">
        <f>[3]Feb!$N72</f>
        <v>489</v>
      </c>
      <c r="G12" s="108">
        <v>1568</v>
      </c>
      <c r="H12" s="109">
        <f t="shared" si="1"/>
        <v>27.161313605196678</v>
      </c>
      <c r="I12" s="110"/>
      <c r="J12" s="109">
        <f>SUM(70.8,91.4)-49.3</f>
        <v>112.89999999999999</v>
      </c>
      <c r="K12" s="165">
        <f t="shared" si="0"/>
        <v>103.488</v>
      </c>
      <c r="L12" s="109">
        <f t="shared" si="2"/>
        <v>9.4119999999999919</v>
      </c>
      <c r="M12" s="110">
        <f>[3]Feb!$AD12</f>
        <v>406</v>
      </c>
      <c r="N12" s="110">
        <v>0</v>
      </c>
      <c r="O12" s="110"/>
      <c r="P12" s="111">
        <f t="shared" si="3"/>
        <v>8.3365810451727125</v>
      </c>
      <c r="Q12" s="110">
        <f>G12/(E11/60)</f>
        <v>66.160337552742618</v>
      </c>
      <c r="R12" s="288">
        <f>((J13+J12)-(K13+K12))/(J13+J12)*100</f>
        <v>5.8828606658446203</v>
      </c>
      <c r="S12" s="111">
        <f>SUM('[4]Daily glue FEB'!$H$10)</f>
        <v>2.1540229885057469E-2</v>
      </c>
      <c r="T12" s="323"/>
      <c r="U12" s="134"/>
      <c r="V12" s="117"/>
      <c r="W12" s="113"/>
    </row>
    <row r="13" spans="2:23" s="93" customFormat="1" ht="18.75">
      <c r="B13" s="306">
        <v>46058</v>
      </c>
      <c r="C13" s="115">
        <v>4</v>
      </c>
      <c r="D13" s="116" t="s">
        <v>51</v>
      </c>
      <c r="E13" s="292">
        <v>1430</v>
      </c>
      <c r="F13" s="209">
        <f>[3]Feb!$N73</f>
        <v>144</v>
      </c>
      <c r="G13" s="108">
        <v>745</v>
      </c>
      <c r="H13" s="109">
        <f t="shared" si="1"/>
        <v>43.823529411764703</v>
      </c>
      <c r="I13" s="110"/>
      <c r="J13" s="109">
        <v>49.3</v>
      </c>
      <c r="K13" s="165">
        <f t="shared" si="0"/>
        <v>49.17</v>
      </c>
      <c r="L13" s="109">
        <f t="shared" si="2"/>
        <v>0.12999999999999545</v>
      </c>
      <c r="M13" s="110">
        <f>[3]Feb!$AD13</f>
        <v>68</v>
      </c>
      <c r="N13" s="110">
        <f>5+3</f>
        <v>8</v>
      </c>
      <c r="O13" s="110"/>
      <c r="P13" s="111">
        <f t="shared" si="3"/>
        <v>0.26369168356997053</v>
      </c>
      <c r="Q13" s="110">
        <f>G13/(E13/60)</f>
        <v>31.25874125874126</v>
      </c>
      <c r="R13" s="288"/>
      <c r="S13" s="111">
        <f>SUM('[4]Daily glue FEB'!$H$11)</f>
        <v>1.6954161640530759E-2</v>
      </c>
      <c r="T13" s="323"/>
      <c r="U13" s="134"/>
      <c r="V13" s="117"/>
      <c r="W13" s="113"/>
    </row>
    <row r="14" spans="2:23" s="93" customFormat="1" ht="18.75">
      <c r="B14" s="306">
        <v>46058</v>
      </c>
      <c r="C14" s="115">
        <v>4</v>
      </c>
      <c r="D14" s="116" t="s">
        <v>44</v>
      </c>
      <c r="E14" s="291"/>
      <c r="F14" s="209">
        <f>[3]Feb!$N74</f>
        <v>718</v>
      </c>
      <c r="G14" s="108">
        <v>2789</v>
      </c>
      <c r="H14" s="109">
        <f t="shared" si="1"/>
        <v>32.903162379157791</v>
      </c>
      <c r="I14" s="110"/>
      <c r="J14" s="109">
        <f>SUM(94,92)</f>
        <v>186</v>
      </c>
      <c r="K14" s="165">
        <f t="shared" si="0"/>
        <v>184.07400000000001</v>
      </c>
      <c r="L14" s="109">
        <f t="shared" si="2"/>
        <v>1.9259999999999877</v>
      </c>
      <c r="M14" s="110">
        <f>[3]Feb!$AD14</f>
        <v>312</v>
      </c>
      <c r="N14" s="110">
        <f>9+3</f>
        <v>12</v>
      </c>
      <c r="O14" s="110"/>
      <c r="P14" s="111">
        <f t="shared" si="3"/>
        <v>1.0354838709677354</v>
      </c>
      <c r="Q14" s="110">
        <f>G14/(E13/60)</f>
        <v>117.02097902097903</v>
      </c>
      <c r="R14" s="175"/>
      <c r="S14" s="111">
        <f>SUM('[4]Daily glue FEB'!$H$12)</f>
        <v>2.3555865921787707E-2</v>
      </c>
      <c r="T14" s="323"/>
      <c r="U14" s="134"/>
      <c r="V14" s="117"/>
      <c r="W14" s="113"/>
    </row>
    <row r="15" spans="2:23" s="93" customFormat="1" ht="18.75">
      <c r="B15" s="306">
        <v>46058</v>
      </c>
      <c r="C15" s="115">
        <v>4</v>
      </c>
      <c r="D15" s="116" t="s">
        <v>45</v>
      </c>
      <c r="E15" s="286"/>
      <c r="F15" s="209">
        <f>[3]Feb!$N75</f>
        <v>276</v>
      </c>
      <c r="G15" s="108">
        <v>1967</v>
      </c>
      <c r="H15" s="109">
        <f t="shared" si="1"/>
        <v>60.368286445012785</v>
      </c>
      <c r="I15" s="110"/>
      <c r="J15" s="109">
        <f>SUM(97.5,99.8)-63.7</f>
        <v>133.60000000000002</v>
      </c>
      <c r="K15" s="165">
        <f t="shared" si="0"/>
        <v>129.822</v>
      </c>
      <c r="L15" s="109">
        <f t="shared" si="2"/>
        <v>3.77800000000002</v>
      </c>
      <c r="M15" s="110">
        <f>[3]Feb!$AD15</f>
        <v>181</v>
      </c>
      <c r="N15" s="110">
        <v>2</v>
      </c>
      <c r="O15" s="110"/>
      <c r="P15" s="111">
        <f t="shared" si="3"/>
        <v>2.8278443113772598</v>
      </c>
      <c r="Q15" s="110">
        <f>G15/(E13/60)</f>
        <v>82.531468531468533</v>
      </c>
      <c r="R15" s="300">
        <f>((J16+J15)-(K16+K15))/(J16+J15)*100</f>
        <v>1.536167371466723</v>
      </c>
      <c r="S15" s="111">
        <f>SUM('[4]Daily glue FEB'!$H$13)</f>
        <v>1.2453482190324295E-2</v>
      </c>
      <c r="T15" s="323"/>
      <c r="U15" s="134"/>
      <c r="V15" s="117"/>
      <c r="W15" s="113"/>
    </row>
    <row r="16" spans="2:23" s="93" customFormat="1" ht="18.75">
      <c r="B16" s="306">
        <v>46059</v>
      </c>
      <c r="C16" s="115">
        <v>5</v>
      </c>
      <c r="D16" s="116" t="s">
        <v>45</v>
      </c>
      <c r="E16" s="292">
        <v>1250</v>
      </c>
      <c r="F16" s="209">
        <f>[3]Feb!$N76</f>
        <v>940</v>
      </c>
      <c r="G16" s="108">
        <v>4736</v>
      </c>
      <c r="H16" s="109">
        <f t="shared" si="1"/>
        <v>42.677346683354195</v>
      </c>
      <c r="I16" s="110"/>
      <c r="J16" s="109">
        <f>SUM(63.7,88,100,92)-28</f>
        <v>315.7</v>
      </c>
      <c r="K16" s="165">
        <f t="shared" si="0"/>
        <v>312.57600000000002</v>
      </c>
      <c r="L16" s="109">
        <f t="shared" si="2"/>
        <v>3.1239999999999668</v>
      </c>
      <c r="M16" s="110">
        <f>[3]Feb!$AD16</f>
        <v>283</v>
      </c>
      <c r="N16" s="110">
        <f>3+1</f>
        <v>4</v>
      </c>
      <c r="O16" s="110"/>
      <c r="P16" s="111">
        <f t="shared" si="3"/>
        <v>0.98954703832751567</v>
      </c>
      <c r="Q16" s="110">
        <f>G16/(E16/60)</f>
        <v>227.328</v>
      </c>
      <c r="R16" s="300"/>
      <c r="S16" s="111">
        <f>SUM('[4]Daily glue FEB'!$H$14:$H$15)</f>
        <v>3.4392808018522257E-2</v>
      </c>
      <c r="T16" s="323"/>
      <c r="U16" s="134"/>
      <c r="V16" s="117"/>
      <c r="W16" s="113"/>
    </row>
    <row r="17" spans="2:82" s="93" customFormat="1" ht="18.75">
      <c r="B17" s="306">
        <v>46059</v>
      </c>
      <c r="C17" s="115">
        <v>5</v>
      </c>
      <c r="D17" s="116" t="s">
        <v>92</v>
      </c>
      <c r="E17" s="286"/>
      <c r="F17" s="209">
        <f>[3]Feb!$N77</f>
        <v>200</v>
      </c>
      <c r="G17" s="108">
        <v>1262</v>
      </c>
      <c r="H17" s="109">
        <f t="shared" si="1"/>
        <v>53.449411764705879</v>
      </c>
      <c r="I17" s="110">
        <v>8</v>
      </c>
      <c r="J17" s="109">
        <f>SUM(97.1,99.9)-51.6-57.9</f>
        <v>87.5</v>
      </c>
      <c r="K17" s="165">
        <f>(G17)*0.066</f>
        <v>83.292000000000002</v>
      </c>
      <c r="L17" s="109">
        <f t="shared" si="2"/>
        <v>4.2079999999999984</v>
      </c>
      <c r="M17" s="110">
        <f>[3]Feb!$AD17</f>
        <v>76</v>
      </c>
      <c r="N17" s="110">
        <v>5</v>
      </c>
      <c r="O17" s="110"/>
      <c r="P17" s="111">
        <f t="shared" si="3"/>
        <v>4.8091428571428558</v>
      </c>
      <c r="Q17" s="110">
        <f>G17/(E16/60)</f>
        <v>60.576000000000001</v>
      </c>
      <c r="R17" s="175"/>
      <c r="S17" s="111">
        <f>SUM('[4]Daily glue FEB'!$H$16)</f>
        <v>1.7362569487337862E-2</v>
      </c>
      <c r="T17" s="323"/>
      <c r="U17" s="134"/>
      <c r="V17" s="117"/>
      <c r="W17" s="113"/>
    </row>
    <row r="18" spans="2:82" s="93" customFormat="1" ht="18.75">
      <c r="B18" s="306">
        <v>46062</v>
      </c>
      <c r="C18" s="115">
        <v>6</v>
      </c>
      <c r="D18" s="116" t="s">
        <v>56</v>
      </c>
      <c r="E18" s="292">
        <v>1380</v>
      </c>
      <c r="F18" s="209">
        <f>[3]Feb!$N78</f>
        <v>165</v>
      </c>
      <c r="G18" s="285">
        <v>960</v>
      </c>
      <c r="H18" s="109">
        <f t="shared" si="1"/>
        <v>49.283422459893046</v>
      </c>
      <c r="I18" s="110"/>
      <c r="J18" s="293">
        <f>SUM(51.6,57.8)</f>
        <v>109.4</v>
      </c>
      <c r="K18" s="165">
        <f>(G18+G19)*0.066</f>
        <v>106.65600000000001</v>
      </c>
      <c r="L18" s="109">
        <f t="shared" si="2"/>
        <v>2.7439999999999998</v>
      </c>
      <c r="M18" s="110">
        <f>[3]Feb!$AD18</f>
        <v>176</v>
      </c>
      <c r="N18" s="110">
        <f>4+3</f>
        <v>7</v>
      </c>
      <c r="O18" s="110"/>
      <c r="P18" s="109">
        <f>(J18-K18)/J18*100</f>
        <v>2.5082266910420472</v>
      </c>
      <c r="Q18" s="110">
        <f>G18/(E18/60)</f>
        <v>41.739130434782609</v>
      </c>
      <c r="R18" s="175"/>
      <c r="S18" s="111">
        <f>SUM('[4]Daily glue FEB'!$H$17:$H$18)</f>
        <v>3.7372016365054127E-2</v>
      </c>
      <c r="T18" s="323"/>
      <c r="U18" s="134"/>
      <c r="V18" s="117"/>
      <c r="W18" s="113"/>
      <c r="CD18" s="118"/>
    </row>
    <row r="19" spans="2:82" s="93" customFormat="1" ht="18.75">
      <c r="B19" s="306">
        <v>46062</v>
      </c>
      <c r="C19" s="115">
        <v>6</v>
      </c>
      <c r="D19" s="116" t="s">
        <v>57</v>
      </c>
      <c r="E19" s="291"/>
      <c r="F19" s="209">
        <f>[3]Feb!$N79</f>
        <v>139</v>
      </c>
      <c r="G19" s="108">
        <v>656</v>
      </c>
      <c r="H19" s="109">
        <f>(G19)*24/(F19/60)/17000*100</f>
        <v>39.97630131189166</v>
      </c>
      <c r="I19" s="110"/>
      <c r="J19" s="293"/>
      <c r="K19" s="165"/>
      <c r="L19" s="109"/>
      <c r="M19" s="110">
        <f>[3]Feb!$AD19</f>
        <v>36</v>
      </c>
      <c r="N19" s="110"/>
      <c r="O19" s="110"/>
      <c r="P19" s="109"/>
      <c r="Q19" s="110">
        <f>G19/(E18/60)</f>
        <v>28.521739130434781</v>
      </c>
      <c r="R19" s="175"/>
      <c r="S19" s="111"/>
      <c r="T19" s="323"/>
      <c r="U19" s="134"/>
      <c r="V19" s="117"/>
      <c r="W19" s="113"/>
    </row>
    <row r="20" spans="2:82" s="93" customFormat="1" ht="18.75">
      <c r="B20" s="306">
        <v>46062</v>
      </c>
      <c r="C20" s="115">
        <v>6</v>
      </c>
      <c r="D20" s="116" t="s">
        <v>27</v>
      </c>
      <c r="E20" s="286"/>
      <c r="F20" s="209">
        <f>[3]Feb!$N80</f>
        <v>384</v>
      </c>
      <c r="G20" s="108">
        <v>2822</v>
      </c>
      <c r="H20" s="109">
        <f t="shared" si="1"/>
        <v>62.250000000000007</v>
      </c>
      <c r="I20" s="110"/>
      <c r="J20" s="109">
        <f>SUM(89.4,98.7)</f>
        <v>188.10000000000002</v>
      </c>
      <c r="K20" s="165">
        <f t="shared" si="0"/>
        <v>186.25200000000001</v>
      </c>
      <c r="L20" s="109">
        <f t="shared" si="2"/>
        <v>1.8480000000000132</v>
      </c>
      <c r="M20" s="110">
        <f>[3]Feb!$AD20</f>
        <v>363</v>
      </c>
      <c r="N20" s="110">
        <v>1</v>
      </c>
      <c r="O20" s="110"/>
      <c r="P20" s="111">
        <f t="shared" si="3"/>
        <v>0.98245614035088413</v>
      </c>
      <c r="Q20" s="110">
        <f>G20/(E18/60)</f>
        <v>122.69565217391305</v>
      </c>
      <c r="R20" s="175"/>
      <c r="S20" s="111">
        <f>SUM('[4]Daily glue FEB'!$H$19)</f>
        <v>2.3003273322422257E-2</v>
      </c>
      <c r="T20" s="323"/>
      <c r="U20" s="134"/>
      <c r="V20" s="117"/>
      <c r="W20" s="113"/>
    </row>
    <row r="21" spans="2:82" s="93" customFormat="1" ht="18.75">
      <c r="B21" s="306">
        <v>46063</v>
      </c>
      <c r="C21" s="115">
        <v>7</v>
      </c>
      <c r="D21" s="116" t="s">
        <v>59</v>
      </c>
      <c r="E21" s="292">
        <v>1430</v>
      </c>
      <c r="F21" s="209">
        <f>[3]Feb!$N81</f>
        <v>429</v>
      </c>
      <c r="G21" s="108">
        <v>3371</v>
      </c>
      <c r="H21" s="109">
        <f t="shared" si="1"/>
        <v>66.560263266145611</v>
      </c>
      <c r="I21" s="110"/>
      <c r="J21" s="287">
        <f>3400*0.066</f>
        <v>224.4</v>
      </c>
      <c r="K21" s="165">
        <f t="shared" si="0"/>
        <v>222.48600000000002</v>
      </c>
      <c r="L21" s="109">
        <f t="shared" si="2"/>
        <v>1.9139999999999873</v>
      </c>
      <c r="M21" s="110">
        <f>[3]Feb!$AD21</f>
        <v>294</v>
      </c>
      <c r="N21" s="110">
        <v>4</v>
      </c>
      <c r="O21" s="110"/>
      <c r="P21" s="111">
        <f t="shared" si="3"/>
        <v>0.85294117647058254</v>
      </c>
      <c r="Q21" s="110">
        <f>G21/(E21/60)</f>
        <v>141.44055944055944</v>
      </c>
      <c r="R21" s="175"/>
      <c r="S21" s="111">
        <f>SUM('[4]Daily glue FEB'!$H$20)</f>
        <v>1.9419689119170983E-2</v>
      </c>
      <c r="T21" s="323"/>
      <c r="U21" s="134"/>
      <c r="V21" s="117"/>
      <c r="W21" s="113"/>
    </row>
    <row r="22" spans="2:82" s="93" customFormat="1" ht="18.75">
      <c r="B22" s="306">
        <v>46063</v>
      </c>
      <c r="C22" s="115">
        <v>7</v>
      </c>
      <c r="D22" s="116" t="s">
        <v>93</v>
      </c>
      <c r="E22" s="291"/>
      <c r="F22" s="209">
        <f>[3]Feb!$N82</f>
        <v>272</v>
      </c>
      <c r="G22" s="108">
        <v>1790</v>
      </c>
      <c r="H22" s="109">
        <f t="shared" si="1"/>
        <v>55.743944636678201</v>
      </c>
      <c r="I22" s="110"/>
      <c r="J22" s="287">
        <f>1800*0.066</f>
        <v>118.80000000000001</v>
      </c>
      <c r="K22" s="165">
        <f t="shared" si="0"/>
        <v>118.14</v>
      </c>
      <c r="L22" s="109">
        <f t="shared" si="2"/>
        <v>0.6600000000000108</v>
      </c>
      <c r="M22" s="110">
        <f>[3]Feb!$AD22</f>
        <v>190</v>
      </c>
      <c r="N22" s="110">
        <f>2+3</f>
        <v>5</v>
      </c>
      <c r="O22" s="110"/>
      <c r="P22" s="111">
        <f t="shared" si="3"/>
        <v>0.55555555555556457</v>
      </c>
      <c r="Q22" s="110">
        <f>G22/(E21/60)</f>
        <v>75.104895104895107</v>
      </c>
      <c r="R22" s="175"/>
      <c r="S22" s="111">
        <f>SUM('[4]Daily glue FEB'!$H$21)</f>
        <v>2.2426998563906172E-2</v>
      </c>
      <c r="T22" s="323"/>
      <c r="U22" s="134"/>
      <c r="V22" s="117"/>
      <c r="W22" s="113"/>
    </row>
    <row r="23" spans="2:82" s="93" customFormat="1" ht="18.75">
      <c r="B23" s="306">
        <v>46063</v>
      </c>
      <c r="C23" s="115">
        <v>7</v>
      </c>
      <c r="D23" s="116" t="s">
        <v>45</v>
      </c>
      <c r="E23" s="286"/>
      <c r="F23" s="209">
        <f>[3]Feb!$N83</f>
        <v>332</v>
      </c>
      <c r="G23" s="108">
        <v>1854</v>
      </c>
      <c r="H23" s="109">
        <f t="shared" si="1"/>
        <v>47.302622253720763</v>
      </c>
      <c r="I23" s="110"/>
      <c r="J23" s="109">
        <f>SUM(95,97.2)-65</f>
        <v>127.19999999999999</v>
      </c>
      <c r="K23" s="165">
        <f t="shared" ref="K23:K28" si="4">(G23)*0.066</f>
        <v>122.364</v>
      </c>
      <c r="L23" s="109">
        <f t="shared" ref="L23:L29" si="5">J23-K23</f>
        <v>4.8359999999999843</v>
      </c>
      <c r="M23" s="110">
        <f>[3]Feb!$AD23</f>
        <v>117</v>
      </c>
      <c r="N23" s="110">
        <f>1+2</f>
        <v>3</v>
      </c>
      <c r="O23" s="110"/>
      <c r="P23" s="111">
        <f t="shared" si="3"/>
        <v>3.8018867924528181</v>
      </c>
      <c r="Q23" s="110">
        <f>G23/(E21/60)</f>
        <v>77.790209790209801</v>
      </c>
      <c r="R23" s="289">
        <f>((J24+J23)-(K24+K23))/(J24+J23)*100</f>
        <v>3.4779137839276046</v>
      </c>
      <c r="S23" s="111">
        <f>SUM('[4]Daily glue FEB'!$H$22)</f>
        <v>2.8641921397379907E-2</v>
      </c>
      <c r="T23" s="323"/>
      <c r="U23" s="134"/>
      <c r="V23" s="117"/>
      <c r="W23" s="113"/>
    </row>
    <row r="24" spans="2:82" s="93" customFormat="1" ht="18.75">
      <c r="B24" s="306">
        <v>46064</v>
      </c>
      <c r="C24" s="115">
        <v>8</v>
      </c>
      <c r="D24" s="116" t="s">
        <v>45</v>
      </c>
      <c r="E24" s="292">
        <v>1435</v>
      </c>
      <c r="F24" s="209">
        <f>[3]Feb!$N84</f>
        <v>557</v>
      </c>
      <c r="G24" s="108">
        <v>3521</v>
      </c>
      <c r="H24" s="109">
        <f t="shared" si="1"/>
        <v>53.545675361706621</v>
      </c>
      <c r="I24" s="110"/>
      <c r="J24" s="109">
        <f>SUM(65,97,86.6)</f>
        <v>248.6</v>
      </c>
      <c r="K24" s="165">
        <f>(G24)*0.066 +(42*0.19)</f>
        <v>240.36600000000001</v>
      </c>
      <c r="L24" s="109">
        <f t="shared" si="5"/>
        <v>8.2339999999999804</v>
      </c>
      <c r="M24" s="110">
        <f>[3]Feb!$AD24</f>
        <v>119</v>
      </c>
      <c r="N24" s="110">
        <v>4</v>
      </c>
      <c r="O24" s="110">
        <v>42</v>
      </c>
      <c r="P24" s="111">
        <f t="shared" ref="P24:P42" si="6">(J24-K24)/J24*100</f>
        <v>3.3121480289621807</v>
      </c>
      <c r="Q24" s="110">
        <f>G24/(E24/60)</f>
        <v>147.21951219512195</v>
      </c>
      <c r="R24" s="289"/>
      <c r="S24" s="111">
        <f>SUM('[4]Daily glue FEB'!$H$23)</f>
        <v>1.5627084723148763E-2</v>
      </c>
      <c r="T24" s="323"/>
      <c r="U24" s="134"/>
      <c r="V24" s="117"/>
      <c r="W24" s="113"/>
    </row>
    <row r="25" spans="2:82" s="93" customFormat="1" ht="18.75">
      <c r="B25" s="306">
        <v>46064</v>
      </c>
      <c r="C25" s="115">
        <v>8</v>
      </c>
      <c r="D25" s="116" t="s">
        <v>27</v>
      </c>
      <c r="E25" s="286"/>
      <c r="F25" s="209">
        <f>[3]Feb!$N85</f>
        <v>659</v>
      </c>
      <c r="G25" s="108">
        <v>3377</v>
      </c>
      <c r="H25" s="109">
        <f t="shared" si="1"/>
        <v>43.406944568419178</v>
      </c>
      <c r="I25" s="110">
        <v>25</v>
      </c>
      <c r="J25" s="109">
        <f>SUM(98,92.8,90.4,86.4)-66.8-64.9</f>
        <v>235.9</v>
      </c>
      <c r="K25" s="165">
        <f>(G25)*0.066+(33*0.19)</f>
        <v>229.15200000000002</v>
      </c>
      <c r="L25" s="109">
        <f t="shared" si="5"/>
        <v>6.7479999999999905</v>
      </c>
      <c r="M25" s="110">
        <f>[3]Feb!$AD25</f>
        <v>401</v>
      </c>
      <c r="N25" s="110"/>
      <c r="O25" s="110">
        <v>33</v>
      </c>
      <c r="P25" s="111">
        <f t="shared" si="6"/>
        <v>2.8605341246290763</v>
      </c>
      <c r="Q25" s="110">
        <f>G25/(E24/60)</f>
        <v>141.19860627177701</v>
      </c>
      <c r="R25" s="290">
        <f>((J26+J25)-(K26+K25))/(J26+J25)*100</f>
        <v>1.758385093167695</v>
      </c>
      <c r="S25" s="111">
        <f>SUM([4]!Table1456782[[#This Row],[Glue usage lb/ case]])</f>
        <v>3.4268547544409611E-2</v>
      </c>
      <c r="T25" s="323"/>
      <c r="U25" s="134"/>
    </row>
    <row r="26" spans="2:82" s="93" customFormat="1" ht="18.75">
      <c r="B26" s="306">
        <v>46065</v>
      </c>
      <c r="C26" s="115">
        <v>9</v>
      </c>
      <c r="D26" s="116" t="s">
        <v>27</v>
      </c>
      <c r="E26" s="286">
        <v>1430</v>
      </c>
      <c r="F26" s="209">
        <f>[3]Feb!$N86</f>
        <v>1320</v>
      </c>
      <c r="G26" s="108">
        <v>6114</v>
      </c>
      <c r="H26" s="109">
        <f t="shared" si="1"/>
        <v>39.234224598930481</v>
      </c>
      <c r="I26" s="110"/>
      <c r="J26" s="109">
        <f>SUM(66.8,64.9,101,90,88,90.1)-45-47.7</f>
        <v>408.09999999999997</v>
      </c>
      <c r="K26" s="165">
        <f t="shared" si="4"/>
        <v>403.524</v>
      </c>
      <c r="L26" s="109">
        <f t="shared" si="5"/>
        <v>4.575999999999965</v>
      </c>
      <c r="M26" s="110">
        <f>[3]Feb!$AD26</f>
        <v>580</v>
      </c>
      <c r="N26" s="110">
        <f>21+6+5</f>
        <v>32</v>
      </c>
      <c r="O26" s="110"/>
      <c r="P26" s="111">
        <f t="shared" si="6"/>
        <v>1.1212938005390751</v>
      </c>
      <c r="Q26" s="110">
        <f>G26/(E26/60)</f>
        <v>256.53146853146853</v>
      </c>
      <c r="R26" s="290"/>
      <c r="S26" s="111">
        <f>SUM('[4]Daily glue FEB'!$H$26:$H$28)</f>
        <v>6.8275709011965988E-2</v>
      </c>
      <c r="T26" s="323"/>
      <c r="U26" s="134"/>
      <c r="V26" s="117"/>
      <c r="W26" s="113"/>
    </row>
    <row r="27" spans="2:82" s="93" customFormat="1" ht="18.75">
      <c r="B27" s="306">
        <v>46066</v>
      </c>
      <c r="C27" s="115">
        <v>10</v>
      </c>
      <c r="D27" s="116" t="s">
        <v>27</v>
      </c>
      <c r="E27" s="292">
        <v>1260</v>
      </c>
      <c r="F27" s="209">
        <f>[3]Feb!$N87</f>
        <v>236</v>
      </c>
      <c r="G27" s="108">
        <v>1392</v>
      </c>
      <c r="H27" s="109">
        <f t="shared" si="1"/>
        <v>49.96211365902294</v>
      </c>
      <c r="I27" s="110"/>
      <c r="J27" s="109">
        <f>SUM(45,47.7)</f>
        <v>92.7</v>
      </c>
      <c r="K27" s="165">
        <f t="shared" si="4"/>
        <v>91.872</v>
      </c>
      <c r="L27" s="109">
        <f t="shared" si="5"/>
        <v>0.82800000000000296</v>
      </c>
      <c r="M27" s="110">
        <f>[3]Feb!$AD27</f>
        <v>49</v>
      </c>
      <c r="N27" s="110">
        <v>2</v>
      </c>
      <c r="O27" s="110"/>
      <c r="P27" s="111">
        <f t="shared" si="6"/>
        <v>0.89320388349514879</v>
      </c>
      <c r="Q27" s="110">
        <f>G27/(E27/60)</f>
        <v>66.285714285714292</v>
      </c>
      <c r="R27" s="175"/>
      <c r="S27" s="111">
        <f>SUM('[4]Daily glue FEB'!$H$29)</f>
        <v>2.4451983298538617E-2</v>
      </c>
      <c r="T27" s="323"/>
      <c r="U27" s="134"/>
      <c r="V27" s="117"/>
      <c r="W27" s="113"/>
    </row>
    <row r="28" spans="2:82" s="93" customFormat="1" ht="18.75">
      <c r="B28" s="306">
        <v>46066</v>
      </c>
      <c r="C28" s="115">
        <v>10</v>
      </c>
      <c r="D28" s="116" t="s">
        <v>52</v>
      </c>
      <c r="E28" s="286"/>
      <c r="F28" s="209">
        <f>[3]Feb!$N88</f>
        <v>229</v>
      </c>
      <c r="G28" s="108">
        <v>1464</v>
      </c>
      <c r="H28" s="109">
        <f t="shared" si="1"/>
        <v>54.152581556640122</v>
      </c>
      <c r="I28" s="110"/>
      <c r="J28" s="109">
        <f>SUM(83.3,90.5)-75.5</f>
        <v>98.300000000000011</v>
      </c>
      <c r="K28" s="165">
        <f t="shared" si="4"/>
        <v>96.624000000000009</v>
      </c>
      <c r="L28" s="109">
        <f t="shared" si="5"/>
        <v>1.6760000000000019</v>
      </c>
      <c r="M28" s="110">
        <f>[3]Feb!$AD28</f>
        <v>794</v>
      </c>
      <c r="N28" s="110">
        <v>6</v>
      </c>
      <c r="O28" s="110"/>
      <c r="P28" s="111">
        <f t="shared" si="6"/>
        <v>1.7049847405900325</v>
      </c>
      <c r="Q28" s="110">
        <f>G28/(E27/60)</f>
        <v>69.714285714285708</v>
      </c>
      <c r="R28" s="175"/>
      <c r="S28" s="265"/>
      <c r="T28" s="323"/>
      <c r="U28" s="134"/>
      <c r="V28" s="117"/>
      <c r="W28" s="113"/>
    </row>
    <row r="29" spans="2:82" s="93" customFormat="1" ht="18.75">
      <c r="B29" s="306">
        <v>46069</v>
      </c>
      <c r="C29" s="115">
        <v>11</v>
      </c>
      <c r="D29" s="116" t="s">
        <v>45</v>
      </c>
      <c r="E29" s="286">
        <v>1380</v>
      </c>
      <c r="F29" s="209">
        <f>[3]Feb!$N89</f>
        <v>711</v>
      </c>
      <c r="G29" s="108">
        <v>4596</v>
      </c>
      <c r="H29" s="109">
        <f t="shared" si="1"/>
        <v>54.755026061057343</v>
      </c>
      <c r="I29" s="110"/>
      <c r="J29" s="109">
        <f>SUM(64,95.7,93.2,95.5)-35.4</f>
        <v>313</v>
      </c>
      <c r="K29" s="165">
        <f>(G29)*0.066+(25*0.19)</f>
        <v>308.08600000000001</v>
      </c>
      <c r="L29" s="109">
        <f t="shared" si="5"/>
        <v>4.9139999999999873</v>
      </c>
      <c r="M29" s="110">
        <f>[3]Feb!$AD29</f>
        <v>736</v>
      </c>
      <c r="N29" s="110">
        <f>5+5</f>
        <v>10</v>
      </c>
      <c r="O29" s="110">
        <v>25</v>
      </c>
      <c r="P29" s="111">
        <f t="shared" si="6"/>
        <v>1.569968051118207</v>
      </c>
      <c r="Q29" s="110">
        <f>G29/(E29/60)</f>
        <v>199.82608695652175</v>
      </c>
      <c r="R29" s="334">
        <f>((J30+J29)-(K30+K29))/(J30+J29)*100</f>
        <v>2.0494505494505417</v>
      </c>
      <c r="S29" s="111">
        <f>SUM('[4]Daily glue FEB'!$H$33:$H$34)</f>
        <v>3.6233572945482989E-2</v>
      </c>
      <c r="T29" s="323"/>
      <c r="U29" s="134"/>
      <c r="V29" s="117"/>
      <c r="W29" s="113"/>
    </row>
    <row r="30" spans="2:82" s="93" customFormat="1" ht="18.75">
      <c r="B30" s="306">
        <v>46070</v>
      </c>
      <c r="C30" s="115">
        <v>12</v>
      </c>
      <c r="D30" s="116" t="s">
        <v>45</v>
      </c>
      <c r="E30" s="286">
        <v>1440</v>
      </c>
      <c r="F30" s="209">
        <f>[3]Feb!$N90</f>
        <v>528</v>
      </c>
      <c r="G30" s="108">
        <v>2895</v>
      </c>
      <c r="H30" s="109">
        <f t="shared" si="1"/>
        <v>46.44385026737968</v>
      </c>
      <c r="I30" s="110"/>
      <c r="J30" s="109">
        <f>SUM(35.4,98,84.7,91.4)-56.5-56.4</f>
        <v>196.6</v>
      </c>
      <c r="K30" s="165">
        <f t="shared" ref="K30:K35" si="7">(G30)*0.066</f>
        <v>191.07000000000002</v>
      </c>
      <c r="L30" s="109">
        <f t="shared" ref="L30:L42" si="8">J30-K30</f>
        <v>5.5299999999999727</v>
      </c>
      <c r="M30" s="110">
        <f>[3]Feb!$AD30</f>
        <v>1019</v>
      </c>
      <c r="N30" s="110">
        <f>7+6</f>
        <v>13</v>
      </c>
      <c r="O30" s="110"/>
      <c r="P30" s="111">
        <f t="shared" si="6"/>
        <v>2.8128179043743504</v>
      </c>
      <c r="Q30" s="110">
        <f>G30/(E30/60)</f>
        <v>120.625</v>
      </c>
      <c r="R30" s="334"/>
      <c r="S30" s="111">
        <f>SUM('[4]Daily glue FEB'!$H$35:$H$36)</f>
        <v>3.7881578147828179E-2</v>
      </c>
      <c r="T30" s="323"/>
      <c r="U30" s="134"/>
      <c r="V30" s="117"/>
      <c r="W30" s="113"/>
    </row>
    <row r="31" spans="2:82" s="280" customFormat="1" ht="18.75">
      <c r="B31" s="326">
        <v>46071</v>
      </c>
      <c r="C31" s="267"/>
      <c r="D31" s="327" t="s">
        <v>61</v>
      </c>
      <c r="E31" s="328"/>
      <c r="F31" s="329">
        <f>[3]Feb!$N91</f>
        <v>0</v>
      </c>
      <c r="G31" s="271"/>
      <c r="H31" s="272" t="e">
        <f t="shared" si="1"/>
        <v>#DIV/0!</v>
      </c>
      <c r="I31" s="273"/>
      <c r="J31" s="272"/>
      <c r="K31" s="330">
        <f t="shared" si="7"/>
        <v>0</v>
      </c>
      <c r="L31" s="272">
        <f t="shared" si="8"/>
        <v>0</v>
      </c>
      <c r="M31" s="273">
        <f>[3]Feb!$AD31</f>
        <v>1440</v>
      </c>
      <c r="N31" s="273"/>
      <c r="O31" s="273"/>
      <c r="P31" s="276" t="e">
        <f t="shared" si="6"/>
        <v>#DIV/0!</v>
      </c>
      <c r="Q31" s="273" t="e">
        <f>G31/(F31/60)</f>
        <v>#DIV/0!</v>
      </c>
      <c r="R31" s="277"/>
      <c r="S31" s="331"/>
      <c r="T31" s="332"/>
      <c r="U31" s="333"/>
      <c r="V31" s="278"/>
      <c r="W31" s="279"/>
    </row>
    <row r="32" spans="2:82" s="93" customFormat="1" ht="18.75">
      <c r="B32" s="306">
        <v>46072</v>
      </c>
      <c r="C32" s="115">
        <v>13</v>
      </c>
      <c r="D32" s="116" t="s">
        <v>45</v>
      </c>
      <c r="E32" s="292">
        <v>1440</v>
      </c>
      <c r="F32" s="209">
        <f>[3]Feb!$N92</f>
        <v>749</v>
      </c>
      <c r="G32" s="108">
        <v>3122</v>
      </c>
      <c r="H32" s="109">
        <f t="shared" si="1"/>
        <v>35.307311709730619</v>
      </c>
      <c r="I32" s="110"/>
      <c r="J32" s="109">
        <f>SUM(56.4,56.5,98.8)</f>
        <v>211.7</v>
      </c>
      <c r="K32" s="165">
        <f>(G32)*0.066+ (18*0.19)</f>
        <v>209.47200000000001</v>
      </c>
      <c r="L32" s="109">
        <f t="shared" si="8"/>
        <v>2.2279999999999802</v>
      </c>
      <c r="M32" s="110">
        <f>[3]Feb!$AD32</f>
        <v>461</v>
      </c>
      <c r="N32" s="110">
        <f>2+1</f>
        <v>3</v>
      </c>
      <c r="O32" s="110">
        <v>18</v>
      </c>
      <c r="P32" s="111">
        <f t="shared" si="6"/>
        <v>1.0524326877656969</v>
      </c>
      <c r="Q32" s="110">
        <f>G32/(E32/60)</f>
        <v>130.08333333333334</v>
      </c>
      <c r="R32" s="175"/>
      <c r="S32" s="111">
        <f>SUM('[4]Daily glue FEB'!$H$42:$H$43)</f>
        <v>3.8471951071550686E-2</v>
      </c>
      <c r="T32" s="323"/>
      <c r="U32" s="322"/>
      <c r="V32" s="117"/>
      <c r="W32" s="113"/>
    </row>
    <row r="33" spans="2:82" s="93" customFormat="1" ht="18.75">
      <c r="B33" s="306">
        <v>46072</v>
      </c>
      <c r="C33" s="115">
        <v>13</v>
      </c>
      <c r="D33" s="255" t="s">
        <v>105</v>
      </c>
      <c r="E33" s="291"/>
      <c r="F33" s="335">
        <f>[3]Feb!$N93</f>
        <v>243</v>
      </c>
      <c r="G33" s="108">
        <v>1121</v>
      </c>
      <c r="H33" s="109">
        <f t="shared" si="1"/>
        <v>39.076252723311548</v>
      </c>
      <c r="I33" s="110"/>
      <c r="J33" s="109">
        <f>75.5</f>
        <v>75.5</v>
      </c>
      <c r="K33" s="165">
        <f t="shared" si="7"/>
        <v>73.986000000000004</v>
      </c>
      <c r="L33" s="109">
        <f t="shared" si="8"/>
        <v>1.5139999999999958</v>
      </c>
      <c r="M33" s="110">
        <f>[3]Feb!$AD33</f>
        <v>116</v>
      </c>
      <c r="N33" s="110">
        <v>4</v>
      </c>
      <c r="O33" s="110"/>
      <c r="P33" s="111">
        <f t="shared" si="6"/>
        <v>2.0052980132450275</v>
      </c>
      <c r="Q33" s="110">
        <f>G33/(E32/60)</f>
        <v>46.708333333333336</v>
      </c>
      <c r="R33" s="175"/>
      <c r="S33" s="111">
        <f>SUM('[4]Daily glue FEB'!$H$44)/2</f>
        <v>8.9579349904397709E-3</v>
      </c>
      <c r="T33" s="323"/>
      <c r="U33" s="322"/>
      <c r="V33" s="117"/>
      <c r="W33" s="113"/>
    </row>
    <row r="34" spans="2:82" s="93" customFormat="1" ht="18.75">
      <c r="B34" s="306">
        <v>46072</v>
      </c>
      <c r="C34" s="115">
        <v>13</v>
      </c>
      <c r="D34" s="116" t="s">
        <v>55</v>
      </c>
      <c r="E34" s="286"/>
      <c r="F34" s="209">
        <f>[3]Feb!$N94</f>
        <v>154</v>
      </c>
      <c r="G34" s="108">
        <v>437</v>
      </c>
      <c r="H34" s="109">
        <f t="shared" si="1"/>
        <v>24.036669213139799</v>
      </c>
      <c r="I34" s="110"/>
      <c r="J34" s="287">
        <f>450*0.066</f>
        <v>29.700000000000003</v>
      </c>
      <c r="K34" s="165">
        <f>(G34)*0.066</f>
        <v>28.842000000000002</v>
      </c>
      <c r="L34" s="109">
        <f t="shared" si="8"/>
        <v>0.85800000000000054</v>
      </c>
      <c r="M34" s="110">
        <f>[3]Feb!$AD34</f>
        <v>180</v>
      </c>
      <c r="N34" s="110">
        <v>3</v>
      </c>
      <c r="O34" s="110"/>
      <c r="P34" s="111">
        <f t="shared" si="6"/>
        <v>2.8888888888888906</v>
      </c>
      <c r="Q34" s="110">
        <f>G34/(E32/60)</f>
        <v>18.208333333333332</v>
      </c>
      <c r="R34" s="175"/>
      <c r="S34" s="111">
        <f>SUM('[4]Daily glue FEB'!$H$44)/2</f>
        <v>8.9579349904397709E-3</v>
      </c>
      <c r="T34" s="323"/>
      <c r="U34" s="322"/>
      <c r="V34" s="117"/>
      <c r="W34" s="113"/>
    </row>
    <row r="35" spans="2:82" s="93" customFormat="1" ht="18.75">
      <c r="B35" s="306">
        <v>46073</v>
      </c>
      <c r="C35" s="115">
        <v>14</v>
      </c>
      <c r="D35" s="116" t="s">
        <v>55</v>
      </c>
      <c r="E35" s="292">
        <v>1260</v>
      </c>
      <c r="F35" s="209">
        <f>[3]Feb!$N95</f>
        <v>439</v>
      </c>
      <c r="G35" s="108">
        <v>1334</v>
      </c>
      <c r="H35" s="109">
        <f t="shared" si="1"/>
        <v>25.739782929116977</v>
      </c>
      <c r="I35" s="110"/>
      <c r="J35" s="287">
        <f>1350*0.066</f>
        <v>89.100000000000009</v>
      </c>
      <c r="K35" s="165">
        <f t="shared" si="7"/>
        <v>88.044000000000011</v>
      </c>
      <c r="L35" s="109">
        <f t="shared" si="8"/>
        <v>1.0559999999999974</v>
      </c>
      <c r="M35" s="110">
        <f>[3]Feb!$AD35</f>
        <v>178</v>
      </c>
      <c r="N35" s="110">
        <v>1</v>
      </c>
      <c r="O35" s="110"/>
      <c r="P35" s="111">
        <f t="shared" si="6"/>
        <v>1.1851851851851822</v>
      </c>
      <c r="Q35" s="110">
        <f t="shared" ref="Q35:Q62" si="9">G35/(E35/60)</f>
        <v>63.523809523809526</v>
      </c>
      <c r="R35" s="175"/>
      <c r="S35" s="111">
        <f>SUM('[4]Daily glue FEB'!$H$46)</f>
        <v>1.7384044526901669E-2</v>
      </c>
      <c r="T35" s="323"/>
      <c r="U35" s="322"/>
      <c r="V35" s="117"/>
      <c r="W35" s="113"/>
      <c r="CD35" s="118"/>
    </row>
    <row r="36" spans="2:82" s="93" customFormat="1" ht="18.75">
      <c r="B36" s="306">
        <v>46073</v>
      </c>
      <c r="C36" s="115">
        <v>14</v>
      </c>
      <c r="D36" s="116" t="s">
        <v>45</v>
      </c>
      <c r="E36" s="286"/>
      <c r="F36" s="209">
        <f>[3]Feb!$N96</f>
        <v>557</v>
      </c>
      <c r="G36" s="108">
        <v>2454</v>
      </c>
      <c r="H36" s="109">
        <f t="shared" si="1"/>
        <v>37.319252296969054</v>
      </c>
      <c r="I36" s="110"/>
      <c r="J36" s="109">
        <f>SUM(99.5,94.9)-26.4</f>
        <v>168</v>
      </c>
      <c r="K36" s="165">
        <f t="shared" ref="K36:K41" si="10">(G36)*0.066</f>
        <v>161.964</v>
      </c>
      <c r="L36" s="109">
        <f t="shared" ref="L36:L41" si="11">J36-K36</f>
        <v>6.0360000000000014</v>
      </c>
      <c r="M36" s="110">
        <f>[3]Feb!$AD36</f>
        <v>394</v>
      </c>
      <c r="N36" s="110">
        <f>3+2</f>
        <v>5</v>
      </c>
      <c r="O36" s="110"/>
      <c r="P36" s="111">
        <f t="shared" si="6"/>
        <v>3.5928571428571434</v>
      </c>
      <c r="Q36" s="110">
        <f>G36/(E35/60)</f>
        <v>116.85714285714286</v>
      </c>
      <c r="R36" s="175"/>
      <c r="S36" s="111">
        <f>SUM('[4]Daily glue FEB'!$H$47)</f>
        <v>1.6099656357388317E-2</v>
      </c>
      <c r="T36" s="323"/>
      <c r="U36" s="322"/>
      <c r="V36" s="117"/>
      <c r="W36" s="113"/>
    </row>
    <row r="37" spans="2:82" ht="18.75">
      <c r="B37" s="306">
        <v>46076</v>
      </c>
      <c r="C37" s="115">
        <v>15</v>
      </c>
      <c r="D37" s="116" t="s">
        <v>45</v>
      </c>
      <c r="E37" s="286">
        <v>1380</v>
      </c>
      <c r="F37" s="209">
        <f>[3]Feb!$N97</f>
        <v>703</v>
      </c>
      <c r="G37" s="108">
        <v>3491</v>
      </c>
      <c r="H37" s="109">
        <f t="shared" si="1"/>
        <v>42.063760354782026</v>
      </c>
      <c r="I37" s="164"/>
      <c r="J37" s="109">
        <f>SUM(26.4,86,92.2,87.8)-56.8</f>
        <v>235.60000000000002</v>
      </c>
      <c r="K37" s="165">
        <f t="shared" si="10"/>
        <v>230.40600000000001</v>
      </c>
      <c r="L37" s="109">
        <f t="shared" si="11"/>
        <v>5.1940000000000168</v>
      </c>
      <c r="M37" s="110">
        <f>[3]Feb!$AD37</f>
        <v>876</v>
      </c>
      <c r="N37" s="110">
        <f>2+2</f>
        <v>4</v>
      </c>
      <c r="O37" s="110"/>
      <c r="P37" s="111">
        <f t="shared" si="6"/>
        <v>2.2045840407470356</v>
      </c>
      <c r="Q37" s="110">
        <f t="shared" si="9"/>
        <v>151.78260869565219</v>
      </c>
      <c r="R37" s="16"/>
      <c r="S37" s="111">
        <f>SUM('[4]Daily glue FEB'!$H$49,'[4]Daily glue FEB'!$H$50)</f>
        <v>4.2270613317021387E-2</v>
      </c>
      <c r="T37" s="323"/>
      <c r="V37" s="37"/>
      <c r="W37" s="6"/>
      <c r="AE37">
        <f>18*0.19</f>
        <v>3.42</v>
      </c>
    </row>
    <row r="38" spans="2:82" ht="18.75">
      <c r="B38" s="306">
        <v>46077</v>
      </c>
      <c r="C38" s="115">
        <v>16</v>
      </c>
      <c r="D38" s="116" t="s">
        <v>45</v>
      </c>
      <c r="E38" s="292">
        <v>1428</v>
      </c>
      <c r="F38" s="209">
        <f>[3]Feb!$N98</f>
        <v>335</v>
      </c>
      <c r="G38" s="108">
        <v>2250</v>
      </c>
      <c r="H38" s="109">
        <f t="shared" si="1"/>
        <v>56.892010535557503</v>
      </c>
      <c r="I38" s="164"/>
      <c r="J38" s="109">
        <f>SUM(38.6,56.8,54.1)</f>
        <v>149.5</v>
      </c>
      <c r="K38" s="165">
        <f t="shared" si="10"/>
        <v>148.5</v>
      </c>
      <c r="L38" s="109">
        <f t="shared" si="11"/>
        <v>1</v>
      </c>
      <c r="M38" s="110">
        <f>[3]Feb!$AD38</f>
        <v>88</v>
      </c>
      <c r="N38" s="110">
        <f>8+3</f>
        <v>11</v>
      </c>
      <c r="O38" s="110"/>
      <c r="P38" s="111">
        <f t="shared" si="6"/>
        <v>0.66889632107023411</v>
      </c>
      <c r="Q38" s="110">
        <f t="shared" si="9"/>
        <v>94.537815126050418</v>
      </c>
      <c r="R38" s="16"/>
      <c r="S38" s="111">
        <f>SUM('[4]Daily glue FEB'!$H$51)</f>
        <v>1.2021627565982403E-2</v>
      </c>
      <c r="T38" s="323"/>
      <c r="V38" s="37"/>
      <c r="W38" s="6"/>
      <c r="AE38">
        <f>50-AE37</f>
        <v>46.58</v>
      </c>
    </row>
    <row r="39" spans="2:82" ht="18.75">
      <c r="B39" s="306">
        <v>46077</v>
      </c>
      <c r="C39" s="115">
        <v>16</v>
      </c>
      <c r="D39" s="116" t="s">
        <v>44</v>
      </c>
      <c r="E39" s="286"/>
      <c r="F39" s="209">
        <f>[3]Feb!$N99</f>
        <v>962</v>
      </c>
      <c r="G39" s="108">
        <v>2892</v>
      </c>
      <c r="H39" s="109">
        <f t="shared" si="1"/>
        <v>25.464595817536988</v>
      </c>
      <c r="I39" s="164"/>
      <c r="J39" s="287">
        <f>SUM(90.2,98.9,2)</f>
        <v>191.10000000000002</v>
      </c>
      <c r="K39" s="165">
        <f t="shared" si="10"/>
        <v>190.87200000000001</v>
      </c>
      <c r="L39" s="109">
        <f t="shared" si="11"/>
        <v>0.22800000000000864</v>
      </c>
      <c r="M39" s="110">
        <f>[3]Feb!$AD39</f>
        <v>550</v>
      </c>
      <c r="N39" s="110">
        <v>4</v>
      </c>
      <c r="O39" s="110"/>
      <c r="P39" s="111">
        <f t="shared" si="6"/>
        <v>0.11930926216640954</v>
      </c>
      <c r="Q39" s="110">
        <f>G39/(E38/60)</f>
        <v>121.5126050420168</v>
      </c>
      <c r="R39" s="16"/>
      <c r="S39" s="111">
        <f>SUM('[4]Daily glue FEB'!$H$53)</f>
        <v>1.6887229660144179E-2</v>
      </c>
      <c r="T39" s="323"/>
      <c r="V39" s="37"/>
      <c r="W39" s="6"/>
    </row>
    <row r="40" spans="2:82" ht="18.75">
      <c r="B40" s="307">
        <v>46078</v>
      </c>
      <c r="C40" s="115">
        <v>17</v>
      </c>
      <c r="D40" s="116" t="s">
        <v>27</v>
      </c>
      <c r="E40" s="286">
        <v>1440</v>
      </c>
      <c r="F40" s="209">
        <f>[3]Feb!$N100</f>
        <v>1415</v>
      </c>
      <c r="G40" s="285">
        <v>4008</v>
      </c>
      <c r="H40" s="109">
        <f t="shared" si="1"/>
        <v>23.993016004988572</v>
      </c>
      <c r="I40" s="213">
        <v>140</v>
      </c>
      <c r="J40" s="109">
        <f>SUM(97,93.8,90,93.3)-53.2-53.8</f>
        <v>267.10000000000002</v>
      </c>
      <c r="K40" s="165">
        <f t="shared" si="10"/>
        <v>264.52800000000002</v>
      </c>
      <c r="L40" s="109">
        <f t="shared" si="11"/>
        <v>2.5720000000000027</v>
      </c>
      <c r="M40" s="110">
        <f>[3]Feb!$AD40</f>
        <v>810</v>
      </c>
      <c r="N40" s="110">
        <f>5+5+2</f>
        <v>12</v>
      </c>
      <c r="O40" s="110"/>
      <c r="P40" s="111">
        <f t="shared" si="6"/>
        <v>0.96293523025084338</v>
      </c>
      <c r="Q40" s="110">
        <f t="shared" si="9"/>
        <v>167</v>
      </c>
      <c r="R40" s="16"/>
      <c r="S40" s="111">
        <f>SUM('[4]Daily glue FEB'!$H$54:$H$56)</f>
        <v>4.8644260248232207E-2</v>
      </c>
      <c r="T40" s="323"/>
    </row>
    <row r="41" spans="2:82" ht="18.75">
      <c r="B41" s="307">
        <v>46079</v>
      </c>
      <c r="C41" s="115">
        <v>18</v>
      </c>
      <c r="D41" s="116" t="s">
        <v>27</v>
      </c>
      <c r="E41" s="292">
        <v>1440</v>
      </c>
      <c r="F41" s="209">
        <f>[3]Feb!$N101</f>
        <v>1027</v>
      </c>
      <c r="G41" s="108">
        <v>1613</v>
      </c>
      <c r="H41" s="109">
        <f t="shared" si="1"/>
        <v>13.303854745403518</v>
      </c>
      <c r="I41" s="164"/>
      <c r="J41" s="109">
        <f>SUM(53.2,53.8)</f>
        <v>107</v>
      </c>
      <c r="K41" s="165">
        <f t="shared" si="10"/>
        <v>106.458</v>
      </c>
      <c r="L41" s="109">
        <f t="shared" si="11"/>
        <v>0.54200000000000159</v>
      </c>
      <c r="M41" s="110">
        <f>[3]Feb!$AD41</f>
        <v>815</v>
      </c>
      <c r="N41" s="110">
        <f>2+4</f>
        <v>6</v>
      </c>
      <c r="O41" s="110"/>
      <c r="P41" s="111">
        <f t="shared" si="6"/>
        <v>0.50654205607476788</v>
      </c>
      <c r="Q41" s="110">
        <f t="shared" si="9"/>
        <v>67.208333333333329</v>
      </c>
      <c r="R41" s="16"/>
      <c r="S41" s="111">
        <f>SUM('[4]Daily glue FEB'!$H$57:$H$58)</f>
        <v>6.1097818943563614E-2</v>
      </c>
      <c r="T41" s="323"/>
    </row>
    <row r="42" spans="2:82" ht="18.75">
      <c r="B42" s="307">
        <v>46079</v>
      </c>
      <c r="C42" s="115">
        <v>18</v>
      </c>
      <c r="D42" s="116" t="s">
        <v>45</v>
      </c>
      <c r="E42" s="286"/>
      <c r="F42" s="209">
        <f>[3]Feb!$N102</f>
        <v>385</v>
      </c>
      <c r="G42" s="108">
        <v>1651</v>
      </c>
      <c r="H42" s="165">
        <f t="shared" ref="H42:H62" si="12">(G42)*24/(F42/60)/17000*100</f>
        <v>36.32452253628724</v>
      </c>
      <c r="I42" s="164"/>
      <c r="J42" s="109">
        <f>SUM(100,101.6)-90.1</f>
        <v>111.5</v>
      </c>
      <c r="K42" s="165">
        <f t="shared" ref="K42:K44" si="13">(G42)*0.066</f>
        <v>108.96600000000001</v>
      </c>
      <c r="L42" s="109">
        <f t="shared" si="8"/>
        <v>2.5339999999999918</v>
      </c>
      <c r="M42" s="110">
        <f>[3]Feb!$AD42</f>
        <v>137</v>
      </c>
      <c r="N42" s="110">
        <v>1</v>
      </c>
      <c r="O42" s="110"/>
      <c r="P42" s="111">
        <f t="shared" si="6"/>
        <v>2.2726457399103066</v>
      </c>
      <c r="Q42" s="110">
        <f>G42/(E41/60)</f>
        <v>68.791666666666671</v>
      </c>
      <c r="R42" s="16"/>
      <c r="S42" s="111">
        <f>'[4]Daily glue FEB'!$H$59</f>
        <v>2.04982984929509E-2</v>
      </c>
      <c r="T42" s="323"/>
    </row>
    <row r="43" spans="2:82" ht="18.75">
      <c r="B43" s="307">
        <v>46080</v>
      </c>
      <c r="C43" s="115">
        <v>19</v>
      </c>
      <c r="D43" s="116" t="s">
        <v>45</v>
      </c>
      <c r="E43" s="292">
        <v>1250</v>
      </c>
      <c r="F43" s="209">
        <f>[3]Feb!$N103</f>
        <v>211</v>
      </c>
      <c r="G43" s="108">
        <v>1327</v>
      </c>
      <c r="H43" s="165">
        <f t="shared" si="12"/>
        <v>53.272372456091446</v>
      </c>
      <c r="I43" s="164"/>
      <c r="J43" s="54">
        <v>90.1</v>
      </c>
      <c r="K43" s="165">
        <f t="shared" si="13"/>
        <v>87.582000000000008</v>
      </c>
      <c r="L43" s="165">
        <f t="shared" ref="L43:L62" si="14">J43-K43</f>
        <v>2.5179999999999865</v>
      </c>
      <c r="M43" s="110">
        <f>[3]Feb!$AD43</f>
        <v>54</v>
      </c>
      <c r="N43" s="164">
        <v>6</v>
      </c>
      <c r="O43" s="164"/>
      <c r="P43" s="165">
        <f t="shared" ref="P43:P62" si="15">(J43-K43)/J43*100</f>
        <v>2.7946725860155235</v>
      </c>
      <c r="Q43" s="110">
        <f>G43/(E43/60)</f>
        <v>63.696000000000005</v>
      </c>
      <c r="R43" s="16"/>
      <c r="S43" s="111">
        <f>SUM('[4]Daily glue FEB'!$H$60)</f>
        <v>1.7005444646098003E-2</v>
      </c>
      <c r="T43" s="323"/>
    </row>
    <row r="44" spans="2:82" ht="17.25" customHeight="1">
      <c r="B44" s="307">
        <v>46080</v>
      </c>
      <c r="C44" s="115">
        <v>19</v>
      </c>
      <c r="D44" s="116" t="s">
        <v>48</v>
      </c>
      <c r="E44" s="291"/>
      <c r="F44" s="209">
        <f>[3]Feb!$N104</f>
        <v>530</v>
      </c>
      <c r="G44" s="108">
        <v>2952</v>
      </c>
      <c r="H44" s="165">
        <f t="shared" si="12"/>
        <v>47.179578246392893</v>
      </c>
      <c r="I44" s="164">
        <v>7</v>
      </c>
      <c r="J44" s="54">
        <f>SUM(99.1,101)</f>
        <v>200.1</v>
      </c>
      <c r="K44" s="165">
        <f t="shared" si="13"/>
        <v>194.83200000000002</v>
      </c>
      <c r="L44" s="165">
        <f t="shared" si="14"/>
        <v>5.2679999999999723</v>
      </c>
      <c r="M44" s="110">
        <f>[3]Feb!$AD44</f>
        <v>205</v>
      </c>
      <c r="N44" s="164">
        <v>1</v>
      </c>
      <c r="O44" s="164"/>
      <c r="P44" s="165">
        <f t="shared" si="15"/>
        <v>2.6326836581709006</v>
      </c>
      <c r="Q44" s="110">
        <f>G44/(E43/60)</f>
        <v>141.696</v>
      </c>
      <c r="R44" s="16"/>
      <c r="S44" s="111">
        <f>SUM('[4]Daily glue FEB'!$H$61)/2</f>
        <v>7.4331368993653659E-3</v>
      </c>
      <c r="T44" s="323"/>
    </row>
    <row r="45" spans="2:82" ht="18.75">
      <c r="B45" s="307">
        <v>46080</v>
      </c>
      <c r="C45" s="115"/>
      <c r="D45" s="116" t="s">
        <v>45</v>
      </c>
      <c r="E45" s="286"/>
      <c r="F45" s="209">
        <f>[3]Feb!$N105</f>
        <v>285</v>
      </c>
      <c r="G45" s="108">
        <v>1792</v>
      </c>
      <c r="H45" s="165">
        <f t="shared" si="12"/>
        <v>53.26068111455109</v>
      </c>
      <c r="I45" s="164"/>
      <c r="J45" s="166">
        <f>SUM(80,101.3)-60.1</f>
        <v>121.20000000000002</v>
      </c>
      <c r="K45" s="165">
        <f>(G45)*0.066</f>
        <v>118.27200000000001</v>
      </c>
      <c r="L45" s="165">
        <f t="shared" ref="L45:L49" si="16">J45-K45</f>
        <v>2.9280000000000115</v>
      </c>
      <c r="M45" s="110">
        <f>[3]Feb!$AD45</f>
        <v>114</v>
      </c>
      <c r="N45" s="164">
        <v>0</v>
      </c>
      <c r="O45" s="164"/>
      <c r="P45" s="165">
        <f t="shared" si="15"/>
        <v>2.4158415841584251</v>
      </c>
      <c r="Q45" s="110">
        <f>G45/(E43/60)</f>
        <v>86.016000000000005</v>
      </c>
      <c r="R45" s="16"/>
      <c r="S45" s="111">
        <f>SUM('[4]Daily glue FEB'!$H$61)/2</f>
        <v>7.4331368993653659E-3</v>
      </c>
      <c r="T45" s="323"/>
    </row>
    <row r="46" spans="2:82" ht="18.75">
      <c r="B46" s="307">
        <v>46081</v>
      </c>
      <c r="C46" s="115"/>
      <c r="D46" s="116" t="s">
        <v>48</v>
      </c>
      <c r="E46" s="292">
        <v>910</v>
      </c>
      <c r="F46" s="209">
        <f>[3]Feb!$N106</f>
        <v>255</v>
      </c>
      <c r="G46" s="108">
        <v>1476</v>
      </c>
      <c r="H46" s="165">
        <f t="shared" si="12"/>
        <v>49.029757785467133</v>
      </c>
      <c r="I46" s="164"/>
      <c r="J46" s="166">
        <v>100</v>
      </c>
      <c r="K46" s="165">
        <f>(G46)*0.066</f>
        <v>97.416000000000011</v>
      </c>
      <c r="L46" s="165">
        <f t="shared" si="16"/>
        <v>2.583999999999989</v>
      </c>
      <c r="M46" s="110">
        <f>[3]Feb!$AD46</f>
        <v>97</v>
      </c>
      <c r="N46" s="164">
        <v>0</v>
      </c>
      <c r="O46" s="164"/>
      <c r="P46" s="165">
        <f t="shared" si="15"/>
        <v>2.583999999999989</v>
      </c>
      <c r="Q46" s="110">
        <f>G46/(E46/60)</f>
        <v>97.318681318681328</v>
      </c>
      <c r="R46" s="16"/>
      <c r="S46" s="265"/>
      <c r="T46" s="323"/>
    </row>
    <row r="47" spans="2:82" ht="18.75">
      <c r="B47" s="307">
        <v>46081</v>
      </c>
      <c r="C47" s="115"/>
      <c r="D47" s="116" t="s">
        <v>45</v>
      </c>
      <c r="E47" s="286"/>
      <c r="F47" s="209">
        <f>[3]Feb!$N107</f>
        <v>531</v>
      </c>
      <c r="G47" s="108">
        <v>2513</v>
      </c>
      <c r="H47" s="165">
        <f t="shared" si="12"/>
        <v>40.087736789631109</v>
      </c>
      <c r="I47" s="164"/>
      <c r="J47" s="166">
        <f>SUM(95.6,100.3,60.1)-88</f>
        <v>167.99999999999997</v>
      </c>
      <c r="K47" s="165">
        <f>(G47)*0.066</f>
        <v>165.858</v>
      </c>
      <c r="L47" s="165">
        <f t="shared" si="16"/>
        <v>2.1419999999999675</v>
      </c>
      <c r="M47" s="110">
        <f>[3]Feb!$AD47</f>
        <v>209</v>
      </c>
      <c r="N47" s="164">
        <v>2</v>
      </c>
      <c r="O47" s="164"/>
      <c r="P47" s="165">
        <f t="shared" si="15"/>
        <v>1.2749999999999808</v>
      </c>
      <c r="Q47" s="110">
        <f>G47/(E46/60)</f>
        <v>165.69230769230771</v>
      </c>
      <c r="R47" s="16"/>
      <c r="S47" s="111">
        <f>SUM('[4]Daily glue FEB'!$H$63)</f>
        <v>1.6872749099639855E-2</v>
      </c>
      <c r="T47" s="323"/>
      <c r="V47" s="144"/>
    </row>
    <row r="48" spans="2:82" ht="18.75">
      <c r="B48" s="307"/>
      <c r="C48" s="115"/>
      <c r="D48" s="116"/>
      <c r="E48" s="259"/>
      <c r="F48" s="209">
        <f>[3]Feb!$N108</f>
        <v>0</v>
      </c>
      <c r="G48" s="18"/>
      <c r="H48" s="165" t="e">
        <f t="shared" si="12"/>
        <v>#DIV/0!</v>
      </c>
      <c r="I48" s="164"/>
      <c r="J48" s="166"/>
      <c r="K48" s="165">
        <f t="shared" ref="K48:K49" si="17">(G48)*0.066</f>
        <v>0</v>
      </c>
      <c r="L48" s="165">
        <f t="shared" si="16"/>
        <v>0</v>
      </c>
      <c r="M48" s="110">
        <f>[3]Feb!$AD48</f>
        <v>0</v>
      </c>
      <c r="N48" s="164"/>
      <c r="O48" s="164"/>
      <c r="P48" s="165" t="e">
        <f t="shared" si="15"/>
        <v>#DIV/0!</v>
      </c>
      <c r="Q48" s="110" t="e">
        <f t="shared" si="9"/>
        <v>#DIV/0!</v>
      </c>
      <c r="R48" s="16"/>
      <c r="S48" s="111"/>
      <c r="T48" s="323"/>
    </row>
    <row r="49" spans="2:20" ht="18.75">
      <c r="B49" s="307"/>
      <c r="C49" s="115"/>
      <c r="D49" s="116"/>
      <c r="E49" s="259"/>
      <c r="F49" s="209">
        <f>[3]Feb!$N109</f>
        <v>0</v>
      </c>
      <c r="G49" s="18"/>
      <c r="H49" s="165" t="e">
        <f t="shared" si="12"/>
        <v>#DIV/0!</v>
      </c>
      <c r="I49" s="164"/>
      <c r="J49" s="166"/>
      <c r="K49" s="165">
        <f t="shared" si="17"/>
        <v>0</v>
      </c>
      <c r="L49" s="165">
        <f t="shared" si="16"/>
        <v>0</v>
      </c>
      <c r="M49" s="110">
        <f>[3]Feb!$AD49</f>
        <v>0</v>
      </c>
      <c r="N49" s="164"/>
      <c r="O49" s="164"/>
      <c r="P49" s="165" t="e">
        <f t="shared" si="15"/>
        <v>#DIV/0!</v>
      </c>
      <c r="Q49" s="110" t="e">
        <f t="shared" si="9"/>
        <v>#DIV/0!</v>
      </c>
      <c r="R49" s="16"/>
      <c r="S49" s="111"/>
      <c r="T49" s="323"/>
    </row>
    <row r="50" spans="2:20" ht="19.5" thickBot="1">
      <c r="B50" s="307"/>
      <c r="C50" s="115"/>
      <c r="D50" s="116"/>
      <c r="E50" s="107"/>
      <c r="F50" s="209">
        <f>[3]Feb!$N110</f>
        <v>0</v>
      </c>
      <c r="G50" s="18"/>
      <c r="H50" s="165" t="e">
        <f>(G50)*24/(F50/60)/17000*100</f>
        <v>#DIV/0!</v>
      </c>
      <c r="I50" s="164"/>
      <c r="J50" s="166"/>
      <c r="K50" s="165">
        <f t="shared" ref="K50:K58" si="18">(G50)*0.066</f>
        <v>0</v>
      </c>
      <c r="L50" s="165">
        <f t="shared" ref="L50:L58" si="19">J50-K50</f>
        <v>0</v>
      </c>
      <c r="M50" s="110">
        <f>[3]Feb!$AD50</f>
        <v>0</v>
      </c>
      <c r="N50" s="164"/>
      <c r="O50" s="164"/>
      <c r="P50" s="165" t="e">
        <f t="shared" si="15"/>
        <v>#DIV/0!</v>
      </c>
      <c r="Q50" s="110" t="e">
        <f t="shared" si="9"/>
        <v>#DIV/0!</v>
      </c>
      <c r="R50" s="16"/>
      <c r="S50" s="111"/>
      <c r="T50" s="323"/>
    </row>
    <row r="51" spans="2:20" ht="18.75" hidden="1">
      <c r="B51" s="307"/>
      <c r="C51" s="115"/>
      <c r="D51" s="116"/>
      <c r="E51" s="292"/>
      <c r="F51" s="209">
        <f>[3]Feb!$N111</f>
        <v>0</v>
      </c>
      <c r="G51" s="18"/>
      <c r="H51" s="165" t="e">
        <f t="shared" si="12"/>
        <v>#DIV/0!</v>
      </c>
      <c r="I51" s="164"/>
      <c r="J51" s="166"/>
      <c r="K51" s="165">
        <f t="shared" si="18"/>
        <v>0</v>
      </c>
      <c r="L51" s="165">
        <f t="shared" si="19"/>
        <v>0</v>
      </c>
      <c r="M51" s="110">
        <f>[3]Feb!$AD51</f>
        <v>0</v>
      </c>
      <c r="N51" s="164"/>
      <c r="O51" s="164"/>
      <c r="P51" s="165" t="e">
        <f t="shared" si="15"/>
        <v>#DIV/0!</v>
      </c>
      <c r="Q51" s="110" t="e">
        <f t="shared" si="9"/>
        <v>#DIV/0!</v>
      </c>
      <c r="R51" s="16"/>
      <c r="S51" s="217"/>
      <c r="T51" s="323"/>
    </row>
    <row r="52" spans="2:20" ht="18.75" hidden="1">
      <c r="B52" s="307"/>
      <c r="C52" s="115"/>
      <c r="D52" s="116"/>
      <c r="E52" s="291"/>
      <c r="F52" s="209">
        <f>[3]Feb!$N112</f>
        <v>0</v>
      </c>
      <c r="G52" s="18"/>
      <c r="H52" s="165" t="e">
        <f t="shared" si="12"/>
        <v>#DIV/0!</v>
      </c>
      <c r="I52" s="164"/>
      <c r="J52" s="166"/>
      <c r="K52" s="165">
        <f t="shared" si="18"/>
        <v>0</v>
      </c>
      <c r="L52" s="165">
        <f t="shared" si="19"/>
        <v>0</v>
      </c>
      <c r="M52" s="110">
        <f>[3]Feb!$AD52</f>
        <v>0</v>
      </c>
      <c r="N52" s="164"/>
      <c r="O52" s="164"/>
      <c r="P52" s="165" t="e">
        <f t="shared" si="15"/>
        <v>#DIV/0!</v>
      </c>
      <c r="Q52" s="110" t="e">
        <f t="shared" si="9"/>
        <v>#DIV/0!</v>
      </c>
      <c r="R52" s="16"/>
      <c r="S52" s="217"/>
      <c r="T52" s="323"/>
    </row>
    <row r="53" spans="2:20" ht="18.75" hidden="1">
      <c r="B53" s="307"/>
      <c r="C53" s="115"/>
      <c r="D53" s="116"/>
      <c r="E53" s="286"/>
      <c r="F53" s="209">
        <f>[3]Feb!$N113</f>
        <v>0</v>
      </c>
      <c r="G53" s="18"/>
      <c r="H53" s="165" t="e">
        <f t="shared" si="12"/>
        <v>#DIV/0!</v>
      </c>
      <c r="I53" s="164"/>
      <c r="J53" s="166"/>
      <c r="K53" s="165">
        <f t="shared" si="18"/>
        <v>0</v>
      </c>
      <c r="L53" s="165">
        <f t="shared" si="19"/>
        <v>0</v>
      </c>
      <c r="M53" s="110">
        <f>[3]Feb!$AD53</f>
        <v>0</v>
      </c>
      <c r="N53" s="164"/>
      <c r="O53" s="164"/>
      <c r="P53" s="165" t="e">
        <f t="shared" si="15"/>
        <v>#DIV/0!</v>
      </c>
      <c r="Q53" s="110" t="e">
        <f t="shared" si="9"/>
        <v>#DIV/0!</v>
      </c>
      <c r="R53" s="16"/>
      <c r="S53" s="217"/>
      <c r="T53" s="323"/>
    </row>
    <row r="54" spans="2:20" ht="18.75" hidden="1">
      <c r="B54" s="307"/>
      <c r="C54" s="115"/>
      <c r="D54" s="116"/>
      <c r="E54" s="292"/>
      <c r="F54" s="209">
        <f>[3]Feb!$N114</f>
        <v>0</v>
      </c>
      <c r="G54" s="18"/>
      <c r="H54" s="165" t="e">
        <f t="shared" si="12"/>
        <v>#DIV/0!</v>
      </c>
      <c r="I54" s="164"/>
      <c r="J54" s="166"/>
      <c r="K54" s="165">
        <f t="shared" si="18"/>
        <v>0</v>
      </c>
      <c r="L54" s="165">
        <f t="shared" si="19"/>
        <v>0</v>
      </c>
      <c r="M54" s="110">
        <f>[3]Feb!$AD54</f>
        <v>0</v>
      </c>
      <c r="N54" s="164"/>
      <c r="O54" s="164"/>
      <c r="P54" s="165" t="e">
        <f>(J54-K54)/J54*100</f>
        <v>#DIV/0!</v>
      </c>
      <c r="Q54" s="110" t="e">
        <f t="shared" si="9"/>
        <v>#DIV/0!</v>
      </c>
      <c r="R54" s="16"/>
      <c r="S54" s="217"/>
      <c r="T54" s="323"/>
    </row>
    <row r="55" spans="2:20" ht="18.75" hidden="1">
      <c r="B55" s="307"/>
      <c r="C55" s="115"/>
      <c r="D55" s="116"/>
      <c r="E55" s="291"/>
      <c r="F55" s="209">
        <f>[3]Feb!$N115</f>
        <v>0</v>
      </c>
      <c r="G55" s="18"/>
      <c r="H55" s="165" t="e">
        <f t="shared" si="12"/>
        <v>#DIV/0!</v>
      </c>
      <c r="I55" s="164"/>
      <c r="J55" s="166"/>
      <c r="K55" s="165">
        <f t="shared" si="18"/>
        <v>0</v>
      </c>
      <c r="L55" s="165">
        <f t="shared" si="19"/>
        <v>0</v>
      </c>
      <c r="M55" s="110">
        <f>[3]Feb!$AD55</f>
        <v>0</v>
      </c>
      <c r="N55" s="164"/>
      <c r="O55" s="164"/>
      <c r="P55" s="165"/>
      <c r="Q55" s="110" t="e">
        <f t="shared" si="9"/>
        <v>#DIV/0!</v>
      </c>
      <c r="R55" s="16"/>
      <c r="S55" s="217"/>
      <c r="T55" s="323"/>
    </row>
    <row r="56" spans="2:20" ht="18.75" hidden="1">
      <c r="B56" s="307"/>
      <c r="C56" s="115"/>
      <c r="D56" s="116"/>
      <c r="E56" s="286"/>
      <c r="F56" s="209">
        <f>[3]Feb!$N116</f>
        <v>0</v>
      </c>
      <c r="G56" s="18"/>
      <c r="H56" s="165" t="e">
        <f t="shared" si="12"/>
        <v>#DIV/0!</v>
      </c>
      <c r="I56" s="164"/>
      <c r="J56" s="166"/>
      <c r="K56" s="165">
        <f t="shared" si="18"/>
        <v>0</v>
      </c>
      <c r="L56" s="165">
        <f t="shared" si="19"/>
        <v>0</v>
      </c>
      <c r="M56" s="110">
        <f>[3]Feb!$AD56</f>
        <v>0</v>
      </c>
      <c r="N56" s="164"/>
      <c r="O56" s="164"/>
      <c r="P56" s="165" t="e">
        <f t="shared" si="15"/>
        <v>#DIV/0!</v>
      </c>
      <c r="Q56" s="110" t="e">
        <f t="shared" si="9"/>
        <v>#DIV/0!</v>
      </c>
      <c r="R56" s="16"/>
      <c r="S56" s="217"/>
      <c r="T56" s="323"/>
    </row>
    <row r="57" spans="2:20" ht="18.75" hidden="1">
      <c r="B57" s="307"/>
      <c r="C57" s="115"/>
      <c r="D57" s="116"/>
      <c r="E57" s="107"/>
      <c r="F57" s="39"/>
      <c r="G57" s="18"/>
      <c r="H57" s="165" t="e">
        <f t="shared" si="12"/>
        <v>#DIV/0!</v>
      </c>
      <c r="I57" s="164"/>
      <c r="J57" s="166"/>
      <c r="K57" s="165">
        <f t="shared" si="18"/>
        <v>0</v>
      </c>
      <c r="L57" s="165">
        <f t="shared" si="19"/>
        <v>0</v>
      </c>
      <c r="M57" s="110">
        <f>[3]Feb!$AD57</f>
        <v>0</v>
      </c>
      <c r="N57" s="164"/>
      <c r="O57" s="164"/>
      <c r="P57" s="165" t="e">
        <f t="shared" si="15"/>
        <v>#DIV/0!</v>
      </c>
      <c r="Q57" s="110" t="e">
        <f t="shared" si="9"/>
        <v>#DIV/0!</v>
      </c>
      <c r="R57" s="16"/>
      <c r="S57" s="217"/>
      <c r="T57" s="323"/>
    </row>
    <row r="58" spans="2:20" ht="18.75" hidden="1">
      <c r="B58" s="307"/>
      <c r="C58" s="115"/>
      <c r="D58" s="116"/>
      <c r="E58" s="107"/>
      <c r="F58" s="39"/>
      <c r="G58" s="18"/>
      <c r="H58" s="165" t="e">
        <f t="shared" si="12"/>
        <v>#DIV/0!</v>
      </c>
      <c r="I58" s="164"/>
      <c r="J58" s="166"/>
      <c r="K58" s="165">
        <f t="shared" si="18"/>
        <v>0</v>
      </c>
      <c r="L58" s="165">
        <f t="shared" si="19"/>
        <v>0</v>
      </c>
      <c r="M58" s="110">
        <f>[3]Feb!$AD58</f>
        <v>0</v>
      </c>
      <c r="N58" s="164"/>
      <c r="O58" s="164"/>
      <c r="P58" s="165" t="e">
        <f t="shared" si="15"/>
        <v>#DIV/0!</v>
      </c>
      <c r="Q58" s="110" t="e">
        <f t="shared" si="9"/>
        <v>#DIV/0!</v>
      </c>
      <c r="R58" s="16"/>
      <c r="S58" s="217"/>
      <c r="T58" s="323"/>
    </row>
    <row r="59" spans="2:20" ht="18.75" hidden="1">
      <c r="B59" s="307"/>
      <c r="C59" s="115"/>
      <c r="D59" s="116"/>
      <c r="E59" s="107"/>
      <c r="F59" s="39"/>
      <c r="G59" s="18"/>
      <c r="H59" s="165" t="e">
        <f t="shared" si="12"/>
        <v>#DIV/0!</v>
      </c>
      <c r="I59" s="164"/>
      <c r="J59" s="166"/>
      <c r="K59" s="165">
        <f t="shared" ref="K59:K62" si="20">(G59)*0.066</f>
        <v>0</v>
      </c>
      <c r="L59" s="165">
        <f t="shared" si="14"/>
        <v>0</v>
      </c>
      <c r="M59" s="110">
        <f>[3]Feb!$AD59</f>
        <v>0</v>
      </c>
      <c r="N59" s="164"/>
      <c r="O59" s="164"/>
      <c r="P59" s="165" t="e">
        <f t="shared" si="15"/>
        <v>#DIV/0!</v>
      </c>
      <c r="Q59" s="110" t="e">
        <f t="shared" si="9"/>
        <v>#DIV/0!</v>
      </c>
      <c r="R59" s="16"/>
      <c r="S59" s="217"/>
      <c r="T59" s="323"/>
    </row>
    <row r="60" spans="2:20" ht="18.75" hidden="1">
      <c r="B60" s="307"/>
      <c r="C60" s="115"/>
      <c r="D60" s="116"/>
      <c r="E60" s="107"/>
      <c r="F60" s="39"/>
      <c r="G60" s="18"/>
      <c r="H60" s="165" t="e">
        <f t="shared" si="12"/>
        <v>#DIV/0!</v>
      </c>
      <c r="I60" s="164"/>
      <c r="J60" s="166"/>
      <c r="K60" s="165">
        <f t="shared" si="20"/>
        <v>0</v>
      </c>
      <c r="L60" s="165">
        <f t="shared" si="14"/>
        <v>0</v>
      </c>
      <c r="M60" s="110"/>
      <c r="N60" s="164"/>
      <c r="O60" s="164"/>
      <c r="P60" s="165" t="e">
        <f t="shared" si="15"/>
        <v>#DIV/0!</v>
      </c>
      <c r="Q60" s="110" t="e">
        <f t="shared" si="9"/>
        <v>#DIV/0!</v>
      </c>
      <c r="R60" s="16"/>
      <c r="S60" s="217"/>
      <c r="T60" s="323"/>
    </row>
    <row r="61" spans="2:20" ht="18.75" hidden="1">
      <c r="B61" s="307"/>
      <c r="C61" s="115"/>
      <c r="D61" s="116"/>
      <c r="E61" s="107"/>
      <c r="F61" s="39"/>
      <c r="G61" s="18"/>
      <c r="H61" s="165" t="e">
        <f t="shared" si="12"/>
        <v>#DIV/0!</v>
      </c>
      <c r="I61" s="164"/>
      <c r="J61" s="166"/>
      <c r="K61" s="165">
        <f t="shared" si="20"/>
        <v>0</v>
      </c>
      <c r="L61" s="165">
        <f t="shared" si="14"/>
        <v>0</v>
      </c>
      <c r="M61" s="164"/>
      <c r="N61" s="164"/>
      <c r="O61" s="164"/>
      <c r="P61" s="165" t="e">
        <f t="shared" si="15"/>
        <v>#DIV/0!</v>
      </c>
      <c r="Q61" s="110" t="e">
        <f t="shared" si="9"/>
        <v>#DIV/0!</v>
      </c>
      <c r="R61" s="16"/>
      <c r="S61" s="217"/>
      <c r="T61" s="323"/>
    </row>
    <row r="62" spans="2:20" ht="19.5" hidden="1" thickBot="1">
      <c r="B62" s="307"/>
      <c r="C62" s="115"/>
      <c r="D62" s="116"/>
      <c r="E62" s="107"/>
      <c r="F62" s="39"/>
      <c r="G62" s="18"/>
      <c r="H62" s="165" t="e">
        <f t="shared" si="12"/>
        <v>#DIV/0!</v>
      </c>
      <c r="I62" s="164"/>
      <c r="J62" s="166"/>
      <c r="K62" s="165">
        <f t="shared" si="20"/>
        <v>0</v>
      </c>
      <c r="L62" s="165">
        <f t="shared" si="14"/>
        <v>0</v>
      </c>
      <c r="M62" s="164"/>
      <c r="N62" s="164"/>
      <c r="O62" s="164"/>
      <c r="P62" s="165" t="e">
        <f t="shared" si="15"/>
        <v>#DIV/0!</v>
      </c>
      <c r="Q62" s="110" t="e">
        <f t="shared" si="9"/>
        <v>#DIV/0!</v>
      </c>
      <c r="R62" s="16"/>
      <c r="S62" s="217"/>
      <c r="T62" s="323"/>
    </row>
    <row r="63" spans="2:20" ht="16.5" thickTop="1">
      <c r="B63" s="310"/>
      <c r="C63" s="311"/>
      <c r="D63" s="312"/>
      <c r="E63" s="313">
        <f>SUM(E8:E62)</f>
        <v>27225</v>
      </c>
      <c r="F63" s="313">
        <f>SUM(F8:F62)</f>
        <v>20445</v>
      </c>
      <c r="G63" s="314">
        <f>SUM(G8:G62)</f>
        <v>101592</v>
      </c>
      <c r="H63" s="315">
        <f>(G63)*24/(F63/60)/17000*100</f>
        <v>42.090682318415261</v>
      </c>
      <c r="I63" s="316">
        <f>SUM(I8:I62)</f>
        <v>180</v>
      </c>
      <c r="J63" s="315">
        <f>SUM(J8:J62)</f>
        <v>6854.4000000000024</v>
      </c>
      <c r="K63" s="315">
        <f>SUM(K8:K62)</f>
        <v>6727.4920000000002</v>
      </c>
      <c r="L63" s="315">
        <f>J63-K63</f>
        <v>126.90800000000218</v>
      </c>
      <c r="M63" s="317">
        <f>SUM(M8:M62)</f>
        <v>14086</v>
      </c>
      <c r="N63" s="318">
        <f>SUM(N8:N62)</f>
        <v>206</v>
      </c>
      <c r="O63" s="316">
        <f>SUM(O8:O62)</f>
        <v>118</v>
      </c>
      <c r="P63" s="319">
        <f>(J63-K63)/J63</f>
        <v>1.851482259570526E-2</v>
      </c>
      <c r="Q63" s="316">
        <f>G63/(E63/60)</f>
        <v>223.89421487603306</v>
      </c>
      <c r="R63" s="320">
        <f>(G63+January_2026!G65)/((E63+January_2026!E65)/60)</f>
        <v>232.87463015605962</v>
      </c>
      <c r="S63" s="321"/>
      <c r="T63" s="321">
        <f>AVERAGE(G8:G62)</f>
        <v>2604.9230769230771</v>
      </c>
    </row>
    <row r="64" spans="2:20" ht="16.5" thickBot="1">
      <c r="G64" s="1"/>
      <c r="H64" s="1"/>
      <c r="L64" s="19"/>
      <c r="M64" s="19"/>
      <c r="N64" s="41" t="s">
        <v>23</v>
      </c>
      <c r="O64" s="19"/>
      <c r="Q64" s="5"/>
    </row>
    <row r="65" spans="4:17" ht="21" thickTop="1" thickBot="1">
      <c r="D65" s="301"/>
      <c r="E65" s="90"/>
      <c r="F65" s="302"/>
      <c r="G65" s="303"/>
      <c r="H65" s="1"/>
      <c r="K65" s="46" t="s">
        <v>36</v>
      </c>
      <c r="L65" s="15">
        <f>G63+O65</f>
        <v>101916.5</v>
      </c>
      <c r="M65" s="19"/>
      <c r="N65" s="41" t="s">
        <v>31</v>
      </c>
      <c r="O65" s="47">
        <f>O63*2.75</f>
        <v>324.5</v>
      </c>
      <c r="P65" s="40"/>
      <c r="Q65" s="5"/>
    </row>
    <row r="66" spans="4:17" ht="16.5" thickTop="1">
      <c r="G66" s="1"/>
      <c r="H66" s="1"/>
      <c r="L66" s="19"/>
      <c r="M66" s="19"/>
      <c r="N66" s="19"/>
      <c r="O66" s="19"/>
      <c r="Q66" s="5"/>
    </row>
    <row r="67" spans="4:17" ht="15.75">
      <c r="G67" s="1"/>
      <c r="H67" s="1"/>
      <c r="L67" s="212">
        <f>January_2026!G65+February_2026!G63</f>
        <v>200703</v>
      </c>
      <c r="M67" s="19"/>
      <c r="N67" s="42" t="s">
        <v>32</v>
      </c>
      <c r="O67" s="63">
        <f>O30</f>
        <v>0</v>
      </c>
      <c r="Q67" s="5"/>
    </row>
    <row r="68" spans="4:17" ht="15.75">
      <c r="G68" s="1"/>
      <c r="H68" s="1"/>
      <c r="L68" s="211">
        <f>January_2026!K68+February_2026!L65</f>
        <v>201275</v>
      </c>
      <c r="M68" s="19"/>
      <c r="N68" s="42" t="s">
        <v>33</v>
      </c>
      <c r="O68" s="63">
        <f>SUM(O9+O18+O28+O34+O35)</f>
        <v>0</v>
      </c>
      <c r="Q68" s="5"/>
    </row>
    <row r="69" spans="4:17" ht="15.75">
      <c r="G69" s="1"/>
      <c r="H69" s="1"/>
      <c r="L69" s="19"/>
      <c r="M69" s="19"/>
      <c r="N69" s="42" t="s">
        <v>34</v>
      </c>
      <c r="O69" s="43"/>
      <c r="Q69" s="5"/>
    </row>
    <row r="70" spans="4:17" ht="15.75">
      <c r="G70" s="1"/>
      <c r="H70" s="1"/>
      <c r="L70" s="19"/>
      <c r="M70" s="19"/>
      <c r="N70" s="44" t="s">
        <v>35</v>
      </c>
      <c r="O70" s="65">
        <f>O63</f>
        <v>118</v>
      </c>
      <c r="Q70" s="5"/>
    </row>
    <row r="71" spans="4:17" ht="15.75">
      <c r="G71" s="1"/>
      <c r="H71" s="1"/>
      <c r="L71" s="19"/>
      <c r="M71" s="19"/>
      <c r="N71" s="19"/>
      <c r="O71" s="19"/>
      <c r="Q71" s="5"/>
    </row>
    <row r="72" spans="4:17" ht="15.75">
      <c r="G72" s="1"/>
      <c r="H72" s="1"/>
      <c r="L72" s="19"/>
      <c r="M72" s="19"/>
      <c r="N72" s="19"/>
      <c r="O72" s="19"/>
      <c r="Q72" s="5"/>
    </row>
    <row r="73" spans="4:17" ht="15.75">
      <c r="G73" s="1"/>
      <c r="H73" s="1"/>
      <c r="L73" s="19"/>
      <c r="M73" s="19"/>
      <c r="N73" s="19"/>
      <c r="O73" s="19"/>
      <c r="Q73" s="5"/>
    </row>
    <row r="74" spans="4:17" ht="15.75">
      <c r="G74" s="1"/>
      <c r="H74" s="1"/>
      <c r="L74" s="19"/>
      <c r="M74" s="19"/>
      <c r="N74" s="19"/>
      <c r="O74" s="19"/>
      <c r="Q74" s="5"/>
    </row>
    <row r="75" spans="4:17" ht="15.75">
      <c r="G75" s="1"/>
      <c r="H75" s="1"/>
      <c r="L75" s="19"/>
      <c r="M75" s="19"/>
      <c r="N75" s="19"/>
      <c r="O75" s="19"/>
      <c r="Q75" s="5"/>
    </row>
    <row r="76" spans="4:17" ht="15.75">
      <c r="G76" s="1"/>
      <c r="H76" s="1"/>
      <c r="L76" s="19"/>
      <c r="M76" s="19"/>
      <c r="N76" s="19"/>
      <c r="O76" s="19"/>
      <c r="Q76" s="5"/>
    </row>
    <row r="77" spans="4:17" ht="15.75">
      <c r="G77" s="1"/>
      <c r="H77" s="1"/>
      <c r="L77" s="19"/>
      <c r="M77" s="19"/>
      <c r="N77" s="19"/>
      <c r="O77" s="19"/>
      <c r="Q77" s="5"/>
    </row>
    <row r="78" spans="4:17" ht="15.75">
      <c r="G78" s="1"/>
      <c r="H78" s="1"/>
      <c r="L78" s="19"/>
      <c r="M78" s="19"/>
      <c r="N78" s="19"/>
      <c r="O78" s="19"/>
      <c r="Q78" s="5"/>
    </row>
    <row r="79" spans="4:17">
      <c r="G79" s="1"/>
      <c r="H79" s="1"/>
      <c r="Q79" s="5"/>
    </row>
    <row r="80" spans="4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  <row r="118" spans="7:17">
      <c r="G118" s="1"/>
      <c r="H118" s="1"/>
      <c r="Q118" s="5"/>
    </row>
    <row r="119" spans="7:17">
      <c r="G119" s="1"/>
      <c r="H119" s="1"/>
      <c r="Q119" s="5"/>
    </row>
    <row r="120" spans="7:17">
      <c r="G120" s="1"/>
      <c r="H120" s="1"/>
      <c r="Q120" s="5"/>
    </row>
    <row r="121" spans="7:17">
      <c r="G121" s="1"/>
      <c r="H121" s="1"/>
      <c r="Q121" s="5"/>
    </row>
    <row r="122" spans="7:17">
      <c r="G122" s="1"/>
      <c r="H122" s="1"/>
      <c r="Q122" s="5"/>
    </row>
    <row r="123" spans="7:17">
      <c r="G123" s="1"/>
      <c r="H123" s="1"/>
      <c r="Q123" s="5"/>
    </row>
    <row r="124" spans="7:17">
      <c r="G124" s="1"/>
      <c r="H124" s="1"/>
      <c r="Q124" s="5"/>
    </row>
    <row r="125" spans="7:17">
      <c r="G125" s="1"/>
      <c r="H125" s="1"/>
      <c r="Q125" s="5"/>
    </row>
    <row r="126" spans="7:17">
      <c r="G126" s="1"/>
      <c r="H126" s="1"/>
      <c r="Q126" s="5"/>
    </row>
  </sheetData>
  <mergeCells count="3">
    <mergeCell ref="B1:Q1"/>
    <mergeCell ref="B3:Q3"/>
    <mergeCell ref="B4:Q4"/>
  </mergeCells>
  <conditionalFormatting sqref="I8:I62">
    <cfRule type="cellIs" dxfId="82" priority="9" stopIfTrue="1" operator="lessThan">
      <formula>50</formula>
    </cfRule>
  </conditionalFormatting>
  <conditionalFormatting sqref="P8:P18 P20:P54 P56:P62">
    <cfRule type="cellIs" dxfId="81" priority="8" stopIfTrue="1" operator="greaterThan">
      <formula>1.8</formula>
    </cfRule>
  </conditionalFormatting>
  <conditionalFormatting sqref="Q8:Q63">
    <cfRule type="cellIs" dxfId="80" priority="7" operator="lessThan">
      <formula>350</formula>
    </cfRule>
  </conditionalFormatting>
  <conditionalFormatting sqref="R12">
    <cfRule type="cellIs" dxfId="79" priority="3" operator="greaterThan">
      <formula>1.8</formula>
    </cfRule>
  </conditionalFormatting>
  <conditionalFormatting sqref="R15">
    <cfRule type="cellIs" dxfId="78" priority="4" operator="greaterThan">
      <formula>1.8</formula>
    </cfRule>
  </conditionalFormatting>
  <conditionalFormatting sqref="R23">
    <cfRule type="cellIs" dxfId="77" priority="5" operator="greaterThan">
      <formula>1.8</formula>
    </cfRule>
  </conditionalFormatting>
  <conditionalFormatting sqref="R25">
    <cfRule type="cellIs" dxfId="76" priority="6" operator="greaterThan">
      <formula>1.8</formula>
    </cfRule>
  </conditionalFormatting>
  <conditionalFormatting sqref="R29">
    <cfRule type="cellIs" dxfId="75" priority="1" operator="greaterThan">
      <formula>1.8</formula>
    </cfRule>
  </conditionalFormatting>
  <pageMargins left="0.25" right="0.25" top="0.75" bottom="0.75" header="0.3" footer="0.3"/>
  <pageSetup scale="43" orientation="landscape" r:id="rId1"/>
  <headerFooter alignWithMargins="0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indexed="11"/>
    <pageSetUpPr fitToPage="1"/>
  </sheetPr>
  <dimension ref="B1:T125"/>
  <sheetViews>
    <sheetView topLeftCell="A4" zoomScale="85" zoomScaleNormal="85" zoomScaleSheetLayoutView="80" workbookViewId="0">
      <pane xSplit="2" ySplit="4" topLeftCell="C46" activePane="bottomRight" state="frozen"/>
      <selection activeCell="A4" sqref="A4"/>
      <selection pane="topRight" activeCell="B4" sqref="B4"/>
      <selection pane="bottomLeft" activeCell="A8" sqref="A8"/>
      <selection pane="bottomRight" activeCell="F62" sqref="F62"/>
    </sheetView>
  </sheetViews>
  <sheetFormatPr defaultRowHeight="12.75"/>
  <cols>
    <col min="1" max="1" width="2.42578125" customWidth="1"/>
    <col min="2" max="2" width="9.140625" style="1" customWidth="1"/>
    <col min="3" max="3" width="6" style="1" customWidth="1"/>
    <col min="4" max="4" width="49" style="32" bestFit="1" customWidth="1"/>
    <col min="5" max="5" width="8.85546875" style="1" customWidth="1"/>
    <col min="6" max="6" width="8.140625" style="24" customWidth="1"/>
    <col min="7" max="8" width="13.5703125" customWidth="1"/>
    <col min="9" max="9" width="10.570312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7" customWidth="1"/>
    <col min="16" max="16" width="12.42578125" style="26" customWidth="1"/>
    <col min="17" max="17" width="13.140625" style="6" customWidth="1"/>
    <col min="18" max="20" width="11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2:20" ht="27">
      <c r="B1" s="384" t="s">
        <v>0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</row>
    <row r="3" spans="2:20" ht="22.5">
      <c r="B3" s="385" t="s">
        <v>1</v>
      </c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</row>
    <row r="4" spans="2:20" ht="52.5" customHeight="1" thickBot="1">
      <c r="B4" s="386">
        <v>46082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</row>
    <row r="5" spans="2:20" ht="20.25" thickTop="1" thickBot="1">
      <c r="B5" s="2" t="s">
        <v>2</v>
      </c>
      <c r="C5" s="2" t="s">
        <v>3</v>
      </c>
      <c r="D5" s="27" t="s">
        <v>4</v>
      </c>
      <c r="E5" s="2" t="s">
        <v>37</v>
      </c>
      <c r="F5" s="20" t="s">
        <v>12</v>
      </c>
      <c r="G5" s="2" t="s">
        <v>5</v>
      </c>
      <c r="H5" s="2" t="s">
        <v>13</v>
      </c>
      <c r="I5" s="387" t="s">
        <v>26</v>
      </c>
      <c r="J5" s="2" t="s">
        <v>18</v>
      </c>
      <c r="K5" s="2" t="s">
        <v>6</v>
      </c>
      <c r="L5" s="390" t="s">
        <v>22</v>
      </c>
      <c r="M5" s="393" t="s">
        <v>24</v>
      </c>
      <c r="N5" s="393" t="s">
        <v>25</v>
      </c>
      <c r="O5" s="393" t="s">
        <v>23</v>
      </c>
      <c r="P5" s="20" t="s">
        <v>6</v>
      </c>
      <c r="Q5" s="97" t="s">
        <v>9</v>
      </c>
      <c r="R5" s="2" t="s">
        <v>20</v>
      </c>
      <c r="S5" s="336" t="s">
        <v>89</v>
      </c>
      <c r="T5" s="336" t="s">
        <v>95</v>
      </c>
    </row>
    <row r="6" spans="2:20" ht="19.5" thickTop="1">
      <c r="B6" s="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88"/>
      <c r="J6" s="8" t="s">
        <v>17</v>
      </c>
      <c r="K6" s="8" t="s">
        <v>17</v>
      </c>
      <c r="L6" s="391"/>
      <c r="M6" s="394"/>
      <c r="N6" s="394"/>
      <c r="O6" s="394"/>
      <c r="P6" s="21" t="s">
        <v>19</v>
      </c>
      <c r="Q6" s="101" t="s">
        <v>10</v>
      </c>
      <c r="R6" s="382" t="s">
        <v>21</v>
      </c>
      <c r="S6" s="337" t="s">
        <v>88</v>
      </c>
      <c r="T6" s="337" t="s">
        <v>96</v>
      </c>
    </row>
    <row r="7" spans="2:20" ht="19.5" thickBot="1">
      <c r="B7" s="8"/>
      <c r="C7" s="8"/>
      <c r="D7" s="29"/>
      <c r="E7" s="8"/>
      <c r="F7" s="22" t="s">
        <v>15</v>
      </c>
      <c r="G7" s="10"/>
      <c r="H7" s="10" t="s">
        <v>16</v>
      </c>
      <c r="I7" s="389"/>
      <c r="J7" s="10"/>
      <c r="K7" s="10"/>
      <c r="L7" s="392"/>
      <c r="M7" s="395"/>
      <c r="N7" s="395"/>
      <c r="O7" s="395"/>
      <c r="P7" s="22"/>
      <c r="Q7" s="104" t="s">
        <v>80</v>
      </c>
      <c r="R7" s="383"/>
      <c r="S7" s="338" t="s">
        <v>90</v>
      </c>
      <c r="T7" s="338" t="s">
        <v>3</v>
      </c>
    </row>
    <row r="8" spans="2:20" ht="18">
      <c r="B8" s="176">
        <v>46083</v>
      </c>
      <c r="C8" s="88">
        <v>1</v>
      </c>
      <c r="D8" s="255" t="s">
        <v>45</v>
      </c>
      <c r="E8" s="438">
        <v>1380</v>
      </c>
      <c r="F8" s="152">
        <f>[3]Mar!$N69</f>
        <v>297</v>
      </c>
      <c r="G8" s="18">
        <v>1308</v>
      </c>
      <c r="H8" s="54">
        <f t="shared" ref="H8:H18" si="0">(G8)*24/(F8/60)/17000*100</f>
        <v>37.304812834224599</v>
      </c>
      <c r="I8" s="55"/>
      <c r="J8" s="54">
        <f>SUM(88)</f>
        <v>88</v>
      </c>
      <c r="K8" s="54">
        <f>(G8)*0.066</f>
        <v>86.328000000000003</v>
      </c>
      <c r="L8" s="54">
        <f>J8-K8</f>
        <v>1.671999999999997</v>
      </c>
      <c r="M8" s="164">
        <f>[3]Mar!$AD8</f>
        <v>154</v>
      </c>
      <c r="N8" s="55">
        <v>8</v>
      </c>
      <c r="O8" s="55"/>
      <c r="P8" s="54">
        <f>(J8-K8)/J8*100</f>
        <v>1.8999999999999966</v>
      </c>
      <c r="Q8" s="55">
        <f>(G8)/(E8/60)</f>
        <v>56.869565217391305</v>
      </c>
      <c r="R8" s="16"/>
      <c r="S8" s="339">
        <f>'[4]Daily glue MAR'!$H$2</f>
        <v>1.4283536585365852E-2</v>
      </c>
      <c r="T8" s="339"/>
    </row>
    <row r="9" spans="2:20" ht="15.75">
      <c r="B9" s="176">
        <v>46083</v>
      </c>
      <c r="C9" s="88">
        <v>1</v>
      </c>
      <c r="D9" s="151" t="s">
        <v>27</v>
      </c>
      <c r="E9" s="439"/>
      <c r="F9" s="152">
        <f>[3]Mar!$N70</f>
        <v>976</v>
      </c>
      <c r="G9" s="18">
        <v>5279</v>
      </c>
      <c r="H9" s="54">
        <f t="shared" si="0"/>
        <v>45.81581485053038</v>
      </c>
      <c r="I9" s="55"/>
      <c r="J9" s="54">
        <f>SUM(88,94,57,60,101.8)-46.7</f>
        <v>354.1</v>
      </c>
      <c r="K9" s="54">
        <f t="shared" ref="K9:K61" si="1">(G9)*0.066</f>
        <v>348.41400000000004</v>
      </c>
      <c r="L9" s="54">
        <f t="shared" ref="L9:L51" si="2">J9-K9</f>
        <v>5.6859999999999786</v>
      </c>
      <c r="M9" s="164">
        <f>[3]Mar!$AD9</f>
        <v>327</v>
      </c>
      <c r="N9" s="55">
        <v>1</v>
      </c>
      <c r="O9" s="55"/>
      <c r="P9" s="54">
        <f t="shared" ref="P9:P51" si="3">(J9-K9)/J9*100</f>
        <v>1.6057610844394177</v>
      </c>
      <c r="Q9" s="55">
        <f>(G9)/(E8/60)</f>
        <v>229.52173913043478</v>
      </c>
      <c r="R9" s="16"/>
      <c r="S9" s="339">
        <f>SUM('[4]Daily glue MAR'!$H$3:$H$4)</f>
        <v>4.0099105166051661E-2</v>
      </c>
      <c r="T9" s="339"/>
    </row>
    <row r="10" spans="2:20" ht="15.75">
      <c r="B10" s="176">
        <v>46084</v>
      </c>
      <c r="C10" s="88">
        <v>2</v>
      </c>
      <c r="D10" s="151" t="s">
        <v>27</v>
      </c>
      <c r="E10" s="48">
        <v>1440</v>
      </c>
      <c r="F10" s="152">
        <f>[3]Mar!$N71</f>
        <v>1338</v>
      </c>
      <c r="G10" s="18">
        <v>6137</v>
      </c>
      <c r="H10" s="54">
        <f t="shared" si="0"/>
        <v>38.852017937219735</v>
      </c>
      <c r="I10" s="55"/>
      <c r="J10" s="54">
        <f>SUM(46.7,99.2,100.4,104,76,64)-75.3</f>
        <v>415</v>
      </c>
      <c r="K10" s="54">
        <f>(G10)*0.066+(21*0.19)</f>
        <v>409.03200000000004</v>
      </c>
      <c r="L10" s="54">
        <f t="shared" si="2"/>
        <v>5.9679999999999609</v>
      </c>
      <c r="M10" s="164">
        <f>[3]Mar!$AD10</f>
        <v>513</v>
      </c>
      <c r="N10" s="55">
        <f>4.5+2+8</f>
        <v>14.5</v>
      </c>
      <c r="O10" s="55">
        <v>21</v>
      </c>
      <c r="P10" s="54">
        <f t="shared" si="3"/>
        <v>1.4380722891566171</v>
      </c>
      <c r="Q10" s="55">
        <f>(G10)/(E10/60)</f>
        <v>255.70833333333334</v>
      </c>
      <c r="R10" s="16"/>
      <c r="S10" s="339">
        <f>SUM('[4]Daily glue MAR'!$H$5,'[4]Daily glue MAR'!$H$7)</f>
        <v>3.2425381437417578E-2</v>
      </c>
      <c r="T10" s="339"/>
    </row>
    <row r="11" spans="2:20" ht="15.75">
      <c r="B11" s="176">
        <v>46085</v>
      </c>
      <c r="C11" s="177">
        <v>3</v>
      </c>
      <c r="D11" s="151" t="s">
        <v>27</v>
      </c>
      <c r="E11" s="438">
        <v>1440</v>
      </c>
      <c r="F11" s="152">
        <f>[3]Mar!$N72</f>
        <v>509</v>
      </c>
      <c r="G11" s="18">
        <v>2653</v>
      </c>
      <c r="H11" s="54">
        <f t="shared" si="0"/>
        <v>44.150236912053629</v>
      </c>
      <c r="I11" s="55"/>
      <c r="J11" s="54">
        <f>SUM(75.3,101)</f>
        <v>176.3</v>
      </c>
      <c r="K11" s="54">
        <f>(G11)*0.066</f>
        <v>175.09800000000001</v>
      </c>
      <c r="L11" s="54">
        <f t="shared" si="2"/>
        <v>1.2019999999999982</v>
      </c>
      <c r="M11" s="164">
        <f>[3]Mar!$AD11</f>
        <v>187</v>
      </c>
      <c r="N11" s="55">
        <v>4</v>
      </c>
      <c r="O11" s="55"/>
      <c r="P11" s="54">
        <f t="shared" si="3"/>
        <v>0.68179239931934099</v>
      </c>
      <c r="Q11" s="55">
        <f t="shared" ref="Q11:Q13" si="4">(G11)/(E11/60)</f>
        <v>110.54166666666667</v>
      </c>
      <c r="R11" s="16"/>
      <c r="S11" s="339">
        <f>SUM('[4]Daily glue MAR'!$H$8)</f>
        <v>1.301991662806855E-2</v>
      </c>
      <c r="T11" s="339"/>
    </row>
    <row r="12" spans="2:20" ht="18">
      <c r="B12" s="176">
        <v>46085</v>
      </c>
      <c r="C12" s="177">
        <v>3</v>
      </c>
      <c r="D12" s="255" t="s">
        <v>45</v>
      </c>
      <c r="E12" s="439"/>
      <c r="F12" s="152">
        <f>[3]Mar!$N73</f>
        <v>751</v>
      </c>
      <c r="G12" s="18">
        <v>3701</v>
      </c>
      <c r="H12" s="54">
        <f t="shared" si="0"/>
        <v>41.743870917208419</v>
      </c>
      <c r="I12" s="55">
        <f>2*70</f>
        <v>140</v>
      </c>
      <c r="J12" s="54">
        <f>SUM(90,97.8,99)-32.1</f>
        <v>254.70000000000002</v>
      </c>
      <c r="K12" s="54">
        <f>(G12)*0.066+(27*0.19)</f>
        <v>249.39600000000002</v>
      </c>
      <c r="L12" s="54">
        <f t="shared" si="2"/>
        <v>5.304000000000002</v>
      </c>
      <c r="M12" s="164">
        <f>[3]Mar!$AD12</f>
        <v>332</v>
      </c>
      <c r="N12" s="55"/>
      <c r="O12" s="55">
        <v>27</v>
      </c>
      <c r="P12" s="54">
        <f t="shared" si="3"/>
        <v>2.0824499411071855</v>
      </c>
      <c r="Q12" s="55">
        <f>(G12)/(E11/60)</f>
        <v>154.20833333333334</v>
      </c>
      <c r="R12" s="16"/>
      <c r="S12" s="339">
        <f>SUM('[4]Daily glue MAR'!$H$9)</f>
        <v>9.0400385914134098E-3</v>
      </c>
      <c r="T12" s="339"/>
    </row>
    <row r="13" spans="2:20" ht="18.75">
      <c r="B13" s="176">
        <v>46086</v>
      </c>
      <c r="C13" s="88">
        <v>4</v>
      </c>
      <c r="D13" s="151" t="s">
        <v>45</v>
      </c>
      <c r="E13" s="438">
        <v>1435</v>
      </c>
      <c r="F13" s="152">
        <f>[3]Mar!$N74</f>
        <v>96</v>
      </c>
      <c r="G13" s="108">
        <v>481</v>
      </c>
      <c r="H13" s="54">
        <f t="shared" si="0"/>
        <v>42.441176470588239</v>
      </c>
      <c r="I13" s="55"/>
      <c r="J13" s="54">
        <v>32.1</v>
      </c>
      <c r="K13" s="54">
        <f t="shared" si="1"/>
        <v>31.746000000000002</v>
      </c>
      <c r="L13" s="54">
        <f t="shared" si="2"/>
        <v>0.3539999999999992</v>
      </c>
      <c r="M13" s="164">
        <f>[3]Mar!$AD13</f>
        <v>19</v>
      </c>
      <c r="N13" s="55">
        <v>4</v>
      </c>
      <c r="O13" s="55"/>
      <c r="P13" s="54">
        <f t="shared" si="3"/>
        <v>1.1028037383177545</v>
      </c>
      <c r="Q13" s="55">
        <f t="shared" si="4"/>
        <v>20.11149825783972</v>
      </c>
      <c r="R13" s="16"/>
      <c r="S13" s="339">
        <f>SUM('[4]Daily glue MAR'!$H$11)</f>
        <v>1.3752446183953033E-2</v>
      </c>
      <c r="T13" s="339"/>
    </row>
    <row r="14" spans="2:20" ht="15.75">
      <c r="B14" s="176">
        <v>46086</v>
      </c>
      <c r="C14" s="88">
        <v>4</v>
      </c>
      <c r="D14" s="151" t="s">
        <v>53</v>
      </c>
      <c r="E14" s="439"/>
      <c r="F14" s="152">
        <f>[3]Mar!$N75</f>
        <v>825</v>
      </c>
      <c r="G14" s="18">
        <v>3488</v>
      </c>
      <c r="H14" s="54">
        <f t="shared" si="0"/>
        <v>35.812620320855615</v>
      </c>
      <c r="I14" s="55"/>
      <c r="J14" s="54">
        <f>SUM(99,98,75,100)-50-72.9</f>
        <v>249.1</v>
      </c>
      <c r="K14" s="54">
        <f>(G14)*0.0708</f>
        <v>246.9504</v>
      </c>
      <c r="L14" s="54">
        <f t="shared" si="2"/>
        <v>2.1495999999999924</v>
      </c>
      <c r="M14" s="164">
        <f>[3]Mar!$AD14</f>
        <v>710</v>
      </c>
      <c r="N14" s="55">
        <f>10+3</f>
        <v>13</v>
      </c>
      <c r="O14" s="55"/>
      <c r="P14" s="54">
        <f t="shared" si="3"/>
        <v>0.862946607788034</v>
      </c>
      <c r="Q14" s="55">
        <f>(G14)/(E13/60)</f>
        <v>145.8397212543554</v>
      </c>
      <c r="R14" s="16"/>
      <c r="S14" s="339">
        <f>SUM('[4]Daily glue MAR'!$H$12,'[4]Daily glue MAR'!$H$13)</f>
        <v>3.1214123228048698E-2</v>
      </c>
      <c r="T14" s="423">
        <f>((J14+J15+J16)-(K15+K14+K16))/(J14+J15+J16)*100</f>
        <v>0.89903225806450293</v>
      </c>
    </row>
    <row r="15" spans="2:20" ht="15.75">
      <c r="B15" s="176">
        <v>46087</v>
      </c>
      <c r="C15" s="88">
        <v>5</v>
      </c>
      <c r="D15" s="151" t="s">
        <v>53</v>
      </c>
      <c r="E15" s="438">
        <v>1260</v>
      </c>
      <c r="F15" s="152">
        <f>[3]Mar!$N76</f>
        <v>366</v>
      </c>
      <c r="G15" s="18">
        <v>1015</v>
      </c>
      <c r="H15" s="54">
        <f t="shared" si="0"/>
        <v>23.490838958534237</v>
      </c>
      <c r="I15" s="55"/>
      <c r="J15" s="54">
        <v>72.900000000000006</v>
      </c>
      <c r="K15" s="54">
        <f>(G15)*0.0708</f>
        <v>71.861999999999995</v>
      </c>
      <c r="L15" s="54">
        <f t="shared" si="2"/>
        <v>1.0380000000000109</v>
      </c>
      <c r="M15" s="164">
        <f>[3]Mar!$AD15</f>
        <v>194</v>
      </c>
      <c r="N15" s="55">
        <v>3</v>
      </c>
      <c r="O15" s="50"/>
      <c r="P15" s="54">
        <f t="shared" si="3"/>
        <v>1.4238683127572165</v>
      </c>
      <c r="Q15" s="55">
        <f>(G15)/(E15/60)</f>
        <v>48.333333333333336</v>
      </c>
      <c r="R15" s="16"/>
      <c r="S15" s="339">
        <f>SUM('[4]Daily glue MAR'!$H$14)</f>
        <v>2.9232529118136435E-2</v>
      </c>
      <c r="T15" s="423"/>
    </row>
    <row r="16" spans="2:20" ht="15.75">
      <c r="B16" s="214">
        <v>46087</v>
      </c>
      <c r="C16" s="88">
        <v>5</v>
      </c>
      <c r="D16" s="151" t="s">
        <v>54</v>
      </c>
      <c r="E16" s="440"/>
      <c r="F16" s="152">
        <f>[3]Mar!$N77</f>
        <v>163</v>
      </c>
      <c r="G16" s="18">
        <v>704</v>
      </c>
      <c r="H16" s="54">
        <f t="shared" si="0"/>
        <v>36.58462648863226</v>
      </c>
      <c r="I16" s="55"/>
      <c r="J16" s="54">
        <v>50</v>
      </c>
      <c r="K16" s="54">
        <f>(G16)*0.0708</f>
        <v>49.843200000000003</v>
      </c>
      <c r="L16" s="54">
        <f t="shared" si="2"/>
        <v>0.15679999999999694</v>
      </c>
      <c r="M16" s="164">
        <f>[3]Mar!$AD16</f>
        <v>80</v>
      </c>
      <c r="N16" s="55">
        <v>1</v>
      </c>
      <c r="O16" s="50"/>
      <c r="P16" s="54">
        <f t="shared" si="3"/>
        <v>0.31359999999999388</v>
      </c>
      <c r="Q16" s="55">
        <f t="shared" ref="Q16" si="5">(G16)/(E15/60)</f>
        <v>33.523809523809526</v>
      </c>
      <c r="R16" s="16"/>
      <c r="S16" s="339">
        <f>SUM('[4]Daily glue MAR'!$H$15)</f>
        <v>2.1649722735674674E-2</v>
      </c>
      <c r="T16" s="423"/>
    </row>
    <row r="17" spans="2:20" ht="15.75">
      <c r="B17" s="214">
        <v>46087</v>
      </c>
      <c r="C17" s="88">
        <v>6</v>
      </c>
      <c r="D17" s="151" t="s">
        <v>44</v>
      </c>
      <c r="E17" s="439"/>
      <c r="F17" s="152">
        <f>[3]Mar!$N78</f>
        <v>512</v>
      </c>
      <c r="G17" s="185">
        <v>2795</v>
      </c>
      <c r="H17" s="54">
        <f t="shared" si="0"/>
        <v>46.240808823529413</v>
      </c>
      <c r="I17" s="55"/>
      <c r="J17" s="54">
        <f>SUM(90.6,94)</f>
        <v>184.6</v>
      </c>
      <c r="K17" s="54">
        <f>(G17)*0.066</f>
        <v>184.47</v>
      </c>
      <c r="L17" s="54">
        <f t="shared" si="2"/>
        <v>0.12999999999999545</v>
      </c>
      <c r="M17" s="164">
        <f>[3]Mar!$AD17</f>
        <v>229</v>
      </c>
      <c r="N17" s="55">
        <v>2</v>
      </c>
      <c r="O17" s="55"/>
      <c r="P17" s="54">
        <f>(J17-K17)/J17*100</f>
        <v>7.0422535211265153E-2</v>
      </c>
      <c r="Q17" s="55">
        <f>(G17)/(E15/60)</f>
        <v>133.0952380952381</v>
      </c>
      <c r="R17" s="16"/>
      <c r="S17" s="339">
        <f>SUM('[4]Daily glue MAR'!$H$16)</f>
        <v>9.7118573797678256E-3</v>
      </c>
      <c r="T17" s="339"/>
    </row>
    <row r="18" spans="2:20" ht="15.75">
      <c r="B18" s="214">
        <v>46089</v>
      </c>
      <c r="C18" s="88">
        <v>7</v>
      </c>
      <c r="D18" s="151" t="s">
        <v>45</v>
      </c>
      <c r="E18" s="48">
        <v>970</v>
      </c>
      <c r="F18" s="152">
        <f>[3]Mar!$N79</f>
        <v>621</v>
      </c>
      <c r="G18" s="18">
        <v>3630</v>
      </c>
      <c r="H18" s="54">
        <f t="shared" si="0"/>
        <v>49.514066496163686</v>
      </c>
      <c r="I18" s="55"/>
      <c r="J18" s="54">
        <f>SUM(93,94.4,89.3,86.5)-89-26</f>
        <v>248.2</v>
      </c>
      <c r="K18" s="54">
        <f>(G18)*0.066</f>
        <v>239.58</v>
      </c>
      <c r="L18" s="54">
        <f t="shared" si="2"/>
        <v>8.6199999999999761</v>
      </c>
      <c r="M18" s="164">
        <f>[3]Mar!$AD18</f>
        <v>417</v>
      </c>
      <c r="N18" s="55">
        <f>2+6</f>
        <v>8</v>
      </c>
      <c r="O18" s="55"/>
      <c r="P18" s="54">
        <f t="shared" si="3"/>
        <v>3.4730056406123997</v>
      </c>
      <c r="Q18" s="55">
        <f>(G18)/(E18/60)</f>
        <v>224.53608247422679</v>
      </c>
      <c r="R18" s="16"/>
      <c r="S18" s="339">
        <f>SUM('[4]Daily glue MAR'!$H$17:$H$18)</f>
        <v>4.6600172252661672E-2</v>
      </c>
      <c r="T18" s="339"/>
    </row>
    <row r="19" spans="2:20" ht="15.75">
      <c r="B19" s="176">
        <v>46090</v>
      </c>
      <c r="C19" s="88">
        <v>8</v>
      </c>
      <c r="D19" s="151" t="s">
        <v>45</v>
      </c>
      <c r="E19" s="48">
        <v>1440</v>
      </c>
      <c r="F19" s="152">
        <f>[3]Mar!$N80</f>
        <v>936</v>
      </c>
      <c r="G19" s="18">
        <v>5423</v>
      </c>
      <c r="H19" s="54">
        <f t="shared" ref="H19:H45" si="6">(G19)*24/(F19/60)/17000*100</f>
        <v>49.07692307692308</v>
      </c>
      <c r="I19" s="55"/>
      <c r="J19" s="54">
        <f>SUM(99.5,97.5,89,26,64.5,97.8)-7.8-101.1</f>
        <v>365.4</v>
      </c>
      <c r="K19" s="54">
        <f>(G19)*0.066</f>
        <v>357.91800000000001</v>
      </c>
      <c r="L19" s="54">
        <f t="shared" si="2"/>
        <v>7.4819999999999709</v>
      </c>
      <c r="M19" s="164">
        <f>[3]Mar!$AD19</f>
        <v>682</v>
      </c>
      <c r="N19" s="55">
        <f>4+1</f>
        <v>5</v>
      </c>
      <c r="O19" s="55"/>
      <c r="P19" s="54">
        <f t="shared" si="3"/>
        <v>2.0476190476190399</v>
      </c>
      <c r="Q19" s="55">
        <f>(G19)/(E19/60)</f>
        <v>225.95833333333334</v>
      </c>
      <c r="R19" s="16"/>
      <c r="S19" s="54">
        <f>SUM('[4]Daily glue MAR'!$H$19:$H$21)</f>
        <v>6.8556181629116517E-2</v>
      </c>
      <c r="T19" s="339"/>
    </row>
    <row r="20" spans="2:20" ht="15.75">
      <c r="B20" s="176">
        <v>46091</v>
      </c>
      <c r="C20" s="88">
        <v>9</v>
      </c>
      <c r="D20" s="151" t="s">
        <v>45</v>
      </c>
      <c r="E20" s="438">
        <v>1429</v>
      </c>
      <c r="F20" s="152">
        <f>[3]Mar!$N81</f>
        <v>974</v>
      </c>
      <c r="G20" s="18">
        <v>5844</v>
      </c>
      <c r="H20" s="54">
        <f t="shared" si="6"/>
        <v>50.823529411764703</v>
      </c>
      <c r="I20" s="55"/>
      <c r="J20" s="54">
        <f>SUM(101.1,7.8,90.5,95.3,93)</f>
        <v>387.7</v>
      </c>
      <c r="K20" s="54">
        <f t="shared" si="1"/>
        <v>385.70400000000001</v>
      </c>
      <c r="L20" s="54">
        <f t="shared" si="2"/>
        <v>1.9959999999999809</v>
      </c>
      <c r="M20" s="164">
        <f>[3]Mar!$AD20</f>
        <v>235</v>
      </c>
      <c r="N20" s="55">
        <f>5+16</f>
        <v>21</v>
      </c>
      <c r="O20" s="55"/>
      <c r="P20" s="54">
        <f t="shared" si="3"/>
        <v>0.51483105493938119</v>
      </c>
      <c r="Q20" s="55">
        <f>(G20)/(E20/60)</f>
        <v>245.37438768369489</v>
      </c>
      <c r="R20" s="16"/>
      <c r="S20" s="339">
        <f>SUM('[4]Daily glue MAR'!$H$22:$H$23)</f>
        <v>3.3044630981786595E-2</v>
      </c>
      <c r="T20" s="339"/>
    </row>
    <row r="21" spans="2:20" ht="15.75">
      <c r="B21" s="176">
        <v>46091</v>
      </c>
      <c r="C21" s="88">
        <v>9</v>
      </c>
      <c r="D21" s="151" t="s">
        <v>106</v>
      </c>
      <c r="E21" s="439"/>
      <c r="F21" s="152">
        <f>[3]Mar!$N82</f>
        <v>248</v>
      </c>
      <c r="G21" s="18">
        <v>1112</v>
      </c>
      <c r="H21" s="54">
        <f t="shared" si="6"/>
        <v>37.981024667931685</v>
      </c>
      <c r="I21" s="55"/>
      <c r="J21" s="54">
        <f>SUM(78.8,76.2)-76</f>
        <v>79</v>
      </c>
      <c r="K21" s="54">
        <f>(G21)*0.066</f>
        <v>73.39200000000001</v>
      </c>
      <c r="L21" s="54">
        <f t="shared" si="2"/>
        <v>5.6079999999999899</v>
      </c>
      <c r="M21" s="164">
        <f>[3]Mar!$AD21</f>
        <v>226</v>
      </c>
      <c r="N21" s="55">
        <v>1</v>
      </c>
      <c r="O21" s="55"/>
      <c r="P21" s="54">
        <f t="shared" si="3"/>
        <v>7.0987341772151771</v>
      </c>
      <c r="Q21" s="55">
        <f>(G21)/(E20/60)</f>
        <v>46.689993002099371</v>
      </c>
      <c r="R21" s="16"/>
      <c r="S21" s="339">
        <f>'[4]Daily glue MAR'!$H$24</f>
        <v>1.4531637717121586E-2</v>
      </c>
      <c r="T21" s="339"/>
    </row>
    <row r="22" spans="2:20" ht="15.75">
      <c r="B22" s="176">
        <v>46092</v>
      </c>
      <c r="C22" s="88">
        <v>10</v>
      </c>
      <c r="D22" s="151" t="s">
        <v>106</v>
      </c>
      <c r="E22" s="438">
        <v>1440</v>
      </c>
      <c r="F22" s="152">
        <f>[3]Mar!$N83</f>
        <v>261</v>
      </c>
      <c r="G22" s="18">
        <v>1118</v>
      </c>
      <c r="H22" s="54">
        <f>(G22)*24/(F22/60)/17000*100</f>
        <v>36.283975659229213</v>
      </c>
      <c r="I22" s="55"/>
      <c r="J22" s="54">
        <v>76</v>
      </c>
      <c r="K22" s="54">
        <f t="shared" si="1"/>
        <v>73.787999999999997</v>
      </c>
      <c r="L22" s="54">
        <f t="shared" si="2"/>
        <v>2.2120000000000033</v>
      </c>
      <c r="M22" s="164">
        <f>[3]Mar!$AD22</f>
        <v>74</v>
      </c>
      <c r="N22" s="187"/>
      <c r="O22" s="55"/>
      <c r="P22" s="54">
        <f t="shared" si="3"/>
        <v>2.9105263157894781</v>
      </c>
      <c r="Q22" s="55">
        <f>(G22)/(E22/60)</f>
        <v>46.583333333333336</v>
      </c>
      <c r="R22" s="16"/>
      <c r="S22" s="339">
        <f>'[4]Daily glue MAR'!$H$25</f>
        <v>2.4503138075313805E-2</v>
      </c>
      <c r="T22" s="339"/>
    </row>
    <row r="23" spans="2:20" ht="15.75">
      <c r="B23" s="176">
        <v>46092</v>
      </c>
      <c r="C23" s="88">
        <v>10</v>
      </c>
      <c r="D23" s="30" t="s">
        <v>107</v>
      </c>
      <c r="E23" s="440"/>
      <c r="F23" s="152">
        <f>[3]Mar!$N84</f>
        <v>462</v>
      </c>
      <c r="G23" s="18">
        <v>2182</v>
      </c>
      <c r="H23" s="54">
        <f>(G23)*24/(F23/60)/17000*100</f>
        <v>40.006111535523303</v>
      </c>
      <c r="I23" s="55"/>
      <c r="J23" s="54">
        <f>SUM(78,72)</f>
        <v>150</v>
      </c>
      <c r="K23" s="54">
        <f t="shared" si="1"/>
        <v>144.012</v>
      </c>
      <c r="L23" s="54">
        <f t="shared" si="2"/>
        <v>5.9879999999999995</v>
      </c>
      <c r="M23" s="164">
        <f>[3]Mar!$AD23</f>
        <v>178</v>
      </c>
      <c r="N23" s="55">
        <v>11</v>
      </c>
      <c r="O23" s="55"/>
      <c r="P23" s="54">
        <f t="shared" si="3"/>
        <v>3.9919999999999995</v>
      </c>
      <c r="Q23" s="55">
        <f>(G23)/(E22/60)</f>
        <v>90.916666666666671</v>
      </c>
      <c r="R23" s="16"/>
      <c r="S23" s="339">
        <f>'[4]Daily glue MAR'!$H$26</f>
        <v>3.794546436285097E-2</v>
      </c>
      <c r="T23" s="339"/>
    </row>
    <row r="24" spans="2:20" ht="15.75">
      <c r="B24" s="176">
        <v>46092</v>
      </c>
      <c r="C24" s="88">
        <v>10</v>
      </c>
      <c r="D24" s="30" t="s">
        <v>27</v>
      </c>
      <c r="E24" s="439"/>
      <c r="F24" s="152">
        <f>[3]Mar!$N85</f>
        <v>493</v>
      </c>
      <c r="G24" s="18">
        <v>3015</v>
      </c>
      <c r="H24" s="54">
        <f>(G24)*24/(F24/60)/17000*100</f>
        <v>51.80288748359385</v>
      </c>
      <c r="I24" s="55"/>
      <c r="J24" s="54">
        <f>SUM(97.2,81,97.4,94.8)-74-90.5</f>
        <v>205.90000000000003</v>
      </c>
      <c r="K24" s="54">
        <f>(G24)*0.066+(19*0.19)</f>
        <v>202.60000000000002</v>
      </c>
      <c r="L24" s="54">
        <f t="shared" si="2"/>
        <v>3.3000000000000114</v>
      </c>
      <c r="M24" s="164">
        <f>[3]Mar!$AD24</f>
        <v>272</v>
      </c>
      <c r="N24" s="187"/>
      <c r="O24" s="55">
        <v>19</v>
      </c>
      <c r="P24" s="54">
        <f t="shared" si="3"/>
        <v>1.6027197668771302</v>
      </c>
      <c r="Q24" s="55">
        <f>(G24)/(E22/60)</f>
        <v>125.625</v>
      </c>
      <c r="R24" s="16"/>
      <c r="S24" s="339">
        <f>'[4]Daily glue MAR'!$H$27</f>
        <v>1.4991999999999998E-2</v>
      </c>
      <c r="T24" s="426">
        <f>((J25+J24)-(K25+K24))/(J25+J24)*100</f>
        <v>1.2998204667863571</v>
      </c>
    </row>
    <row r="25" spans="2:20" ht="15.75">
      <c r="B25" s="176">
        <v>46093</v>
      </c>
      <c r="C25" s="88">
        <v>11</v>
      </c>
      <c r="D25" s="151" t="s">
        <v>27</v>
      </c>
      <c r="E25" s="438">
        <v>1428</v>
      </c>
      <c r="F25" s="152">
        <f>[3]Mar!$N86</f>
        <v>811</v>
      </c>
      <c r="G25" s="185">
        <v>5260</v>
      </c>
      <c r="H25" s="54">
        <f t="shared" si="6"/>
        <v>54.938710379342858</v>
      </c>
      <c r="I25" s="33"/>
      <c r="J25" s="54">
        <f>SUM(86.8,74,99.8,90.5)</f>
        <v>351.1</v>
      </c>
      <c r="K25" s="54">
        <f t="shared" si="1"/>
        <v>347.16</v>
      </c>
      <c r="L25" s="54">
        <f>J25-K25</f>
        <v>3.9399999999999977</v>
      </c>
      <c r="M25" s="164">
        <f>[3]Mar!$AD25</f>
        <v>152</v>
      </c>
      <c r="N25" s="55">
        <f>6+3</f>
        <v>9</v>
      </c>
      <c r="O25" s="55"/>
      <c r="P25" s="54">
        <f t="shared" si="3"/>
        <v>1.122187410994018</v>
      </c>
      <c r="Q25" s="55">
        <f t="shared" ref="Q25:Q38" si="7">(G25)/(E25/60)</f>
        <v>221.00840336134453</v>
      </c>
      <c r="R25" s="16"/>
      <c r="S25" s="339">
        <f>SUM('[4]Daily glue MAR'!$H$28:$H$29)</f>
        <v>4.5389626415505847E-2</v>
      </c>
      <c r="T25" s="426"/>
    </row>
    <row r="26" spans="2:20" ht="15.75">
      <c r="B26" s="176">
        <v>46093</v>
      </c>
      <c r="C26" s="88">
        <v>11</v>
      </c>
      <c r="D26" s="151" t="s">
        <v>48</v>
      </c>
      <c r="E26" s="439"/>
      <c r="F26" s="152">
        <f>[3]Mar!$N87</f>
        <v>480</v>
      </c>
      <c r="G26" s="18">
        <v>2548</v>
      </c>
      <c r="H26" s="54">
        <f t="shared" si="6"/>
        <v>44.964705882352938</v>
      </c>
      <c r="I26" s="55"/>
      <c r="J26" s="54">
        <f>SUM(90.6,95.2,91.4)-99.8-7</f>
        <v>170.40000000000003</v>
      </c>
      <c r="K26" s="54">
        <f t="shared" si="1"/>
        <v>168.16800000000001</v>
      </c>
      <c r="L26" s="54">
        <f t="shared" si="2"/>
        <v>2.2320000000000277</v>
      </c>
      <c r="M26" s="164">
        <f>[3]Mar!$AD26</f>
        <v>218</v>
      </c>
      <c r="N26" s="55">
        <v>3</v>
      </c>
      <c r="O26" s="55"/>
      <c r="P26" s="54">
        <f t="shared" si="3"/>
        <v>1.3098591549295935</v>
      </c>
      <c r="Q26" s="55">
        <f>(G26)/(E25/60)</f>
        <v>107.05882352941177</v>
      </c>
      <c r="R26" s="16"/>
      <c r="S26" s="339">
        <f>SUM('[4]Daily glue MAR'!$H$30)</f>
        <v>1.2930082796688133E-2</v>
      </c>
      <c r="T26" s="422">
        <f>((J27+J26)-(K27+K26))/(J27+J26)*100</f>
        <v>2.2347514095335792</v>
      </c>
    </row>
    <row r="27" spans="2:20" ht="15.75">
      <c r="B27" s="176">
        <v>46094</v>
      </c>
      <c r="C27" s="88">
        <v>12</v>
      </c>
      <c r="D27" s="151" t="s">
        <v>48</v>
      </c>
      <c r="E27" s="438">
        <v>1250</v>
      </c>
      <c r="F27" s="152">
        <f>[3]Mar!$N88</f>
        <v>665</v>
      </c>
      <c r="G27" s="18">
        <v>3232</v>
      </c>
      <c r="H27" s="54">
        <f t="shared" si="6"/>
        <v>41.168332596196365</v>
      </c>
      <c r="I27" s="55"/>
      <c r="J27" s="54">
        <f>SUM(17.8,95.2,99.8,7)</f>
        <v>219.8</v>
      </c>
      <c r="K27" s="54">
        <f t="shared" si="1"/>
        <v>213.31200000000001</v>
      </c>
      <c r="L27" s="54">
        <f t="shared" si="2"/>
        <v>6.4879999999999995</v>
      </c>
      <c r="M27" s="164">
        <f>[3]Mar!$AD27</f>
        <v>244</v>
      </c>
      <c r="N27" s="55">
        <f>5+2</f>
        <v>7</v>
      </c>
      <c r="O27" s="55"/>
      <c r="P27" s="54">
        <f t="shared" si="3"/>
        <v>2.9517743403093717</v>
      </c>
      <c r="Q27" s="55">
        <f t="shared" si="7"/>
        <v>155.136</v>
      </c>
      <c r="R27" s="16"/>
      <c r="S27" s="339">
        <f>SUM('[4]Daily glue MAR'!$H$31)</f>
        <v>1.1791107382550335E-2</v>
      </c>
      <c r="T27" s="422"/>
    </row>
    <row r="28" spans="2:20" ht="15.75">
      <c r="B28" s="176">
        <v>46094</v>
      </c>
      <c r="C28" s="88">
        <v>12</v>
      </c>
      <c r="D28" s="30" t="s">
        <v>44</v>
      </c>
      <c r="E28" s="439"/>
      <c r="F28" s="152">
        <f>[3]Mar!$N89</f>
        <v>250</v>
      </c>
      <c r="G28" s="18">
        <v>1462</v>
      </c>
      <c r="H28" s="54">
        <f>(G28)*24/(F28/60)/17000*100</f>
        <v>49.535999999999994</v>
      </c>
      <c r="I28" s="55"/>
      <c r="J28" s="54">
        <f>SUM(91,92.7)-10.1-77.1</f>
        <v>96.5</v>
      </c>
      <c r="K28" s="54">
        <f t="shared" si="1"/>
        <v>96.492000000000004</v>
      </c>
      <c r="L28" s="54">
        <f t="shared" si="2"/>
        <v>7.9999999999955662E-3</v>
      </c>
      <c r="M28" s="164">
        <f>[3]Mar!$AD28</f>
        <v>350</v>
      </c>
      <c r="N28" s="55">
        <v>5</v>
      </c>
      <c r="O28" s="55"/>
      <c r="P28" s="54">
        <f t="shared" si="3"/>
        <v>8.2901554404099138E-3</v>
      </c>
      <c r="Q28" s="55">
        <f>(G28)/(E27/60)</f>
        <v>70.176000000000002</v>
      </c>
      <c r="R28" s="16"/>
      <c r="S28" s="339">
        <f>SUM('[4]Daily glue MAR'!$H$33)</f>
        <v>1.9227086183310534E-2</v>
      </c>
      <c r="T28" s="339"/>
    </row>
    <row r="29" spans="2:20" ht="15.75">
      <c r="B29" s="176">
        <v>46097</v>
      </c>
      <c r="C29" s="88">
        <v>13</v>
      </c>
      <c r="D29" s="30" t="s">
        <v>44</v>
      </c>
      <c r="E29" s="48">
        <v>1380</v>
      </c>
      <c r="F29" s="152">
        <f>[3]Mar!$N90</f>
        <v>286</v>
      </c>
      <c r="G29" s="18">
        <v>1735</v>
      </c>
      <c r="H29" s="54">
        <f t="shared" si="6"/>
        <v>51.386260798025504</v>
      </c>
      <c r="I29" s="55"/>
      <c r="J29" s="54">
        <f>SUM(10.1,77.1,91,89)-77.6-75</f>
        <v>114.6</v>
      </c>
      <c r="K29" s="54">
        <f t="shared" si="1"/>
        <v>114.51</v>
      </c>
      <c r="L29" s="54">
        <f t="shared" si="2"/>
        <v>8.99999999999892E-2</v>
      </c>
      <c r="M29" s="164">
        <f>[3]Mar!$AD29</f>
        <v>1109</v>
      </c>
      <c r="N29" s="55">
        <f>5+1</f>
        <v>6</v>
      </c>
      <c r="P29" s="54">
        <f t="shared" si="3"/>
        <v>7.8534031413603142E-2</v>
      </c>
      <c r="Q29" s="55">
        <f>(G29)/(E29/60)</f>
        <v>75.434782608695656</v>
      </c>
      <c r="R29" s="16"/>
      <c r="S29" s="339">
        <f>SUM('[4]Daily glue MAR'!$H$34)</f>
        <v>2.2578313253012048E-2</v>
      </c>
      <c r="T29" s="16"/>
    </row>
    <row r="30" spans="2:20" s="234" customFormat="1" ht="15.75">
      <c r="B30" s="228">
        <v>46098</v>
      </c>
      <c r="C30" s="229"/>
      <c r="D30" s="247" t="s">
        <v>61</v>
      </c>
      <c r="E30" s="340"/>
      <c r="F30" s="248">
        <f>[3]Mar!$N91</f>
        <v>0</v>
      </c>
      <c r="G30" s="249"/>
      <c r="H30" s="227" t="e">
        <f t="shared" si="6"/>
        <v>#DIV/0!</v>
      </c>
      <c r="I30" s="232"/>
      <c r="J30" s="227"/>
      <c r="K30" s="227">
        <f t="shared" si="1"/>
        <v>0</v>
      </c>
      <c r="L30" s="227">
        <f t="shared" si="2"/>
        <v>0</v>
      </c>
      <c r="M30" s="341">
        <f>[3]Mar!$AD30</f>
        <v>1440</v>
      </c>
      <c r="N30" s="232"/>
      <c r="O30" s="232"/>
      <c r="P30" s="227" t="e">
        <f t="shared" si="3"/>
        <v>#DIV/0!</v>
      </c>
      <c r="Q30" s="232" t="e">
        <f t="shared" si="7"/>
        <v>#DIV/0!</v>
      </c>
      <c r="R30" s="233"/>
      <c r="S30" s="342"/>
      <c r="T30" s="233"/>
    </row>
    <row r="31" spans="2:20" ht="15.75">
      <c r="B31" s="92">
        <v>46099</v>
      </c>
      <c r="C31" s="177">
        <v>14</v>
      </c>
      <c r="D31" s="151" t="s">
        <v>44</v>
      </c>
      <c r="E31" s="438">
        <v>1440</v>
      </c>
      <c r="F31" s="152">
        <f>[3]Mar!$N92</f>
        <v>427</v>
      </c>
      <c r="G31" s="18">
        <v>2353</v>
      </c>
      <c r="H31" s="54">
        <f t="shared" si="6"/>
        <v>46.677503788400607</v>
      </c>
      <c r="I31" s="55"/>
      <c r="J31" s="54">
        <f>SUM(77.6,75,3)</f>
        <v>155.6</v>
      </c>
      <c r="K31" s="54">
        <f t="shared" si="1"/>
        <v>155.298</v>
      </c>
      <c r="L31" s="54">
        <f t="shared" si="2"/>
        <v>0.3019999999999925</v>
      </c>
      <c r="M31" s="164">
        <f>[3]Mar!$AD31</f>
        <v>605</v>
      </c>
      <c r="N31" s="55">
        <f>2+2</f>
        <v>4</v>
      </c>
      <c r="O31" s="55"/>
      <c r="P31" s="54">
        <f t="shared" si="3"/>
        <v>0.19408740359896692</v>
      </c>
      <c r="Q31" s="55">
        <f t="shared" si="7"/>
        <v>98.041666666666671</v>
      </c>
      <c r="R31" s="16"/>
      <c r="S31" s="343"/>
      <c r="T31" s="16"/>
    </row>
    <row r="32" spans="2:20" ht="15.75">
      <c r="B32" s="178">
        <v>46099</v>
      </c>
      <c r="C32" s="88">
        <v>14</v>
      </c>
      <c r="D32" s="151" t="s">
        <v>45</v>
      </c>
      <c r="E32" s="439"/>
      <c r="F32" s="152">
        <f>[3]Mar!$N93</f>
        <v>435</v>
      </c>
      <c r="G32" s="18">
        <v>3171</v>
      </c>
      <c r="H32" s="54">
        <f t="shared" si="6"/>
        <v>61.747667342799197</v>
      </c>
      <c r="I32" s="55"/>
      <c r="J32" s="54">
        <f>SUM(77,99,88.5,99)-70.5-79</f>
        <v>214</v>
      </c>
      <c r="K32" s="54">
        <f t="shared" si="1"/>
        <v>209.286</v>
      </c>
      <c r="L32" s="54">
        <f t="shared" si="2"/>
        <v>4.7139999999999986</v>
      </c>
      <c r="M32" s="164">
        <f>[3]Mar!$AD32</f>
        <v>133</v>
      </c>
      <c r="N32" s="55">
        <v>6</v>
      </c>
      <c r="O32" s="55">
        <f>61+39</f>
        <v>100</v>
      </c>
      <c r="P32" s="54">
        <f t="shared" si="3"/>
        <v>2.2028037383177561</v>
      </c>
      <c r="Q32" s="55">
        <f>(G32)/(E31/60)</f>
        <v>132.125</v>
      </c>
      <c r="R32" s="16"/>
      <c r="S32" s="339">
        <f>'[4]Daily glue MAR'!$H$42</f>
        <v>1.5865221808330509E-2</v>
      </c>
      <c r="T32" s="16"/>
    </row>
    <row r="33" spans="2:20" ht="15.75">
      <c r="B33" s="178">
        <v>46100</v>
      </c>
      <c r="C33" s="88">
        <v>15</v>
      </c>
      <c r="D33" s="151" t="s">
        <v>45</v>
      </c>
      <c r="E33" s="438">
        <v>1430</v>
      </c>
      <c r="F33" s="152">
        <f>[3]Mar!$N94</f>
        <v>938</v>
      </c>
      <c r="G33" s="18">
        <v>7581</v>
      </c>
      <c r="H33" s="54">
        <f t="shared" si="6"/>
        <v>68.460052677787544</v>
      </c>
      <c r="I33" s="55"/>
      <c r="J33" s="428">
        <f>SUM(81,70.5,79,93.5,95.7,98.4,95.8,94,91.6)-61.3</f>
        <v>738.2</v>
      </c>
      <c r="K33" s="428">
        <f>(G33+G34+G35)*0.066</f>
        <v>726.52800000000002</v>
      </c>
      <c r="L33" s="428">
        <f t="shared" si="2"/>
        <v>11.672000000000025</v>
      </c>
      <c r="M33" s="164">
        <f>[3]Mar!$AD33</f>
        <v>129</v>
      </c>
      <c r="N33" s="406">
        <f>8+2+2</f>
        <v>12</v>
      </c>
      <c r="O33" s="55"/>
      <c r="P33" s="428">
        <f t="shared" si="3"/>
        <v>1.5811433215930677</v>
      </c>
      <c r="Q33" s="55">
        <f t="shared" si="7"/>
        <v>318.08391608391611</v>
      </c>
      <c r="R33" s="16"/>
      <c r="S33" s="339">
        <f>SUM('[4]Daily glue MAR'!$H$43)</f>
        <v>1.1107744994731297E-2</v>
      </c>
      <c r="T33" s="16"/>
    </row>
    <row r="34" spans="2:20" ht="15.75">
      <c r="B34" s="178">
        <v>46100</v>
      </c>
      <c r="C34" s="88">
        <v>15</v>
      </c>
      <c r="D34" s="151" t="s">
        <v>108</v>
      </c>
      <c r="E34" s="440"/>
      <c r="F34" s="152">
        <f>[3]Mar!$N95</f>
        <v>190</v>
      </c>
      <c r="G34" s="18">
        <v>1529</v>
      </c>
      <c r="H34" s="54">
        <f t="shared" si="6"/>
        <v>68.165944272445827</v>
      </c>
      <c r="I34" s="55"/>
      <c r="J34" s="428"/>
      <c r="K34" s="428"/>
      <c r="L34" s="428"/>
      <c r="M34" s="164">
        <f>[3]Mar!$AD34</f>
        <v>58</v>
      </c>
      <c r="N34" s="406"/>
      <c r="O34" s="55"/>
      <c r="P34" s="428"/>
      <c r="Q34" s="55">
        <f>(G34)/(E33/60)</f>
        <v>64.15384615384616</v>
      </c>
      <c r="R34" s="16"/>
      <c r="S34" s="441">
        <f>SUM('[4]Daily glue MAR'!$H$45)</f>
        <v>2.1760928961748634E-2</v>
      </c>
      <c r="T34" s="16"/>
    </row>
    <row r="35" spans="2:20" ht="15.75">
      <c r="B35" s="178">
        <v>46100</v>
      </c>
      <c r="C35" s="88">
        <v>15</v>
      </c>
      <c r="D35" s="151" t="s">
        <v>45</v>
      </c>
      <c r="E35" s="439"/>
      <c r="F35" s="152">
        <f>[3]Mar!$N96</f>
        <v>221</v>
      </c>
      <c r="G35" s="18">
        <v>1898</v>
      </c>
      <c r="H35" s="54">
        <f t="shared" si="6"/>
        <v>72.747404844290671</v>
      </c>
      <c r="I35" s="55"/>
      <c r="J35" s="428"/>
      <c r="K35" s="428"/>
      <c r="L35" s="428"/>
      <c r="M35" s="164">
        <f>[3]Mar!$AD35</f>
        <v>53</v>
      </c>
      <c r="N35" s="406"/>
      <c r="O35" s="55"/>
      <c r="P35" s="428"/>
      <c r="Q35" s="55">
        <f>(G35)/(E33/60)</f>
        <v>79.63636363636364</v>
      </c>
      <c r="R35" s="16"/>
      <c r="S35" s="441"/>
      <c r="T35" s="16"/>
    </row>
    <row r="36" spans="2:20" ht="15.75">
      <c r="B36" s="178">
        <v>46101</v>
      </c>
      <c r="C36" s="88">
        <v>16</v>
      </c>
      <c r="D36" s="151" t="s">
        <v>45</v>
      </c>
      <c r="E36" s="438">
        <v>1250</v>
      </c>
      <c r="F36" s="152">
        <f>[3]Mar!$N97</f>
        <v>696</v>
      </c>
      <c r="G36" s="18">
        <v>5065</v>
      </c>
      <c r="H36" s="54">
        <f t="shared" si="6"/>
        <v>61.643002028397575</v>
      </c>
      <c r="I36" s="55"/>
      <c r="J36" s="54">
        <f>SUM(61.3,85.2,73.7,74,43.5)</f>
        <v>337.7</v>
      </c>
      <c r="K36" s="54">
        <f t="shared" ref="K36" si="8">(G36)*0.066</f>
        <v>334.29</v>
      </c>
      <c r="L36" s="54">
        <f t="shared" ref="L36" si="9">J36-K36</f>
        <v>3.4099999999999682</v>
      </c>
      <c r="M36" s="164">
        <f>[3]Mar!$AD36</f>
        <v>160</v>
      </c>
      <c r="N36" s="55">
        <f>4+3</f>
        <v>7</v>
      </c>
      <c r="O36" s="55"/>
      <c r="P36" s="54">
        <f>(J36-K36)/J36*100</f>
        <v>1.0097719869706745</v>
      </c>
      <c r="Q36" s="55">
        <f t="shared" si="7"/>
        <v>243.12</v>
      </c>
      <c r="R36" s="16"/>
      <c r="S36" s="339">
        <f>SUM('[4]Daily glue MAR'!$H$46:$H$47)</f>
        <v>4.6303005631982183E-2</v>
      </c>
      <c r="T36" s="16"/>
    </row>
    <row r="37" spans="2:20" ht="15.75">
      <c r="B37" s="178">
        <v>46101</v>
      </c>
      <c r="C37" s="88">
        <v>16</v>
      </c>
      <c r="D37" s="151" t="s">
        <v>27</v>
      </c>
      <c r="E37" s="439"/>
      <c r="F37" s="152">
        <f>[3]Mar!$N98</f>
        <v>322</v>
      </c>
      <c r="G37" s="18">
        <v>2325</v>
      </c>
      <c r="H37" s="54">
        <f t="shared" si="6"/>
        <v>61.16185604676653</v>
      </c>
      <c r="I37" s="55">
        <f>350+48</f>
        <v>398</v>
      </c>
      <c r="J37" s="54">
        <f>SUM(72,76,28.6)-20.8</f>
        <v>155.79999999999998</v>
      </c>
      <c r="K37" s="54">
        <f t="shared" ref="K37" si="10">(G37)*0.066</f>
        <v>153.45000000000002</v>
      </c>
      <c r="L37" s="54">
        <f t="shared" ref="L37:L38" si="11">J37-K37</f>
        <v>2.3499999999999659</v>
      </c>
      <c r="M37" s="164">
        <f>[3]Mar!$AD37</f>
        <v>163</v>
      </c>
      <c r="N37" s="38">
        <v>11</v>
      </c>
      <c r="O37" s="55"/>
      <c r="P37" s="54">
        <f t="shared" si="3"/>
        <v>1.5083440308087075</v>
      </c>
      <c r="Q37" s="55">
        <f>(G37)/(E36/60)</f>
        <v>111.60000000000001</v>
      </c>
      <c r="R37" s="16"/>
      <c r="S37" s="339">
        <f>SUM('[4]Daily glue MAR'!$H$48)</f>
        <v>2.6426269137792099E-2</v>
      </c>
      <c r="T37" s="16"/>
    </row>
    <row r="38" spans="2:20" ht="15.75">
      <c r="B38" s="178">
        <v>46104</v>
      </c>
      <c r="C38" s="88">
        <v>17</v>
      </c>
      <c r="D38" s="151" t="s">
        <v>27</v>
      </c>
      <c r="E38" s="442">
        <v>1380</v>
      </c>
      <c r="F38" s="152">
        <f>[3]Mar!$N99</f>
        <v>533</v>
      </c>
      <c r="G38" s="18">
        <v>4172</v>
      </c>
      <c r="H38" s="54">
        <f t="shared" si="6"/>
        <v>66.302615605341586</v>
      </c>
      <c r="I38" s="55"/>
      <c r="J38" s="54">
        <f>SUM(96.3,86.3,103)</f>
        <v>285.60000000000002</v>
      </c>
      <c r="K38" s="54">
        <f>(G38)*0.066+(20*0.19)</f>
        <v>279.15200000000004</v>
      </c>
      <c r="L38" s="54">
        <f t="shared" si="11"/>
        <v>6.4479999999999791</v>
      </c>
      <c r="M38" s="164">
        <f>[3]Mar!$AD38</f>
        <v>127</v>
      </c>
      <c r="N38" s="38">
        <f>7+3</f>
        <v>10</v>
      </c>
      <c r="O38" s="55">
        <v>20</v>
      </c>
      <c r="P38" s="54">
        <f t="shared" si="3"/>
        <v>2.2577030812324854</v>
      </c>
      <c r="Q38" s="55">
        <f t="shared" si="7"/>
        <v>181.39130434782609</v>
      </c>
      <c r="R38" s="16"/>
      <c r="S38" s="339">
        <f>SUM('[4]Daily glue MAR'!$H$49)</f>
        <v>2.4631966351209251E-2</v>
      </c>
      <c r="T38" s="16"/>
    </row>
    <row r="39" spans="2:20" ht="15.75">
      <c r="B39" s="92">
        <v>46104</v>
      </c>
      <c r="C39" s="88">
        <v>17</v>
      </c>
      <c r="D39" s="30" t="s">
        <v>45</v>
      </c>
      <c r="E39" s="443"/>
      <c r="F39" s="152">
        <f>[3]Mar!$N100</f>
        <v>378</v>
      </c>
      <c r="G39" s="18">
        <v>2915</v>
      </c>
      <c r="H39" s="54">
        <f t="shared" si="6"/>
        <v>65.322128851540612</v>
      </c>
      <c r="I39" s="55"/>
      <c r="J39" s="428">
        <f>SUM(94,89.6,96,96)-14</f>
        <v>361.6</v>
      </c>
      <c r="K39" s="428">
        <f>(G39+G40)*0.066+(79*0.19)</f>
        <v>352.73200000000003</v>
      </c>
      <c r="L39" s="428">
        <f>J39-K39</f>
        <v>8.867999999999995</v>
      </c>
      <c r="M39" s="164">
        <f>[3]Mar!$AD39</f>
        <v>72</v>
      </c>
      <c r="N39" s="38">
        <v>15</v>
      </c>
      <c r="O39" s="55">
        <v>79</v>
      </c>
      <c r="P39" s="428">
        <f>(J39-K39)/J39*100</f>
        <v>2.4524336283185826</v>
      </c>
      <c r="Q39" s="55">
        <f>(G39)/(E38/60)</f>
        <v>126.73913043478261</v>
      </c>
      <c r="R39" s="16"/>
      <c r="S39" s="218"/>
      <c r="T39" s="16"/>
    </row>
    <row r="40" spans="2:20" ht="15.75">
      <c r="B40" s="92">
        <v>46104</v>
      </c>
      <c r="C40" s="88">
        <v>17</v>
      </c>
      <c r="D40" s="30" t="s">
        <v>108</v>
      </c>
      <c r="E40" s="444"/>
      <c r="F40" s="152">
        <f>[3]Mar!$N101</f>
        <v>312</v>
      </c>
      <c r="G40" s="18">
        <v>2202</v>
      </c>
      <c r="H40" s="54">
        <f t="shared" si="6"/>
        <v>59.782805429864247</v>
      </c>
      <c r="I40" s="55"/>
      <c r="J40" s="428"/>
      <c r="K40" s="428"/>
      <c r="L40" s="428"/>
      <c r="M40" s="164">
        <f>[3]Mar!$AD40</f>
        <v>74</v>
      </c>
      <c r="N40" s="55">
        <v>5</v>
      </c>
      <c r="O40" s="55"/>
      <c r="P40" s="428"/>
      <c r="Q40" s="55">
        <f>(G40)/(E38/60)</f>
        <v>95.739130434782609</v>
      </c>
      <c r="R40" s="16"/>
      <c r="S40" s="218"/>
      <c r="T40" s="16"/>
    </row>
    <row r="41" spans="2:20" ht="15.75">
      <c r="B41" s="92">
        <v>46105</v>
      </c>
      <c r="C41" s="88">
        <v>18</v>
      </c>
      <c r="D41" s="30" t="s">
        <v>109</v>
      </c>
      <c r="E41" s="432">
        <v>1440</v>
      </c>
      <c r="F41" s="436">
        <f>[3]Mar!$N102</f>
        <v>243</v>
      </c>
      <c r="G41" s="185">
        <v>230</v>
      </c>
      <c r="H41" s="428">
        <f>(G41+G42)*24/(F41/60)/17000*100</f>
        <v>49.010893246187365</v>
      </c>
      <c r="I41" s="55"/>
      <c r="J41" s="428">
        <f>SUM(96.5)</f>
        <v>96.5</v>
      </c>
      <c r="K41" s="428">
        <f>(G41+G42)*0.066</f>
        <v>92.796000000000006</v>
      </c>
      <c r="L41" s="428">
        <f t="shared" si="2"/>
        <v>3.7039999999999935</v>
      </c>
      <c r="M41" s="437">
        <f>[3]Mar!$AD41</f>
        <v>356</v>
      </c>
      <c r="N41" s="406">
        <v>10</v>
      </c>
      <c r="O41" s="55"/>
      <c r="P41" s="428">
        <f>(J41-K41)/J41*100</f>
        <v>3.8383419689119105</v>
      </c>
      <c r="Q41" s="55">
        <f>(G41)/(E41/60)</f>
        <v>9.5833333333333339</v>
      </c>
      <c r="R41" s="16"/>
      <c r="S41" s="435">
        <f>SUM('[4]Daily glue MAR'!$H$52:$H$53)</f>
        <v>4.9230064520170369E-2</v>
      </c>
      <c r="T41" s="16"/>
    </row>
    <row r="42" spans="2:20" ht="15.75">
      <c r="B42" s="92">
        <v>46105</v>
      </c>
      <c r="C42" s="88">
        <v>18</v>
      </c>
      <c r="D42" s="30" t="s">
        <v>110</v>
      </c>
      <c r="E42" s="433"/>
      <c r="F42" s="436"/>
      <c r="G42" s="18">
        <v>1176</v>
      </c>
      <c r="H42" s="428"/>
      <c r="I42" s="55"/>
      <c r="J42" s="428"/>
      <c r="K42" s="428"/>
      <c r="L42" s="428"/>
      <c r="M42" s="437"/>
      <c r="N42" s="406"/>
      <c r="O42" s="55"/>
      <c r="P42" s="428"/>
      <c r="Q42" s="55">
        <f>(G42)/(E41/60)</f>
        <v>49</v>
      </c>
      <c r="R42" s="16"/>
      <c r="S42" s="435"/>
      <c r="T42" s="16"/>
    </row>
    <row r="43" spans="2:20" ht="15.75">
      <c r="B43" s="92">
        <v>46105</v>
      </c>
      <c r="C43" s="88">
        <v>18</v>
      </c>
      <c r="D43" s="30" t="s">
        <v>48</v>
      </c>
      <c r="E43" s="434"/>
      <c r="F43" s="152">
        <f>[3]Mar!$N103</f>
        <v>617</v>
      </c>
      <c r="G43" s="18">
        <v>4537</v>
      </c>
      <c r="H43" s="54">
        <f t="shared" si="6"/>
        <v>62.286967299075222</v>
      </c>
      <c r="I43" s="55"/>
      <c r="J43" s="54">
        <f>SUM(98.5,96,103.1,105.5)-94.4</f>
        <v>308.70000000000005</v>
      </c>
      <c r="K43" s="54">
        <f>(G43)*0.066</f>
        <v>299.44200000000001</v>
      </c>
      <c r="L43" s="54">
        <f t="shared" si="2"/>
        <v>9.2580000000000382</v>
      </c>
      <c r="M43" s="164">
        <f>[3]Mar!$AD42</f>
        <v>370</v>
      </c>
      <c r="N43" s="55">
        <v>6</v>
      </c>
      <c r="O43" s="55"/>
      <c r="P43" s="54">
        <f t="shared" si="3"/>
        <v>2.999028182701664</v>
      </c>
      <c r="Q43" s="55">
        <f>(G43)/(E41/60)</f>
        <v>189.04166666666666</v>
      </c>
      <c r="R43" s="16"/>
      <c r="S43" s="339">
        <f>SUM('[4]Daily glue MAR'!$H$54)</f>
        <v>2.2309523809523807E-2</v>
      </c>
      <c r="T43" s="16"/>
    </row>
    <row r="44" spans="2:20" ht="15.75">
      <c r="B44" s="92">
        <v>46106</v>
      </c>
      <c r="C44" s="88">
        <v>19</v>
      </c>
      <c r="D44" s="30" t="s">
        <v>48</v>
      </c>
      <c r="E44" s="432">
        <v>1440</v>
      </c>
      <c r="F44" s="152">
        <f>[3]Mar!$N104</f>
        <v>382</v>
      </c>
      <c r="G44" s="18">
        <v>2779</v>
      </c>
      <c r="H44" s="54">
        <f t="shared" si="6"/>
        <v>61.622420696027106</v>
      </c>
      <c r="I44" s="55"/>
      <c r="J44" s="54">
        <f>SUM(92,94.4)</f>
        <v>186.4</v>
      </c>
      <c r="K44" s="54">
        <f>(G44)*0.066</f>
        <v>183.41400000000002</v>
      </c>
      <c r="L44" s="54">
        <f t="shared" si="2"/>
        <v>2.98599999999999</v>
      </c>
      <c r="M44" s="164">
        <f>[3]Mar!$AD43</f>
        <v>142</v>
      </c>
      <c r="N44" s="55">
        <v>9</v>
      </c>
      <c r="O44" s="55"/>
      <c r="P44" s="54">
        <f t="shared" si="3"/>
        <v>1.6019313304720975</v>
      </c>
      <c r="Q44" s="55">
        <f>(G44)/(E44/60)</f>
        <v>115.79166666666667</v>
      </c>
      <c r="R44" s="16"/>
      <c r="S44" s="339">
        <f>'[4]Daily glue MAR'!$H$55</f>
        <v>1.3623586429725363E-2</v>
      </c>
      <c r="T44" s="16"/>
    </row>
    <row r="45" spans="2:20" ht="18.75">
      <c r="B45" s="92">
        <v>46106</v>
      </c>
      <c r="C45" s="88">
        <v>19</v>
      </c>
      <c r="D45" s="30" t="s">
        <v>111</v>
      </c>
      <c r="E45" s="433"/>
      <c r="F45" s="152">
        <f>[3]Mar!$N105</f>
        <v>30</v>
      </c>
      <c r="G45" s="18">
        <v>146</v>
      </c>
      <c r="H45" s="54">
        <f t="shared" si="6"/>
        <v>41.223529411764702</v>
      </c>
      <c r="I45" s="55"/>
      <c r="J45" s="54">
        <f>K45</f>
        <v>9.636000000000001</v>
      </c>
      <c r="K45" s="54">
        <f t="shared" si="1"/>
        <v>9.636000000000001</v>
      </c>
      <c r="L45" s="54">
        <f t="shared" si="2"/>
        <v>0</v>
      </c>
      <c r="M45" s="164">
        <f>[3]Mar!$AD44</f>
        <v>200</v>
      </c>
      <c r="N45" s="55"/>
      <c r="O45" s="55"/>
      <c r="P45" s="265">
        <f>(J45-K45)/J45*100</f>
        <v>0</v>
      </c>
      <c r="Q45" s="55">
        <f>(G45)/(E44/60)</f>
        <v>6.083333333333333</v>
      </c>
      <c r="R45" s="16"/>
      <c r="S45" s="435">
        <f>'[4]Daily glue MAR'!$H$57</f>
        <v>1.5774410774410774E-2</v>
      </c>
      <c r="T45" s="16"/>
    </row>
    <row r="46" spans="2:20" ht="15.75">
      <c r="B46" s="92">
        <v>46106</v>
      </c>
      <c r="C46" s="88">
        <v>19</v>
      </c>
      <c r="D46" s="30" t="s">
        <v>125</v>
      </c>
      <c r="E46" s="433"/>
      <c r="F46" s="152">
        <f>[3]Mar!$N106</f>
        <v>191</v>
      </c>
      <c r="G46" s="18">
        <v>642</v>
      </c>
      <c r="H46" s="54">
        <f t="shared" ref="H46:H61" si="12">(G46)*24/(F46/60)/17000*100</f>
        <v>28.471820141669234</v>
      </c>
      <c r="I46" s="55"/>
      <c r="J46" s="184">
        <f>(700)*0.066</f>
        <v>46.2</v>
      </c>
      <c r="K46" s="54">
        <f t="shared" si="1"/>
        <v>42.372</v>
      </c>
      <c r="L46" s="54">
        <f t="shared" si="2"/>
        <v>3.828000000000003</v>
      </c>
      <c r="M46" s="164">
        <f>[3]Mar!$AD45</f>
        <v>73</v>
      </c>
      <c r="N46" s="55">
        <v>12</v>
      </c>
      <c r="O46" s="55"/>
      <c r="P46" s="54">
        <f t="shared" si="3"/>
        <v>8.2857142857142918</v>
      </c>
      <c r="Q46" s="55">
        <f>(G46)/(E44/60)</f>
        <v>26.75</v>
      </c>
      <c r="R46" s="16"/>
      <c r="S46" s="435"/>
      <c r="T46" s="16"/>
    </row>
    <row r="47" spans="2:20" ht="15.75">
      <c r="B47" s="92">
        <v>46106</v>
      </c>
      <c r="C47" s="88">
        <v>19</v>
      </c>
      <c r="D47" s="30" t="s">
        <v>124</v>
      </c>
      <c r="E47" s="434"/>
      <c r="F47" s="152">
        <f>[3]Mar!$N107</f>
        <v>466</v>
      </c>
      <c r="G47" s="18">
        <v>1369</v>
      </c>
      <c r="H47" s="54">
        <f t="shared" si="12"/>
        <v>24.884625094673062</v>
      </c>
      <c r="I47" s="55"/>
      <c r="J47" s="184">
        <f>(1400)*0.066</f>
        <v>92.4</v>
      </c>
      <c r="K47" s="54">
        <f t="shared" si="1"/>
        <v>90.353999999999999</v>
      </c>
      <c r="L47" s="54">
        <f t="shared" si="2"/>
        <v>2.0460000000000065</v>
      </c>
      <c r="M47" s="164">
        <f>[3]Mar!$AD46</f>
        <v>359</v>
      </c>
      <c r="N47" s="55">
        <v>2</v>
      </c>
      <c r="O47" s="55"/>
      <c r="P47" s="54">
        <f t="shared" si="3"/>
        <v>2.2142857142857211</v>
      </c>
      <c r="Q47" s="55">
        <f>(G47)/(E44/60)</f>
        <v>57.041666666666664</v>
      </c>
      <c r="R47" s="16"/>
      <c r="S47" s="435"/>
      <c r="T47" s="16"/>
    </row>
    <row r="48" spans="2:20" ht="15.75">
      <c r="B48" s="92">
        <v>46107</v>
      </c>
      <c r="C48" s="88">
        <v>20</v>
      </c>
      <c r="D48" s="30" t="s">
        <v>120</v>
      </c>
      <c r="E48" s="432">
        <v>1440</v>
      </c>
      <c r="F48" s="152">
        <f>[3]Mar!$N108</f>
        <v>314</v>
      </c>
      <c r="G48" s="18">
        <v>1337</v>
      </c>
      <c r="H48" s="54">
        <f>(G48)*24/(F48/60)/17000*100</f>
        <v>36.067440989134511</v>
      </c>
      <c r="I48" s="55"/>
      <c r="J48" s="184">
        <f>(1400)*0.066</f>
        <v>92.4</v>
      </c>
      <c r="K48" s="54">
        <f t="shared" si="1"/>
        <v>88.242000000000004</v>
      </c>
      <c r="L48" s="54">
        <f t="shared" si="2"/>
        <v>4.1580000000000013</v>
      </c>
      <c r="M48" s="164">
        <f>[3]Mar!$AD47</f>
        <v>360</v>
      </c>
      <c r="N48" s="55">
        <v>3</v>
      </c>
      <c r="O48" s="55"/>
      <c r="P48" s="54">
        <f t="shared" si="3"/>
        <v>4.5000000000000009</v>
      </c>
      <c r="Q48" s="55">
        <f>(G48)/(E48/60)</f>
        <v>55.708333333333336</v>
      </c>
      <c r="R48" s="16"/>
      <c r="S48" s="339">
        <f>'[4]Daily glue MAR'!$H$58</f>
        <v>2.3523012552301256E-2</v>
      </c>
      <c r="T48" s="16"/>
    </row>
    <row r="49" spans="2:20" ht="15.75">
      <c r="B49" s="92">
        <v>46107</v>
      </c>
      <c r="C49" s="88">
        <v>20</v>
      </c>
      <c r="D49" s="30" t="s">
        <v>121</v>
      </c>
      <c r="E49" s="433"/>
      <c r="F49" s="152">
        <f>[3]Mar!$N109</f>
        <v>264</v>
      </c>
      <c r="G49" s="185">
        <v>1453</v>
      </c>
      <c r="H49" s="54">
        <f t="shared" ref="H49:H51" si="13">(G49)*24/(F49/60)/17000*100</f>
        <v>46.62032085561497</v>
      </c>
      <c r="I49" s="55"/>
      <c r="J49" s="184">
        <f>(1400)*0.066</f>
        <v>92.4</v>
      </c>
      <c r="K49" s="54">
        <f t="shared" si="1"/>
        <v>95.89800000000001</v>
      </c>
      <c r="L49" s="54">
        <f t="shared" si="2"/>
        <v>-3.4980000000000047</v>
      </c>
      <c r="M49" s="164">
        <f>[3]Mar!$AD48</f>
        <v>107</v>
      </c>
      <c r="N49" s="187"/>
      <c r="O49" s="55"/>
      <c r="P49" s="184">
        <f t="shared" si="3"/>
        <v>-3.7857142857142909</v>
      </c>
      <c r="Q49" s="55">
        <f>(G49)/(E48/60)</f>
        <v>60.541666666666664</v>
      </c>
      <c r="R49" s="16"/>
      <c r="S49" s="218"/>
      <c r="T49" s="16"/>
    </row>
    <row r="50" spans="2:20" ht="15.75">
      <c r="B50" s="92">
        <v>46107</v>
      </c>
      <c r="C50" s="88">
        <v>20</v>
      </c>
      <c r="D50" s="30" t="s">
        <v>122</v>
      </c>
      <c r="E50" s="433"/>
      <c r="F50" s="152">
        <f>[3]Mar!$N110</f>
        <v>266</v>
      </c>
      <c r="G50" s="185">
        <v>1369</v>
      </c>
      <c r="H50" s="54">
        <f t="shared" si="13"/>
        <v>43.594869526758075</v>
      </c>
      <c r="I50" s="55"/>
      <c r="J50" s="184">
        <f>(1400)*0.066</f>
        <v>92.4</v>
      </c>
      <c r="K50" s="54">
        <f t="shared" si="1"/>
        <v>90.353999999999999</v>
      </c>
      <c r="L50" s="54">
        <f t="shared" si="2"/>
        <v>2.0460000000000065</v>
      </c>
      <c r="M50" s="164">
        <f>[3]Mar!$AD49</f>
        <v>97</v>
      </c>
      <c r="N50" s="187"/>
      <c r="O50" s="55"/>
      <c r="P50" s="54">
        <f t="shared" si="3"/>
        <v>2.2142857142857211</v>
      </c>
      <c r="Q50" s="55">
        <f>(G50)/(E48/60)</f>
        <v>57.041666666666664</v>
      </c>
      <c r="R50" s="16"/>
      <c r="S50" s="218"/>
      <c r="T50" s="16"/>
    </row>
    <row r="51" spans="2:20" ht="15.75">
      <c r="B51" s="92">
        <v>46107</v>
      </c>
      <c r="C51" s="88">
        <v>20</v>
      </c>
      <c r="D51" s="30" t="s">
        <v>123</v>
      </c>
      <c r="E51" s="434"/>
      <c r="F51" s="152">
        <f>[3]Mar!$N111</f>
        <v>178</v>
      </c>
      <c r="G51" s="185">
        <v>959</v>
      </c>
      <c r="H51" s="54">
        <f t="shared" si="13"/>
        <v>45.636483807005952</v>
      </c>
      <c r="I51" s="55"/>
      <c r="J51" s="184">
        <f>(960)*0.066</f>
        <v>63.36</v>
      </c>
      <c r="K51" s="54">
        <f t="shared" si="1"/>
        <v>63.294000000000004</v>
      </c>
      <c r="L51" s="54">
        <f t="shared" si="2"/>
        <v>6.5999999999995396E-2</v>
      </c>
      <c r="M51" s="164">
        <f>[3]Mar!$AD50</f>
        <v>109</v>
      </c>
      <c r="N51" s="187"/>
      <c r="O51" s="55"/>
      <c r="P51" s="54">
        <f t="shared" si="3"/>
        <v>0.1041666666666594</v>
      </c>
      <c r="Q51" s="55">
        <f>(G51)/(E48/60)</f>
        <v>39.958333333333336</v>
      </c>
      <c r="R51" s="16"/>
      <c r="S51" s="218"/>
      <c r="T51" s="16"/>
    </row>
    <row r="52" spans="2:20" ht="15.75">
      <c r="B52" s="92">
        <v>46108</v>
      </c>
      <c r="C52" s="88">
        <v>21</v>
      </c>
      <c r="D52" s="30" t="s">
        <v>123</v>
      </c>
      <c r="E52" s="402">
        <v>1255</v>
      </c>
      <c r="F52" s="152">
        <f>[3]Mar!$N112</f>
        <v>78</v>
      </c>
      <c r="G52" s="18">
        <v>331</v>
      </c>
      <c r="H52" s="54">
        <f t="shared" si="12"/>
        <v>35.945701357466064</v>
      </c>
      <c r="I52" s="55"/>
      <c r="J52" s="184">
        <f>(340)*0.066</f>
        <v>22.44</v>
      </c>
      <c r="K52" s="54">
        <f t="shared" si="1"/>
        <v>21.846</v>
      </c>
      <c r="L52" s="54">
        <f t="shared" ref="L52:L61" si="14">J52-K52</f>
        <v>0.59400000000000119</v>
      </c>
      <c r="M52" s="164">
        <f>[3]Mar!$AD51</f>
        <v>79</v>
      </c>
      <c r="N52" s="55">
        <v>13</v>
      </c>
      <c r="O52" s="55"/>
      <c r="P52" s="54">
        <f t="shared" ref="P52:P61" si="15">(J52-K52)/J52*100</f>
        <v>2.647058823529417</v>
      </c>
      <c r="Q52" s="55">
        <f>(G52)/(E52/60)</f>
        <v>15.824701195219122</v>
      </c>
      <c r="R52" s="16"/>
      <c r="S52" s="339">
        <f>SUM('[4]Daily glue MAR'!$H$61)</f>
        <v>1.4814229249011856E-2</v>
      </c>
      <c r="T52" s="16"/>
    </row>
    <row r="53" spans="2:20" ht="15.75">
      <c r="B53" s="92">
        <v>46108</v>
      </c>
      <c r="C53" s="88">
        <v>21</v>
      </c>
      <c r="D53" s="30" t="s">
        <v>27</v>
      </c>
      <c r="E53" s="404"/>
      <c r="F53" s="152">
        <f>[3]Mar!$N113</f>
        <v>830</v>
      </c>
      <c r="G53" s="185">
        <v>5696</v>
      </c>
      <c r="H53" s="54">
        <f t="shared" si="12"/>
        <v>58.130687455705164</v>
      </c>
      <c r="I53" s="55">
        <v>10</v>
      </c>
      <c r="J53" s="54">
        <f>SUM(92.12,97.2,94.7,96.4)</f>
        <v>380.41999999999996</v>
      </c>
      <c r="K53" s="54">
        <f t="shared" si="1"/>
        <v>375.93600000000004</v>
      </c>
      <c r="L53" s="54">
        <f t="shared" si="14"/>
        <v>4.4839999999999236</v>
      </c>
      <c r="M53" s="164">
        <f>[3]Mar!$AD52</f>
        <v>311</v>
      </c>
      <c r="N53" s="55">
        <f>12+6+3</f>
        <v>21</v>
      </c>
      <c r="O53" s="55">
        <v>22</v>
      </c>
      <c r="P53" s="54">
        <f t="shared" si="15"/>
        <v>1.178697229378036</v>
      </c>
      <c r="Q53" s="55">
        <f>(G53)/(E52/60)</f>
        <v>272.31872509960158</v>
      </c>
      <c r="R53" s="16"/>
      <c r="S53" s="339">
        <f>SUM('[4]Daily glue MAR'!$H$62:$H$63)</f>
        <v>3.8919924842088428E-2</v>
      </c>
      <c r="T53" s="16"/>
    </row>
    <row r="54" spans="2:20" ht="15.75">
      <c r="B54" s="92">
        <v>46111</v>
      </c>
      <c r="C54" s="88">
        <v>22</v>
      </c>
      <c r="D54" s="30" t="s">
        <v>45</v>
      </c>
      <c r="E54" s="61">
        <v>1380</v>
      </c>
      <c r="F54" s="152">
        <f>[3]Mar!$N114</f>
        <v>919</v>
      </c>
      <c r="G54" s="185">
        <v>6785</v>
      </c>
      <c r="H54" s="54">
        <f t="shared" si="12"/>
        <v>62.538564936311843</v>
      </c>
      <c r="I54" s="55"/>
      <c r="J54" s="54">
        <f>SUM(94,90,100,87.1,97,92.3)-43.7-62.5</f>
        <v>454.19999999999993</v>
      </c>
      <c r="K54" s="54">
        <f t="shared" si="1"/>
        <v>447.81</v>
      </c>
      <c r="L54" s="54">
        <f t="shared" si="14"/>
        <v>6.3899999999999295</v>
      </c>
      <c r="M54" s="164">
        <f>[3]Mar!$AD53</f>
        <v>571</v>
      </c>
      <c r="N54" s="55">
        <f>4+15</f>
        <v>19</v>
      </c>
      <c r="O54" s="55"/>
      <c r="P54" s="54">
        <f t="shared" si="15"/>
        <v>1.4068692206076465</v>
      </c>
      <c r="Q54" s="55">
        <f>(G54)/(E54/60)</f>
        <v>295</v>
      </c>
      <c r="R54" s="16"/>
      <c r="S54" s="339">
        <f>SUM('[4]Daily glue MAR'!$H$65)</f>
        <v>1.8620826709062E-2</v>
      </c>
      <c r="T54" s="16"/>
    </row>
    <row r="55" spans="2:20" ht="15.75">
      <c r="B55" s="92">
        <v>46112</v>
      </c>
      <c r="C55" s="88">
        <v>23</v>
      </c>
      <c r="D55" s="30" t="s">
        <v>45</v>
      </c>
      <c r="E55" s="429">
        <v>1440</v>
      </c>
      <c r="F55" s="152">
        <f>[3]Mar!$N115</f>
        <v>232</v>
      </c>
      <c r="G55" s="18">
        <v>1596</v>
      </c>
      <c r="H55" s="54">
        <f t="shared" si="12"/>
        <v>58.271805273833678</v>
      </c>
      <c r="I55" s="55"/>
      <c r="J55" s="428">
        <f>SUM(43.7,62.5,97,90.4)</f>
        <v>293.60000000000002</v>
      </c>
      <c r="K55" s="428">
        <f>(G55+G56+G57)*0.066</f>
        <v>288.61799999999999</v>
      </c>
      <c r="L55" s="54">
        <f t="shared" si="14"/>
        <v>4.9820000000000277</v>
      </c>
      <c r="M55" s="164">
        <f>[3]Mar!$AD54</f>
        <v>73</v>
      </c>
      <c r="N55" s="55">
        <v>2</v>
      </c>
      <c r="O55" s="55"/>
      <c r="P55" s="428">
        <f t="shared" si="15"/>
        <v>1.6968664850136335</v>
      </c>
      <c r="Q55" s="55">
        <f>(G55)/(E55/60)</f>
        <v>66.5</v>
      </c>
      <c r="R55" s="16"/>
      <c r="S55" s="339">
        <f>SUM('[4]Daily glue MAR'!$H$67)</f>
        <v>2.0007117437722419E-2</v>
      </c>
      <c r="T55" s="16"/>
    </row>
    <row r="56" spans="2:20" ht="15.75">
      <c r="B56" s="92">
        <v>46112</v>
      </c>
      <c r="C56" s="88">
        <v>23</v>
      </c>
      <c r="D56" s="30" t="s">
        <v>108</v>
      </c>
      <c r="E56" s="430"/>
      <c r="F56" s="152">
        <f>[3]Mar!$N116</f>
        <v>145</v>
      </c>
      <c r="G56" s="18">
        <v>816</v>
      </c>
      <c r="H56" s="54">
        <f t="shared" si="12"/>
        <v>47.668965517241382</v>
      </c>
      <c r="I56" s="55"/>
      <c r="J56" s="428"/>
      <c r="K56" s="428"/>
      <c r="L56" s="54">
        <f t="shared" si="14"/>
        <v>0</v>
      </c>
      <c r="M56" s="164">
        <f>[3]Mar!$AD55</f>
        <v>48</v>
      </c>
      <c r="N56" s="55">
        <v>1</v>
      </c>
      <c r="O56" s="55"/>
      <c r="P56" s="428"/>
      <c r="Q56" s="55">
        <f t="shared" ref="Q56:Q60" si="16">(G56)/(E55/60)</f>
        <v>34</v>
      </c>
      <c r="R56" s="16"/>
      <c r="S56" s="339">
        <f>SUM('[4]Daily glue MAR'!$H$67)</f>
        <v>2.0007117437722419E-2</v>
      </c>
      <c r="T56" s="16"/>
    </row>
    <row r="57" spans="2:20" ht="15.75">
      <c r="B57" s="92">
        <v>46112</v>
      </c>
      <c r="C57" s="88">
        <v>23</v>
      </c>
      <c r="D57" s="30" t="s">
        <v>45</v>
      </c>
      <c r="E57" s="430"/>
      <c r="F57" s="152">
        <f>[3]Mar!$N117</f>
        <v>338</v>
      </c>
      <c r="G57" s="18">
        <v>1961</v>
      </c>
      <c r="H57" s="54">
        <f t="shared" si="12"/>
        <v>49.144448311869127</v>
      </c>
      <c r="I57" s="55"/>
      <c r="J57" s="428"/>
      <c r="K57" s="428"/>
      <c r="L57" s="54">
        <f t="shared" si="14"/>
        <v>0</v>
      </c>
      <c r="M57" s="164">
        <f>[3]Mar!$AD56</f>
        <v>185</v>
      </c>
      <c r="N57" s="55">
        <v>10</v>
      </c>
      <c r="O57" s="55"/>
      <c r="P57" s="428"/>
      <c r="Q57" s="55">
        <f>(G57)/(E55/60)</f>
        <v>81.708333333333329</v>
      </c>
      <c r="R57" s="16"/>
      <c r="S57" s="16"/>
      <c r="T57" s="16"/>
    </row>
    <row r="58" spans="2:20" ht="15.75">
      <c r="B58" s="92">
        <v>46112</v>
      </c>
      <c r="C58" s="88">
        <v>23</v>
      </c>
      <c r="D58" s="30" t="s">
        <v>112</v>
      </c>
      <c r="E58" s="431"/>
      <c r="F58" s="152">
        <f>[3]Mar!$N118</f>
        <v>346</v>
      </c>
      <c r="G58" s="18">
        <v>2239</v>
      </c>
      <c r="H58" s="54">
        <f t="shared" si="12"/>
        <v>54.814008840530434</v>
      </c>
      <c r="I58" s="55"/>
      <c r="J58" s="54">
        <f>SUM(86.3,100,100,98.5)-80.7-50-95.2</f>
        <v>158.90000000000003</v>
      </c>
      <c r="K58" s="54">
        <f>(G58)*0.0708</f>
        <v>158.52119999999999</v>
      </c>
      <c r="L58" s="54">
        <f t="shared" si="14"/>
        <v>0.37880000000004088</v>
      </c>
      <c r="M58" s="164">
        <f>[3]Mar!$AD57</f>
        <v>276</v>
      </c>
      <c r="N58" s="55">
        <v>0</v>
      </c>
      <c r="O58" s="55"/>
      <c r="P58" s="54">
        <f t="shared" si="15"/>
        <v>0.23838892385150459</v>
      </c>
      <c r="Q58" s="55">
        <f>(G58)/(E55/60)</f>
        <v>93.291666666666671</v>
      </c>
      <c r="R58" s="16"/>
      <c r="S58" s="339">
        <f>'[4]Daily glue MAR'!$H$69</f>
        <v>1.2248366013071894E-2</v>
      </c>
      <c r="T58" s="16"/>
    </row>
    <row r="59" spans="2:20" ht="15.75">
      <c r="B59" s="92"/>
      <c r="C59" s="88"/>
      <c r="D59" s="30"/>
      <c r="E59" s="61"/>
      <c r="F59" s="39"/>
      <c r="G59" s="18"/>
      <c r="H59" s="54" t="e">
        <f>(G59)*24/(F59/60)/17000*100</f>
        <v>#DIV/0!</v>
      </c>
      <c r="I59" s="55"/>
      <c r="J59" s="54"/>
      <c r="K59" s="54">
        <f t="shared" si="1"/>
        <v>0</v>
      </c>
      <c r="L59" s="54">
        <f t="shared" si="14"/>
        <v>0</v>
      </c>
      <c r="M59" s="164"/>
      <c r="N59" s="55"/>
      <c r="O59" s="55"/>
      <c r="P59" s="54" t="e">
        <f t="shared" si="15"/>
        <v>#DIV/0!</v>
      </c>
      <c r="Q59" s="55" t="e">
        <f t="shared" si="16"/>
        <v>#DIV/0!</v>
      </c>
      <c r="R59" s="16"/>
      <c r="S59" s="16"/>
      <c r="T59" s="16"/>
    </row>
    <row r="60" spans="2:20" ht="15.75">
      <c r="B60" s="92"/>
      <c r="C60" s="88"/>
      <c r="D60" s="30"/>
      <c r="E60" s="61"/>
      <c r="F60" s="39"/>
      <c r="G60" s="18"/>
      <c r="H60" s="54" t="e">
        <f>(G60)*24/(F60/60)/17000*100</f>
        <v>#DIV/0!</v>
      </c>
      <c r="I60" s="55"/>
      <c r="J60" s="54"/>
      <c r="K60" s="54">
        <f t="shared" si="1"/>
        <v>0</v>
      </c>
      <c r="L60" s="54">
        <f t="shared" si="14"/>
        <v>0</v>
      </c>
      <c r="M60" s="55"/>
      <c r="N60" s="55"/>
      <c r="O60" s="55"/>
      <c r="P60" s="54" t="e">
        <f t="shared" si="15"/>
        <v>#DIV/0!</v>
      </c>
      <c r="Q60" s="55" t="e">
        <f t="shared" si="16"/>
        <v>#DIV/0!</v>
      </c>
      <c r="R60" s="16"/>
      <c r="S60" s="16"/>
      <c r="T60" s="16"/>
    </row>
    <row r="61" spans="2:20" ht="16.5" thickBot="1">
      <c r="B61" s="60"/>
      <c r="C61" s="49"/>
      <c r="D61" s="30"/>
      <c r="E61" s="61"/>
      <c r="F61" s="39"/>
      <c r="G61" s="18"/>
      <c r="H61" s="54" t="e">
        <f t="shared" si="12"/>
        <v>#DIV/0!</v>
      </c>
      <c r="I61" s="55"/>
      <c r="J61" s="54"/>
      <c r="K61" s="54">
        <f t="shared" si="1"/>
        <v>0</v>
      </c>
      <c r="L61" s="54">
        <f t="shared" si="14"/>
        <v>0</v>
      </c>
      <c r="M61" s="55"/>
      <c r="N61" s="55"/>
      <c r="O61" s="55"/>
      <c r="P61" s="54" t="e">
        <f t="shared" si="15"/>
        <v>#DIV/0!</v>
      </c>
      <c r="Q61" s="55" t="e">
        <f t="shared" ref="Q61" si="17">(G61)/(F61/60)</f>
        <v>#DIV/0!</v>
      </c>
      <c r="R61" s="16"/>
      <c r="S61" s="16"/>
      <c r="T61" s="16"/>
    </row>
    <row r="62" spans="2:20" ht="17.25" thickTop="1" thickBot="1">
      <c r="B62" s="12"/>
      <c r="C62" s="12"/>
      <c r="D62" s="31"/>
      <c r="E62" s="23">
        <f>SUM(E8:E61)</f>
        <v>30187</v>
      </c>
      <c r="F62" s="23">
        <f>SUM(F8:F61)</f>
        <v>22611</v>
      </c>
      <c r="G62" s="15">
        <f>SUM(G8:G59)</f>
        <v>132754</v>
      </c>
      <c r="H62" s="13">
        <f>(G62)*24/(F62/60)/17000*100</f>
        <v>49.732628835002224</v>
      </c>
      <c r="I62" s="14">
        <f>SUM(I8:I61)</f>
        <v>548</v>
      </c>
      <c r="J62" s="13">
        <f>SUM(J8:J61)</f>
        <v>8979.8559999999998</v>
      </c>
      <c r="K62" s="13">
        <f>SUM(K8:K61)</f>
        <v>8829.0448000000015</v>
      </c>
      <c r="L62" s="13">
        <f>J62-K62</f>
        <v>150.81119999999828</v>
      </c>
      <c r="M62" s="53">
        <f>SUM(M8:M61)</f>
        <v>13632</v>
      </c>
      <c r="N62" s="36">
        <f>SUM(N8:N61)</f>
        <v>304.5</v>
      </c>
      <c r="O62" s="171">
        <f>SUM(O8:O61)</f>
        <v>288</v>
      </c>
      <c r="P62" s="25">
        <f>(J62-K62)/J62</f>
        <v>1.6794389575957375E-2</v>
      </c>
      <c r="Q62" s="17">
        <f>(G62)/(E62/60)</f>
        <v>263.86325239341437</v>
      </c>
      <c r="R62" s="344">
        <f>(G62+January_2026!G65+February_2026!G63)/((E62+January_2026!E65+February_2026!E63)/60)</f>
        <v>244.29680822486506</v>
      </c>
      <c r="S62" s="17"/>
      <c r="T62" s="17">
        <f>AVERAGE(G8:G61)</f>
        <v>2655.08</v>
      </c>
    </row>
    <row r="63" spans="2:20" ht="17.25" thickTop="1" thickBot="1">
      <c r="G63" s="1"/>
      <c r="H63" s="1"/>
      <c r="L63" s="19"/>
      <c r="M63" s="19"/>
      <c r="N63" s="41" t="s">
        <v>23</v>
      </c>
      <c r="O63" s="19"/>
      <c r="Q63" s="5"/>
    </row>
    <row r="64" spans="2:20" ht="21" thickTop="1" thickBot="1">
      <c r="G64" s="1"/>
      <c r="H64" s="1"/>
      <c r="K64" s="46" t="s">
        <v>36</v>
      </c>
      <c r="L64" s="170">
        <f>G62+O64</f>
        <v>133546</v>
      </c>
      <c r="M64" s="19"/>
      <c r="N64" s="41" t="s">
        <v>31</v>
      </c>
      <c r="O64" s="71">
        <f>O62*2.75</f>
        <v>792</v>
      </c>
      <c r="P64" s="40"/>
      <c r="Q64" s="5"/>
    </row>
    <row r="65" spans="7:17" ht="16.5" thickTop="1">
      <c r="G65" s="1"/>
      <c r="H65" s="1"/>
      <c r="L65" s="19"/>
      <c r="M65" s="19"/>
      <c r="N65" s="19"/>
      <c r="O65" s="19"/>
      <c r="Q65" s="5"/>
    </row>
    <row r="66" spans="7:17" ht="15.75">
      <c r="G66" s="1"/>
      <c r="H66" s="1"/>
      <c r="L66" s="19"/>
      <c r="M66" s="19"/>
      <c r="N66" s="19"/>
      <c r="O66" s="19"/>
      <c r="Q66" s="5"/>
    </row>
    <row r="67" spans="7:17" ht="15.75">
      <c r="G67" s="62"/>
      <c r="H67" s="1"/>
      <c r="L67" s="19"/>
      <c r="M67" s="19"/>
      <c r="N67" s="19"/>
      <c r="O67" s="19"/>
      <c r="Q67" s="5"/>
    </row>
    <row r="68" spans="7:17" ht="15.75">
      <c r="G68" s="1"/>
      <c r="H68" s="1"/>
      <c r="L68" s="19"/>
      <c r="M68" s="19"/>
      <c r="N68" s="19"/>
      <c r="O68" s="19"/>
      <c r="Q68" s="5"/>
    </row>
    <row r="69" spans="7:17" ht="15.75">
      <c r="G69" s="1"/>
      <c r="H69" s="1"/>
      <c r="L69" s="19"/>
      <c r="M69" s="19"/>
      <c r="N69" s="19"/>
      <c r="O69" s="19"/>
      <c r="Q69" s="5"/>
    </row>
    <row r="70" spans="7:17" ht="15.75">
      <c r="G70" s="1"/>
      <c r="H70" s="1"/>
      <c r="L70" s="19"/>
      <c r="M70" s="19"/>
      <c r="N70" s="19"/>
      <c r="O70" s="19"/>
      <c r="Q70" s="5"/>
    </row>
    <row r="71" spans="7:17" ht="15.75">
      <c r="G71" s="1"/>
      <c r="H71" s="1"/>
      <c r="L71" s="19"/>
      <c r="M71" s="19"/>
      <c r="N71" s="19"/>
      <c r="O71" s="19"/>
      <c r="Q71" s="5"/>
    </row>
    <row r="72" spans="7:17" ht="15.75">
      <c r="G72" s="1"/>
      <c r="H72" s="1"/>
      <c r="L72" s="19"/>
      <c r="M72" s="19"/>
      <c r="N72" s="19"/>
      <c r="O72" s="19"/>
      <c r="Q72" s="5"/>
    </row>
    <row r="73" spans="7:17" ht="15.75">
      <c r="G73" s="1"/>
      <c r="H73" s="1"/>
      <c r="L73" s="19"/>
      <c r="M73" s="19"/>
      <c r="N73" s="19"/>
      <c r="O73" s="19"/>
      <c r="Q73" s="5"/>
    </row>
    <row r="74" spans="7:17" ht="15.75">
      <c r="G74" s="1"/>
      <c r="H74" s="1"/>
      <c r="L74" s="19"/>
      <c r="M74" s="19"/>
      <c r="N74" s="19"/>
      <c r="O74" s="19"/>
      <c r="Q74" s="5"/>
    </row>
    <row r="75" spans="7:17" ht="15.75">
      <c r="G75" s="1"/>
      <c r="H75" s="1"/>
      <c r="L75" s="19"/>
      <c r="M75" s="19"/>
      <c r="N75" s="19"/>
      <c r="O75" s="19"/>
      <c r="Q75" s="5"/>
    </row>
    <row r="76" spans="7:17" ht="15.75">
      <c r="G76" s="1"/>
      <c r="H76" s="1"/>
      <c r="L76" s="19"/>
      <c r="M76" s="19"/>
      <c r="N76" s="19"/>
      <c r="O76" s="19"/>
      <c r="Q76" s="5"/>
    </row>
    <row r="77" spans="7:17" ht="15.75">
      <c r="G77" s="1"/>
      <c r="H77" s="1"/>
      <c r="L77" s="19"/>
      <c r="M77" s="19"/>
      <c r="N77" s="19"/>
      <c r="O77" s="19"/>
      <c r="Q77" s="5"/>
    </row>
    <row r="78" spans="7:17">
      <c r="G78" s="1"/>
      <c r="H78" s="1"/>
      <c r="Q78" s="5"/>
    </row>
    <row r="79" spans="7:17">
      <c r="G79" s="1"/>
      <c r="H79" s="1"/>
      <c r="Q79" s="5"/>
    </row>
    <row r="80" spans="7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  <row r="118" spans="7:17">
      <c r="G118" s="1"/>
      <c r="H118" s="1"/>
      <c r="Q118" s="5"/>
    </row>
    <row r="119" spans="7:17">
      <c r="G119" s="1"/>
      <c r="H119" s="1"/>
      <c r="Q119" s="5"/>
    </row>
    <row r="120" spans="7:17">
      <c r="G120" s="1"/>
      <c r="H120" s="1"/>
      <c r="Q120" s="5"/>
    </row>
    <row r="121" spans="7:17">
      <c r="G121" s="1"/>
      <c r="H121" s="1"/>
      <c r="Q121" s="5"/>
    </row>
    <row r="122" spans="7:17">
      <c r="G122" s="1"/>
      <c r="H122" s="1"/>
      <c r="Q122" s="5"/>
    </row>
    <row r="123" spans="7:17">
      <c r="G123" s="1"/>
      <c r="H123" s="1"/>
      <c r="Q123" s="5"/>
    </row>
    <row r="124" spans="7:17">
      <c r="G124" s="1"/>
      <c r="H124" s="1"/>
      <c r="Q124" s="5"/>
    </row>
    <row r="125" spans="7:17">
      <c r="G125" s="1"/>
      <c r="H125" s="1"/>
      <c r="Q125" s="5"/>
    </row>
  </sheetData>
  <autoFilter ref="B5:R64" xr:uid="{00000000-0001-0000-0200-000000000000}">
    <filterColumn colId="14">
      <filters>
        <filter val="4.11"/>
      </filters>
    </filterColumn>
  </autoFilter>
  <mergeCells count="52">
    <mergeCell ref="P39:P40"/>
    <mergeCell ref="S34:S35"/>
    <mergeCell ref="E33:E35"/>
    <mergeCell ref="K33:K35"/>
    <mergeCell ref="J33:J35"/>
    <mergeCell ref="L33:L35"/>
    <mergeCell ref="P33:P35"/>
    <mergeCell ref="N33:N35"/>
    <mergeCell ref="E38:E40"/>
    <mergeCell ref="J39:J40"/>
    <mergeCell ref="K39:K40"/>
    <mergeCell ref="L39:L40"/>
    <mergeCell ref="E8:E9"/>
    <mergeCell ref="E15:E17"/>
    <mergeCell ref="E11:E12"/>
    <mergeCell ref="E13:E14"/>
    <mergeCell ref="E36:E37"/>
    <mergeCell ref="E27:E28"/>
    <mergeCell ref="T26:T27"/>
    <mergeCell ref="E31:E32"/>
    <mergeCell ref="B1:Q1"/>
    <mergeCell ref="B3:Q3"/>
    <mergeCell ref="B4:Q4"/>
    <mergeCell ref="I5:I7"/>
    <mergeCell ref="L5:L7"/>
    <mergeCell ref="M5:M7"/>
    <mergeCell ref="N5:N7"/>
    <mergeCell ref="O5:O7"/>
    <mergeCell ref="R6:R7"/>
    <mergeCell ref="T14:T16"/>
    <mergeCell ref="E20:E21"/>
    <mergeCell ref="E22:E24"/>
    <mergeCell ref="E25:E26"/>
    <mergeCell ref="T24:T25"/>
    <mergeCell ref="E48:E51"/>
    <mergeCell ref="E44:E47"/>
    <mergeCell ref="S45:S47"/>
    <mergeCell ref="S41:S42"/>
    <mergeCell ref="N41:N42"/>
    <mergeCell ref="J41:J42"/>
    <mergeCell ref="K41:K42"/>
    <mergeCell ref="P41:P42"/>
    <mergeCell ref="L41:L42"/>
    <mergeCell ref="E41:E43"/>
    <mergeCell ref="F41:F42"/>
    <mergeCell ref="H41:H42"/>
    <mergeCell ref="M41:M42"/>
    <mergeCell ref="J55:J57"/>
    <mergeCell ref="K55:K57"/>
    <mergeCell ref="E55:E58"/>
    <mergeCell ref="P55:P57"/>
    <mergeCell ref="E52:E53"/>
  </mergeCells>
  <conditionalFormatting sqref="I8:I61">
    <cfRule type="cellIs" dxfId="74" priority="25" stopIfTrue="1" operator="lessThan">
      <formula>50</formula>
    </cfRule>
  </conditionalFormatting>
  <conditionalFormatting sqref="P8:P33 P36:P39 P41 P43:P44 P46:P55 P58:P61">
    <cfRule type="cellIs" dxfId="73" priority="5" stopIfTrue="1" operator="greaterThan">
      <formula>1.8</formula>
    </cfRule>
  </conditionalFormatting>
  <conditionalFormatting sqref="P45">
    <cfRule type="cellIs" dxfId="72" priority="1" stopIfTrue="1" operator="greaterThan">
      <formula>1.1</formula>
    </cfRule>
  </conditionalFormatting>
  <conditionalFormatting sqref="T14">
    <cfRule type="cellIs" dxfId="71" priority="3" operator="greaterThan">
      <formula>1.8</formula>
    </cfRule>
  </conditionalFormatting>
  <conditionalFormatting sqref="T24 T26">
    <cfRule type="cellIs" dxfId="70" priority="2" operator="greaterThan">
      <formula>1.8</formula>
    </cfRule>
  </conditionalFormatting>
  <pageMargins left="0.25" right="0.25" top="0.75" bottom="0.75" header="0.3" footer="0.3"/>
  <pageSetup scale="55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4827-D1EE-4FF3-80A9-7258E34C7E97}">
  <sheetPr codeName="Sheet4">
    <tabColor indexed="11"/>
    <pageSetUpPr fitToPage="1"/>
  </sheetPr>
  <dimension ref="B1:V117"/>
  <sheetViews>
    <sheetView topLeftCell="A4" zoomScale="80" zoomScaleNormal="80" zoomScaleSheetLayoutView="80" workbookViewId="0">
      <pane xSplit="2" ySplit="4" topLeftCell="C25" activePane="bottomRight" state="frozen"/>
      <selection activeCell="A4" sqref="A4"/>
      <selection pane="topRight" activeCell="B4" sqref="B4"/>
      <selection pane="bottomLeft" activeCell="A8" sqref="A8"/>
      <selection pane="bottomRight" activeCell="G54" sqref="G54"/>
    </sheetView>
  </sheetViews>
  <sheetFormatPr defaultRowHeight="12.75"/>
  <cols>
    <col min="1" max="1" width="2.42578125" customWidth="1"/>
    <col min="2" max="2" width="9.140625" style="1" customWidth="1"/>
    <col min="3" max="3" width="6" style="1" customWidth="1"/>
    <col min="4" max="4" width="38.85546875" style="32" customWidth="1"/>
    <col min="5" max="5" width="8.85546875" style="1" customWidth="1"/>
    <col min="6" max="6" width="8.140625" style="24" bestFit="1" customWidth="1"/>
    <col min="7" max="8" width="13.5703125" customWidth="1"/>
    <col min="9" max="9" width="10.570312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7" customWidth="1"/>
    <col min="16" max="16" width="12.42578125" style="26" customWidth="1"/>
    <col min="17" max="17" width="12.140625" style="6" customWidth="1"/>
    <col min="18" max="18" width="11.5703125" customWidth="1"/>
    <col min="19" max="20" width="11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2:20" ht="27">
      <c r="B1" s="384" t="s">
        <v>0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</row>
    <row r="3" spans="2:20" ht="22.5">
      <c r="B3" s="385" t="s">
        <v>1</v>
      </c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</row>
    <row r="4" spans="2:20" ht="21" thickBot="1">
      <c r="B4" s="386">
        <v>46113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</row>
    <row r="5" spans="2:20" ht="17.25" thickTop="1" thickBot="1">
      <c r="B5" s="2" t="s">
        <v>2</v>
      </c>
      <c r="C5" s="2" t="s">
        <v>3</v>
      </c>
      <c r="D5" s="27" t="s">
        <v>4</v>
      </c>
      <c r="E5" s="2" t="s">
        <v>37</v>
      </c>
      <c r="F5" s="20" t="s">
        <v>12</v>
      </c>
      <c r="G5" s="2" t="s">
        <v>5</v>
      </c>
      <c r="H5" s="2" t="s">
        <v>13</v>
      </c>
      <c r="I5" s="387" t="s">
        <v>26</v>
      </c>
      <c r="J5" s="2" t="s">
        <v>18</v>
      </c>
      <c r="K5" s="2" t="s">
        <v>6</v>
      </c>
      <c r="L5" s="390" t="s">
        <v>22</v>
      </c>
      <c r="M5" s="393" t="s">
        <v>24</v>
      </c>
      <c r="N5" s="393" t="s">
        <v>25</v>
      </c>
      <c r="O5" s="393" t="s">
        <v>23</v>
      </c>
      <c r="P5" s="20" t="s">
        <v>6</v>
      </c>
      <c r="Q5" s="4" t="s">
        <v>9</v>
      </c>
      <c r="R5" s="2" t="s">
        <v>20</v>
      </c>
      <c r="S5" s="336" t="s">
        <v>89</v>
      </c>
      <c r="T5" s="336" t="s">
        <v>95</v>
      </c>
    </row>
    <row r="6" spans="2:20" ht="16.5" customHeight="1" thickTop="1">
      <c r="B6" s="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88"/>
      <c r="J6" s="8" t="s">
        <v>17</v>
      </c>
      <c r="K6" s="8" t="s">
        <v>17</v>
      </c>
      <c r="L6" s="391"/>
      <c r="M6" s="394"/>
      <c r="N6" s="394"/>
      <c r="O6" s="394"/>
      <c r="P6" s="21" t="s">
        <v>19</v>
      </c>
      <c r="Q6" s="9" t="s">
        <v>10</v>
      </c>
      <c r="R6" s="382" t="s">
        <v>21</v>
      </c>
      <c r="S6" s="337" t="s">
        <v>88</v>
      </c>
      <c r="T6" s="337" t="s">
        <v>96</v>
      </c>
    </row>
    <row r="7" spans="2:20" ht="16.5" thickBot="1">
      <c r="B7" s="8"/>
      <c r="C7" s="8"/>
      <c r="D7" s="29"/>
      <c r="E7" s="8"/>
      <c r="F7" s="22" t="s">
        <v>15</v>
      </c>
      <c r="G7" s="10"/>
      <c r="H7" s="10" t="s">
        <v>16</v>
      </c>
      <c r="I7" s="389"/>
      <c r="J7" s="10"/>
      <c r="K7" s="10"/>
      <c r="L7" s="392"/>
      <c r="M7" s="394"/>
      <c r="N7" s="395"/>
      <c r="O7" s="395"/>
      <c r="P7" s="22"/>
      <c r="Q7" s="11"/>
      <c r="R7" s="383"/>
      <c r="S7" s="338" t="s">
        <v>90</v>
      </c>
      <c r="T7" s="338" t="s">
        <v>3</v>
      </c>
    </row>
    <row r="8" spans="2:20" ht="15.75">
      <c r="B8" s="92">
        <v>46113</v>
      </c>
      <c r="C8" s="88">
        <v>1</v>
      </c>
      <c r="D8" s="151" t="s">
        <v>47</v>
      </c>
      <c r="E8" s="445">
        <v>1440</v>
      </c>
      <c r="F8" s="152">
        <f>[3]Apr!$P62</f>
        <v>324</v>
      </c>
      <c r="G8" s="185">
        <v>2482</v>
      </c>
      <c r="H8" s="54">
        <f t="shared" ref="H8:H53" si="0">(G8)*24/(F8/60)/17000*100</f>
        <v>64.888888888888886</v>
      </c>
      <c r="I8" s="55"/>
      <c r="J8" s="184">
        <f>SUM(80.7,95.2)</f>
        <v>175.9</v>
      </c>
      <c r="K8" s="54">
        <f>(G8)*0.0708</f>
        <v>175.72560000000001</v>
      </c>
      <c r="L8" s="54">
        <f>J8-K8</f>
        <v>0.17439999999999145</v>
      </c>
      <c r="M8" s="55">
        <f>[3]Apr!AD8</f>
        <v>50</v>
      </c>
      <c r="N8" s="79"/>
      <c r="O8" s="55"/>
      <c r="P8" s="54">
        <f>(J8-K8)/J8*100</f>
        <v>9.914724275155852E-2</v>
      </c>
      <c r="Q8" s="55">
        <f>(G8)/(E8/60)</f>
        <v>103.41666666666667</v>
      </c>
      <c r="R8" s="16"/>
      <c r="S8" s="339">
        <f>'[4]Daily glue APR'!$H$2</f>
        <v>1.3222013170272813E-2</v>
      </c>
      <c r="T8" s="339"/>
    </row>
    <row r="9" spans="2:20" ht="15.75">
      <c r="B9" s="92">
        <v>46113</v>
      </c>
      <c r="C9" s="88">
        <v>1</v>
      </c>
      <c r="D9" s="151" t="s">
        <v>113</v>
      </c>
      <c r="E9" s="447"/>
      <c r="F9" s="152">
        <f>[3]Apr!$P63</f>
        <v>116</v>
      </c>
      <c r="G9" s="18">
        <v>693</v>
      </c>
      <c r="H9" s="54">
        <f t="shared" si="0"/>
        <v>50.604462474645032</v>
      </c>
      <c r="I9" s="55"/>
      <c r="J9" s="54">
        <v>50</v>
      </c>
      <c r="K9" s="54">
        <f>(G9)*0.0708</f>
        <v>49.064399999999999</v>
      </c>
      <c r="L9" s="54">
        <f t="shared" ref="L9:L21" si="1">J9-K9</f>
        <v>0.93560000000000088</v>
      </c>
      <c r="M9" s="55">
        <f>[3]Apr!AD9</f>
        <v>27</v>
      </c>
      <c r="N9" s="55"/>
      <c r="O9" s="55"/>
      <c r="P9" s="54">
        <f t="shared" ref="P9:P43" si="2">(J9-K9)/J9*100</f>
        <v>1.8712000000000018</v>
      </c>
      <c r="Q9" s="55">
        <f>(G9)/(E8/60)</f>
        <v>28.875</v>
      </c>
      <c r="R9" s="16"/>
      <c r="S9" s="339"/>
      <c r="T9" s="339"/>
    </row>
    <row r="10" spans="2:20" s="234" customFormat="1" ht="15.75">
      <c r="B10" s="228">
        <v>46113</v>
      </c>
      <c r="C10" s="229">
        <v>1</v>
      </c>
      <c r="D10" s="247" t="s">
        <v>114</v>
      </c>
      <c r="E10" s="446"/>
      <c r="F10" s="248">
        <f>[3]Apr!$P64</f>
        <v>0</v>
      </c>
      <c r="G10" s="249">
        <v>0</v>
      </c>
      <c r="H10" s="227" t="e">
        <f t="shared" si="0"/>
        <v>#DIV/0!</v>
      </c>
      <c r="I10" s="232"/>
      <c r="J10" s="227"/>
      <c r="K10" s="227">
        <f t="shared" ref="K10:K18" si="3">(G10)*0.066</f>
        <v>0</v>
      </c>
      <c r="L10" s="227">
        <f t="shared" si="1"/>
        <v>0</v>
      </c>
      <c r="M10" s="232">
        <f>[3]Apr!AD10</f>
        <v>974</v>
      </c>
      <c r="N10" s="345"/>
      <c r="O10" s="232"/>
      <c r="P10" s="227" t="e">
        <f t="shared" si="2"/>
        <v>#DIV/0!</v>
      </c>
      <c r="Q10" s="232" t="e">
        <f t="shared" ref="Q10:Q53" si="4">(G10)/(E10/60)</f>
        <v>#DIV/0!</v>
      </c>
      <c r="R10" s="233"/>
      <c r="S10" s="342"/>
      <c r="T10" s="342"/>
    </row>
    <row r="11" spans="2:20" ht="15.75">
      <c r="B11" s="92">
        <v>46114</v>
      </c>
      <c r="C11" s="88">
        <v>2</v>
      </c>
      <c r="D11" s="151" t="s">
        <v>114</v>
      </c>
      <c r="E11" s="445">
        <v>1440</v>
      </c>
      <c r="F11" s="152">
        <f>[3]Apr!$P65</f>
        <v>180</v>
      </c>
      <c r="G11" s="18">
        <v>166</v>
      </c>
      <c r="H11" s="54">
        <f t="shared" si="0"/>
        <v>7.8117647058823527</v>
      </c>
      <c r="I11" s="55"/>
      <c r="J11" s="54">
        <f>SUM(92)-80.5</f>
        <v>11.5</v>
      </c>
      <c r="K11" s="54">
        <f>(G11)*0.066</f>
        <v>10.956000000000001</v>
      </c>
      <c r="L11" s="54">
        <f t="shared" si="1"/>
        <v>0.54399999999999871</v>
      </c>
      <c r="M11" s="55">
        <f>[3]Apr!AD11</f>
        <v>690</v>
      </c>
      <c r="N11" s="146">
        <v>14</v>
      </c>
      <c r="O11" s="55"/>
      <c r="P11" s="54">
        <f t="shared" si="2"/>
        <v>4.7304347826086843</v>
      </c>
      <c r="Q11" s="55">
        <f>(G11)/(E11/60)</f>
        <v>6.916666666666667</v>
      </c>
      <c r="R11" s="16"/>
      <c r="S11" s="339">
        <f>SUM('[4]Daily glue APR'!$H$6)</f>
        <v>4.6849999999999996E-2</v>
      </c>
      <c r="T11" s="339"/>
    </row>
    <row r="12" spans="2:20" ht="15.75">
      <c r="B12" s="92">
        <v>46114</v>
      </c>
      <c r="C12" s="88">
        <v>2</v>
      </c>
      <c r="D12" s="151" t="s">
        <v>45</v>
      </c>
      <c r="E12" s="446"/>
      <c r="F12" s="152">
        <f>[3]Apr!$P66</f>
        <v>550</v>
      </c>
      <c r="G12" s="18">
        <v>2702</v>
      </c>
      <c r="H12" s="54">
        <f t="shared" si="0"/>
        <v>41.613689839572196</v>
      </c>
      <c r="I12" s="55">
        <v>3</v>
      </c>
      <c r="J12" s="54">
        <f>SUM(94,92,91)-82</f>
        <v>195</v>
      </c>
      <c r="K12" s="54">
        <f>(G12)*0.066+(75*0.19)</f>
        <v>192.58200000000002</v>
      </c>
      <c r="L12" s="54">
        <f t="shared" si="1"/>
        <v>2.4179999999999779</v>
      </c>
      <c r="M12" s="55">
        <f>[3]Apr!AD12</f>
        <v>339</v>
      </c>
      <c r="N12" s="55">
        <f>3+11</f>
        <v>14</v>
      </c>
      <c r="O12" s="55">
        <v>75</v>
      </c>
      <c r="P12" s="54">
        <f t="shared" si="2"/>
        <v>1.2399999999999887</v>
      </c>
      <c r="Q12" s="55">
        <f>(G12)/(E11/60)</f>
        <v>112.58333333333333</v>
      </c>
      <c r="R12" s="16"/>
      <c r="S12" s="339">
        <f>SUM('[4]Daily glue APR'!$H$7)</f>
        <v>1.7084683954619123E-2</v>
      </c>
      <c r="T12" s="346"/>
    </row>
    <row r="13" spans="2:20" ht="15.75">
      <c r="B13" s="92">
        <v>46119</v>
      </c>
      <c r="C13" s="88">
        <v>3</v>
      </c>
      <c r="D13" s="151" t="s">
        <v>114</v>
      </c>
      <c r="E13" s="445">
        <v>1380</v>
      </c>
      <c r="F13" s="152">
        <f>[3]Apr!$P67</f>
        <v>517</v>
      </c>
      <c r="G13" s="18">
        <v>1078</v>
      </c>
      <c r="H13" s="54">
        <f t="shared" si="0"/>
        <v>17.662077596996241</v>
      </c>
      <c r="I13" s="55">
        <f>1075+3</f>
        <v>1078</v>
      </c>
      <c r="J13" s="54">
        <v>76</v>
      </c>
      <c r="K13" s="54">
        <f t="shared" si="3"/>
        <v>71.14800000000001</v>
      </c>
      <c r="L13" s="54">
        <f t="shared" si="1"/>
        <v>4.8519999999999897</v>
      </c>
      <c r="M13" s="55">
        <f>[3]Apr!AD13</f>
        <v>1047</v>
      </c>
      <c r="N13" s="55">
        <v>37</v>
      </c>
      <c r="O13" s="55"/>
      <c r="P13" s="54">
        <f t="shared" si="2"/>
        <v>6.3842105263157753</v>
      </c>
      <c r="Q13" s="55">
        <f t="shared" si="4"/>
        <v>46.869565217391305</v>
      </c>
      <c r="R13" s="16"/>
      <c r="S13" s="339">
        <f>'[4]Daily glue APR'!$H$10</f>
        <v>1.7384044526901669E-2</v>
      </c>
      <c r="T13" s="346"/>
    </row>
    <row r="14" spans="2:20" s="234" customFormat="1" ht="15.75">
      <c r="B14" s="228">
        <v>46119</v>
      </c>
      <c r="C14" s="229">
        <v>3</v>
      </c>
      <c r="D14" s="247" t="s">
        <v>45</v>
      </c>
      <c r="E14" s="446"/>
      <c r="F14" s="248">
        <f>[3]Apr!$P68</f>
        <v>10</v>
      </c>
      <c r="G14" s="249">
        <v>0</v>
      </c>
      <c r="H14" s="227">
        <f t="shared" si="0"/>
        <v>0</v>
      </c>
      <c r="I14" s="232"/>
      <c r="J14" s="227"/>
      <c r="K14" s="227">
        <f t="shared" si="3"/>
        <v>0</v>
      </c>
      <c r="L14" s="227">
        <f t="shared" si="1"/>
        <v>0</v>
      </c>
      <c r="M14" s="232">
        <f>[3]Apr!AD14</f>
        <v>223</v>
      </c>
      <c r="N14" s="232"/>
      <c r="O14" s="232">
        <v>43</v>
      </c>
      <c r="P14" s="227" t="e">
        <f t="shared" si="2"/>
        <v>#DIV/0!</v>
      </c>
      <c r="Q14" s="232" t="e">
        <f t="shared" si="4"/>
        <v>#DIV/0!</v>
      </c>
      <c r="R14" s="233"/>
      <c r="S14" s="342"/>
      <c r="T14" s="347"/>
    </row>
    <row r="15" spans="2:20" ht="15.75">
      <c r="B15" s="92">
        <v>46120</v>
      </c>
      <c r="C15" s="88">
        <v>4</v>
      </c>
      <c r="D15" s="151" t="s">
        <v>45</v>
      </c>
      <c r="E15" s="445">
        <v>1440</v>
      </c>
      <c r="F15" s="152">
        <f>[3]Apr!$P69</f>
        <v>1158</v>
      </c>
      <c r="G15" s="18">
        <v>8044</v>
      </c>
      <c r="H15" s="54">
        <f t="shared" si="0"/>
        <v>58.840597378847917</v>
      </c>
      <c r="I15" s="55"/>
      <c r="J15" s="54">
        <f>SUM(82,95.4,97,100.3,85.43,92)-14</f>
        <v>538.13</v>
      </c>
      <c r="K15" s="54">
        <f>(G15)*0.066</f>
        <v>530.904</v>
      </c>
      <c r="L15" s="54">
        <f t="shared" si="1"/>
        <v>7.2259999999999991</v>
      </c>
      <c r="M15" s="55">
        <f>[3]Apr!AD15</f>
        <v>281</v>
      </c>
      <c r="N15" s="55">
        <f>42+12+5</f>
        <v>59</v>
      </c>
      <c r="O15" s="55"/>
      <c r="P15" s="54">
        <f t="shared" si="2"/>
        <v>1.3427982086113019</v>
      </c>
      <c r="Q15" s="55">
        <f t="shared" si="4"/>
        <v>335.16666666666669</v>
      </c>
      <c r="R15" s="16"/>
      <c r="S15" s="339">
        <f>SUM('[4]Daily glue APR'!$H$11:$H$12)</f>
        <v>4.5436647857687654E-2</v>
      </c>
      <c r="T15" s="346"/>
    </row>
    <row r="16" spans="2:20" ht="15.75">
      <c r="B16" s="92">
        <v>46120</v>
      </c>
      <c r="C16" s="88">
        <v>4</v>
      </c>
      <c r="D16" s="151" t="s">
        <v>27</v>
      </c>
      <c r="E16" s="446"/>
      <c r="F16" s="152">
        <f>[3]Apr!$P70</f>
        <v>177</v>
      </c>
      <c r="G16" s="18">
        <v>1089</v>
      </c>
      <c r="H16" s="54">
        <f t="shared" si="0"/>
        <v>52.115653040877362</v>
      </c>
      <c r="I16" s="55"/>
      <c r="J16" s="54">
        <f>SUM(89.8,96.5)-11.2-102</f>
        <v>73.100000000000023</v>
      </c>
      <c r="K16" s="54">
        <f t="shared" si="3"/>
        <v>71.874000000000009</v>
      </c>
      <c r="L16" s="54">
        <f t="shared" si="1"/>
        <v>1.2260000000000133</v>
      </c>
      <c r="M16" s="55">
        <f>[3]Apr!AD16</f>
        <v>110</v>
      </c>
      <c r="N16" s="55">
        <v>0</v>
      </c>
      <c r="O16" s="55"/>
      <c r="P16" s="54">
        <f t="shared" si="2"/>
        <v>1.6771545827633554</v>
      </c>
      <c r="Q16" s="55">
        <f>(G16)/(E15/60)</f>
        <v>45.375</v>
      </c>
      <c r="R16" s="16"/>
      <c r="S16" s="339">
        <f>SUM('[4]Daily glue APR'!$H$13)</f>
        <v>2.2325879765395892E-2</v>
      </c>
      <c r="T16" s="346"/>
    </row>
    <row r="17" spans="2:22" ht="15.75">
      <c r="B17" s="92">
        <v>38451</v>
      </c>
      <c r="C17" s="88">
        <v>5</v>
      </c>
      <c r="D17" s="151" t="s">
        <v>27</v>
      </c>
      <c r="E17" s="215">
        <v>1440</v>
      </c>
      <c r="F17" s="152">
        <f>[3]Apr!$P71</f>
        <v>1399</v>
      </c>
      <c r="G17" s="18">
        <v>9870</v>
      </c>
      <c r="H17" s="54">
        <f t="shared" si="0"/>
        <v>59.760333010974222</v>
      </c>
      <c r="I17" s="55"/>
      <c r="J17" s="54">
        <f>SUM(69,99.4,11.2,102,90.3,99.5,90,99.9)</f>
        <v>661.30000000000007</v>
      </c>
      <c r="K17" s="54">
        <f t="shared" si="3"/>
        <v>651.42000000000007</v>
      </c>
      <c r="L17" s="54">
        <f t="shared" si="1"/>
        <v>9.8799999999999955</v>
      </c>
      <c r="M17" s="55">
        <f>[3]Apr!AD17</f>
        <v>264</v>
      </c>
      <c r="N17" s="55">
        <f>9+8</f>
        <v>17</v>
      </c>
      <c r="O17" s="55"/>
      <c r="P17" s="54">
        <f t="shared" si="2"/>
        <v>1.4940269166792672</v>
      </c>
      <c r="Q17" s="55">
        <f>(G17)/(E17/60)</f>
        <v>411.25</v>
      </c>
      <c r="R17" s="16"/>
      <c r="S17" s="339">
        <f>SUM('[4]Daily glue APR'!$H$14,'[4]Daily glue APR'!$H$16)</f>
        <v>4.2004424587757924E-2</v>
      </c>
      <c r="T17" s="346"/>
    </row>
    <row r="18" spans="2:22" ht="18.75" customHeight="1">
      <c r="B18" s="92">
        <v>46122</v>
      </c>
      <c r="C18" s="88">
        <v>6</v>
      </c>
      <c r="D18" s="151" t="s">
        <v>45</v>
      </c>
      <c r="E18" s="215">
        <v>1260</v>
      </c>
      <c r="F18" s="152">
        <f>[3]Apr!$P72</f>
        <v>1009</v>
      </c>
      <c r="G18" s="18">
        <v>6477</v>
      </c>
      <c r="H18" s="54">
        <f t="shared" si="0"/>
        <v>54.374628344895939</v>
      </c>
      <c r="I18" s="55"/>
      <c r="J18" s="54">
        <f>SUM(90,97.1,92.5,95,85)-14-11</f>
        <v>434.6</v>
      </c>
      <c r="K18" s="54">
        <f t="shared" si="3"/>
        <v>427.48200000000003</v>
      </c>
      <c r="L18" s="54">
        <f t="shared" si="1"/>
        <v>7.117999999999995</v>
      </c>
      <c r="M18" s="55">
        <f>[3]Apr!AD18</f>
        <v>367</v>
      </c>
      <c r="N18" s="55">
        <f>19+11+4</f>
        <v>34</v>
      </c>
      <c r="O18" s="55"/>
      <c r="P18" s="54">
        <f t="shared" si="2"/>
        <v>1.637827887712838</v>
      </c>
      <c r="Q18" s="55">
        <f>(G18)/(E18/60)</f>
        <v>308.42857142857144</v>
      </c>
      <c r="R18" s="16"/>
      <c r="S18" s="339">
        <f>SUM('[4]Daily glue APR'!$H$17,'[4]Daily glue APR'!$H$19)</f>
        <v>4.7319579041949528E-2</v>
      </c>
      <c r="T18" s="346"/>
    </row>
    <row r="19" spans="2:22" ht="15.75">
      <c r="B19" s="92">
        <v>46125</v>
      </c>
      <c r="C19" s="88">
        <v>7</v>
      </c>
      <c r="D19" s="151" t="s">
        <v>115</v>
      </c>
      <c r="E19" s="445">
        <v>1380</v>
      </c>
      <c r="F19" s="152">
        <f>[3]Apr!$P73</f>
        <v>555</v>
      </c>
      <c r="G19" s="18">
        <v>2504</v>
      </c>
      <c r="H19" s="54">
        <f t="shared" si="0"/>
        <v>38.216852146263911</v>
      </c>
      <c r="I19" s="55"/>
      <c r="J19" s="54">
        <f>SUM(87,87)</f>
        <v>174</v>
      </c>
      <c r="K19" s="54">
        <f>(G19)*0.066</f>
        <v>165.26400000000001</v>
      </c>
      <c r="L19" s="54">
        <f t="shared" si="1"/>
        <v>8.73599999999999</v>
      </c>
      <c r="M19" s="55">
        <f>[3]Apr!AD19</f>
        <v>324</v>
      </c>
      <c r="N19" s="55">
        <v>5</v>
      </c>
      <c r="O19" s="55"/>
      <c r="P19" s="54">
        <f t="shared" si="2"/>
        <v>5.0206896551724078</v>
      </c>
      <c r="Q19" s="55">
        <f>(G19)/(E19/60)</f>
        <v>108.8695652173913</v>
      </c>
      <c r="R19" s="16"/>
      <c r="S19" s="54">
        <f>SUM('[4]Daily glue APR'!$H$20:$H$21)</f>
        <v>7.2694995200118129E-2</v>
      </c>
      <c r="T19" s="346"/>
    </row>
    <row r="20" spans="2:22" ht="15.75">
      <c r="B20" s="92">
        <v>46125</v>
      </c>
      <c r="C20" s="88">
        <v>7</v>
      </c>
      <c r="D20" s="151" t="s">
        <v>45</v>
      </c>
      <c r="E20" s="446"/>
      <c r="F20" s="152">
        <f>[3]Apr!$P74</f>
        <v>600</v>
      </c>
      <c r="G20" s="18">
        <v>3830</v>
      </c>
      <c r="H20" s="54">
        <f t="shared" si="0"/>
        <v>54.070588235294117</v>
      </c>
      <c r="I20" s="55"/>
      <c r="J20" s="184">
        <f>SUM(103.8,91.4,93,97.9)-14-21-92.5</f>
        <v>258.60000000000002</v>
      </c>
      <c r="K20" s="54">
        <f>(G20)*0.066</f>
        <v>252.78</v>
      </c>
      <c r="L20" s="54">
        <f t="shared" si="1"/>
        <v>5.8200000000000216</v>
      </c>
      <c r="M20" s="55">
        <f>[3]Apr!AD20</f>
        <v>245</v>
      </c>
      <c r="N20" s="55">
        <f>3+2</f>
        <v>5</v>
      </c>
      <c r="O20" s="55"/>
      <c r="P20" s="54">
        <f t="shared" si="2"/>
        <v>2.2505800464037202</v>
      </c>
      <c r="Q20" s="55">
        <f>(G20)/(E19/60)</f>
        <v>166.52173913043478</v>
      </c>
      <c r="R20" s="16"/>
      <c r="S20" s="343"/>
      <c r="T20" s="346"/>
    </row>
    <row r="21" spans="2:22" ht="15.75">
      <c r="B21" s="92">
        <v>46126</v>
      </c>
      <c r="C21" s="88">
        <v>8</v>
      </c>
      <c r="D21" s="151" t="s">
        <v>45</v>
      </c>
      <c r="E21" s="445">
        <v>1440</v>
      </c>
      <c r="F21" s="152">
        <f>[3]Apr!$P75</f>
        <v>477</v>
      </c>
      <c r="G21" s="18">
        <v>2898</v>
      </c>
      <c r="H21" s="54">
        <f t="shared" si="0"/>
        <v>51.462819089900115</v>
      </c>
      <c r="I21" s="55"/>
      <c r="J21" s="184">
        <f>SUM(95.4,21,92.5)-14</f>
        <v>194.9</v>
      </c>
      <c r="K21" s="54">
        <f>(G21)*0.066</f>
        <v>191.268</v>
      </c>
      <c r="L21" s="54">
        <f t="shared" si="1"/>
        <v>3.632000000000005</v>
      </c>
      <c r="M21" s="55">
        <f>[3]Apr!AD21</f>
        <v>141</v>
      </c>
      <c r="N21" s="55">
        <f>3+4</f>
        <v>7</v>
      </c>
      <c r="O21" s="55"/>
      <c r="P21" s="54">
        <f t="shared" si="2"/>
        <v>1.8635197537198587</v>
      </c>
      <c r="Q21" s="55">
        <f t="shared" si="4"/>
        <v>120.75</v>
      </c>
      <c r="R21" s="16"/>
      <c r="S21" s="339">
        <f>'[4]Daily glue APR'!$H23</f>
        <v>2.2402869097429765E-2</v>
      </c>
      <c r="T21" s="346"/>
    </row>
    <row r="22" spans="2:22" ht="15.75">
      <c r="B22" s="92">
        <v>46126</v>
      </c>
      <c r="C22" s="88">
        <v>8</v>
      </c>
      <c r="D22" s="151" t="s">
        <v>118</v>
      </c>
      <c r="E22" s="447"/>
      <c r="F22" s="152">
        <f>[3]Apr!$P76</f>
        <v>367</v>
      </c>
      <c r="G22" s="185">
        <v>1761</v>
      </c>
      <c r="H22" s="54">
        <f t="shared" si="0"/>
        <v>40.644975156275045</v>
      </c>
      <c r="I22" s="55"/>
      <c r="J22" s="428">
        <f>SUM(96,102)</f>
        <v>198</v>
      </c>
      <c r="K22" s="428">
        <f>(G22+G23)*0.066</f>
        <v>190.93800000000002</v>
      </c>
      <c r="L22" s="54">
        <f t="shared" ref="L22:L53" si="5">J22-K22</f>
        <v>7.0619999999999834</v>
      </c>
      <c r="M22" s="55">
        <f>[3]Apr!AD22</f>
        <v>170</v>
      </c>
      <c r="N22" s="187"/>
      <c r="O22" s="55"/>
      <c r="P22" s="428">
        <f t="shared" si="2"/>
        <v>3.5666666666666584</v>
      </c>
      <c r="Q22" s="55">
        <f>(G22)/(E21/60)</f>
        <v>73.375</v>
      </c>
      <c r="R22" s="16"/>
      <c r="S22" s="339">
        <f>'[4]Daily glue APR'!$H24</f>
        <v>2.1436197254702593E-2</v>
      </c>
      <c r="T22" s="346"/>
    </row>
    <row r="23" spans="2:22" ht="15.75">
      <c r="B23" s="92">
        <v>46126</v>
      </c>
      <c r="C23" s="88">
        <v>8</v>
      </c>
      <c r="D23" s="151" t="s">
        <v>117</v>
      </c>
      <c r="E23" s="447"/>
      <c r="F23" s="152">
        <f>[3]Apr!$P77</f>
        <v>455</v>
      </c>
      <c r="G23" s="18">
        <v>1132</v>
      </c>
      <c r="H23" s="54">
        <f t="shared" si="0"/>
        <v>21.074078862314156</v>
      </c>
      <c r="I23" s="55"/>
      <c r="J23" s="428"/>
      <c r="K23" s="428"/>
      <c r="L23" s="54">
        <f t="shared" si="5"/>
        <v>0</v>
      </c>
      <c r="M23" s="55">
        <f>[3]Apr!AD23</f>
        <v>312</v>
      </c>
      <c r="N23" s="187"/>
      <c r="O23" s="55"/>
      <c r="P23" s="428"/>
      <c r="Q23" s="55">
        <f>(G23)/(E21/60)</f>
        <v>47.166666666666664</v>
      </c>
      <c r="R23" s="16"/>
      <c r="S23" s="339">
        <f>'[4]Daily glue APR'!$H25</f>
        <v>3.9666039510818436E-2</v>
      </c>
      <c r="T23" s="346"/>
    </row>
    <row r="24" spans="2:22" ht="15.75">
      <c r="B24" s="92">
        <v>46126</v>
      </c>
      <c r="C24" s="88">
        <v>8</v>
      </c>
      <c r="D24" s="151" t="s">
        <v>116</v>
      </c>
      <c r="E24" s="446"/>
      <c r="F24" s="152">
        <f>[3]Apr!$P78</f>
        <v>30</v>
      </c>
      <c r="G24" s="18">
        <v>242</v>
      </c>
      <c r="H24" s="54">
        <f t="shared" si="0"/>
        <v>68.329411764705881</v>
      </c>
      <c r="I24" s="55"/>
      <c r="J24" s="54">
        <f>SUM(89.5,93)-81-85.5</f>
        <v>16</v>
      </c>
      <c r="K24" s="54">
        <f>(G24)*0.066</f>
        <v>15.972000000000001</v>
      </c>
      <c r="L24" s="54">
        <f t="shared" si="5"/>
        <v>2.7999999999998693E-2</v>
      </c>
      <c r="M24" s="55">
        <f>[3]Apr!AD24</f>
        <v>30</v>
      </c>
      <c r="N24" s="55">
        <v>2</v>
      </c>
      <c r="O24" s="55"/>
      <c r="P24" s="54">
        <f>(J24-K24)/J24*100</f>
        <v>0.17499999999999183</v>
      </c>
      <c r="Q24" s="55">
        <f>(G24)/(E21/60)</f>
        <v>10.083333333333334</v>
      </c>
      <c r="R24" s="16"/>
      <c r="S24" s="339">
        <f>'[4]Daily glue APR'!$H26</f>
        <v>3.9896593673965933E-2</v>
      </c>
      <c r="T24" s="346"/>
    </row>
    <row r="25" spans="2:22" ht="15.75">
      <c r="B25" s="92">
        <v>46127</v>
      </c>
      <c r="C25" s="88">
        <v>9</v>
      </c>
      <c r="D25" s="151" t="s">
        <v>116</v>
      </c>
      <c r="E25" s="445">
        <v>1435</v>
      </c>
      <c r="F25" s="152">
        <f>[3]Apr!$P79</f>
        <v>114</v>
      </c>
      <c r="G25" s="18">
        <v>700</v>
      </c>
      <c r="H25" s="54">
        <f t="shared" si="0"/>
        <v>52.012383900928796</v>
      </c>
      <c r="I25" s="55"/>
      <c r="J25" s="428">
        <f>SUM(81,85.5)</f>
        <v>166.5</v>
      </c>
      <c r="K25" s="428">
        <f>(G25+G26)*0.066</f>
        <v>164.01000000000002</v>
      </c>
      <c r="L25" s="54">
        <f t="shared" ref="L25:L36" si="6">J25-K25</f>
        <v>2.4899999999999807</v>
      </c>
      <c r="M25" s="55">
        <f>[3]Apr!AD25</f>
        <v>38</v>
      </c>
      <c r="N25" s="55">
        <v>2</v>
      </c>
      <c r="O25" s="55"/>
      <c r="P25" s="428">
        <f t="shared" si="2"/>
        <v>1.4954954954954838</v>
      </c>
      <c r="Q25" s="55">
        <f>(G25)/(E25/60)</f>
        <v>29.268292682926827</v>
      </c>
      <c r="R25" s="16"/>
      <c r="S25" s="339">
        <f>'[4]Daily glue APR'!$H$27</f>
        <v>2.6112401300510915E-2</v>
      </c>
      <c r="T25" s="346"/>
    </row>
    <row r="26" spans="2:22" ht="15.75">
      <c r="B26" s="92">
        <v>46127</v>
      </c>
      <c r="C26" s="88">
        <v>9</v>
      </c>
      <c r="D26" s="151" t="s">
        <v>119</v>
      </c>
      <c r="E26" s="447"/>
      <c r="F26" s="152">
        <f>[3]Apr!$P80</f>
        <v>323</v>
      </c>
      <c r="G26" s="18">
        <v>1785</v>
      </c>
      <c r="H26" s="54">
        <f>(G26)*24/(F26/60)/17000*100</f>
        <v>46.811145510835914</v>
      </c>
      <c r="I26" s="55"/>
      <c r="J26" s="428"/>
      <c r="K26" s="428"/>
      <c r="L26" s="54">
        <f t="shared" si="6"/>
        <v>0</v>
      </c>
      <c r="M26" s="55">
        <f>[3]Apr!AD26</f>
        <v>104</v>
      </c>
      <c r="N26" s="187"/>
      <c r="O26" s="55"/>
      <c r="P26" s="428"/>
      <c r="Q26" s="55">
        <f>(G26)/(E25/60)</f>
        <v>74.634146341463406</v>
      </c>
      <c r="R26" s="16"/>
      <c r="S26" s="339">
        <f>'[4]Daily glue APR'!$H$26</f>
        <v>3.9896593673965933E-2</v>
      </c>
      <c r="T26" s="346"/>
    </row>
    <row r="27" spans="2:22" ht="15.75">
      <c r="B27" s="92">
        <v>46127</v>
      </c>
      <c r="C27" s="88">
        <v>9</v>
      </c>
      <c r="D27" s="151" t="s">
        <v>27</v>
      </c>
      <c r="E27" s="446"/>
      <c r="F27" s="152">
        <f>[3]Apr!$P81</f>
        <v>845</v>
      </c>
      <c r="G27" s="18">
        <v>4936</v>
      </c>
      <c r="H27" s="54">
        <f t="shared" si="0"/>
        <v>49.480264531848242</v>
      </c>
      <c r="I27" s="55"/>
      <c r="J27" s="54">
        <f>SUM(99,90,95,90)-34</f>
        <v>340</v>
      </c>
      <c r="K27" s="54">
        <f>(G27)*0.066+(35*0.19)</f>
        <v>332.42599999999999</v>
      </c>
      <c r="L27" s="54">
        <f t="shared" si="6"/>
        <v>7.5740000000000123</v>
      </c>
      <c r="M27" s="55">
        <f>[3]Apr!AD27</f>
        <v>314</v>
      </c>
      <c r="N27" s="55">
        <v>2</v>
      </c>
      <c r="O27" s="55">
        <v>35</v>
      </c>
      <c r="P27" s="54">
        <f t="shared" ref="P27:P41" si="7">(J27-K27)/J27*100</f>
        <v>2.2276470588235333</v>
      </c>
      <c r="Q27" s="55">
        <f>(G27)/(E25/60)</f>
        <v>206.38327526132403</v>
      </c>
      <c r="R27" s="16"/>
      <c r="S27" s="339">
        <f>'[4]Daily glue APR'!$H$28</f>
        <v>2.9212782540919718E-2</v>
      </c>
      <c r="T27" s="346"/>
    </row>
    <row r="28" spans="2:22" ht="15.75">
      <c r="B28" s="92">
        <v>46128</v>
      </c>
      <c r="C28" s="88">
        <v>10</v>
      </c>
      <c r="D28" s="151" t="s">
        <v>27</v>
      </c>
      <c r="E28" s="445">
        <v>1432</v>
      </c>
      <c r="F28" s="152">
        <f>[3]Apr!$P82</f>
        <v>509</v>
      </c>
      <c r="G28" s="18">
        <v>3351</v>
      </c>
      <c r="H28" s="54">
        <f t="shared" si="0"/>
        <v>55.766092684618052</v>
      </c>
      <c r="I28" s="55"/>
      <c r="J28" s="54">
        <f>SUM(97.4,92.8,34)</f>
        <v>224.2</v>
      </c>
      <c r="K28" s="54">
        <f t="shared" ref="K28:K36" si="8">(G28)*0.066</f>
        <v>221.166</v>
      </c>
      <c r="L28" s="54">
        <f t="shared" si="6"/>
        <v>3.0339999999999918</v>
      </c>
      <c r="M28" s="55">
        <f>[3]Apr!AD28</f>
        <v>173</v>
      </c>
      <c r="N28" s="55">
        <v>23</v>
      </c>
      <c r="O28" s="55"/>
      <c r="P28" s="54">
        <f t="shared" si="7"/>
        <v>1.3532560214094522</v>
      </c>
      <c r="Q28" s="55">
        <f t="shared" ref="Q28:Q41" si="9">(G28)/(E28/60)</f>
        <v>140.40502793296088</v>
      </c>
      <c r="R28" s="16"/>
      <c r="S28" s="339">
        <f>'[4]Daily glue APR'!$H$30</f>
        <v>2.2424521354933724E-2</v>
      </c>
      <c r="T28" s="346"/>
    </row>
    <row r="29" spans="2:22" ht="15.75">
      <c r="B29" s="92">
        <v>46128</v>
      </c>
      <c r="C29" s="88">
        <v>10</v>
      </c>
      <c r="D29" s="151" t="s">
        <v>45</v>
      </c>
      <c r="E29" s="446"/>
      <c r="F29" s="152">
        <f>[3]Apr!$P83</f>
        <v>840</v>
      </c>
      <c r="G29" s="18">
        <v>6081</v>
      </c>
      <c r="H29" s="54">
        <f t="shared" si="0"/>
        <v>61.321008403361354</v>
      </c>
      <c r="I29" s="55">
        <v>21</v>
      </c>
      <c r="J29" s="348">
        <f>SUM(88,90,91,95.4,100.9,105.2)-80.5-82</f>
        <v>408</v>
      </c>
      <c r="K29" s="54">
        <f t="shared" si="8"/>
        <v>401.346</v>
      </c>
      <c r="L29" s="54">
        <f t="shared" si="6"/>
        <v>6.6539999999999964</v>
      </c>
      <c r="M29" s="55">
        <f>[3]Apr!AD29</f>
        <v>137</v>
      </c>
      <c r="N29" s="55">
        <f>1+2</f>
        <v>3</v>
      </c>
      <c r="O29" s="55"/>
      <c r="P29" s="54">
        <f t="shared" si="7"/>
        <v>1.6308823529411753</v>
      </c>
      <c r="Q29" s="55">
        <f>(G29)/(E28/60)</f>
        <v>254.79050279329607</v>
      </c>
      <c r="R29" s="16"/>
      <c r="S29" s="339">
        <f>'[4]Daily glue APR'!$H$31</f>
        <v>2.3917417417417416E-2</v>
      </c>
      <c r="T29" s="346"/>
      <c r="V29" s="349"/>
    </row>
    <row r="30" spans="2:22" ht="15.75">
      <c r="B30" s="92">
        <v>46129</v>
      </c>
      <c r="C30" s="88">
        <v>11</v>
      </c>
      <c r="D30" s="151" t="s">
        <v>45</v>
      </c>
      <c r="E30" s="445">
        <v>1198</v>
      </c>
      <c r="F30" s="152">
        <f>[3]Apr!$P84</f>
        <v>355</v>
      </c>
      <c r="G30" s="18">
        <v>2420</v>
      </c>
      <c r="H30" s="54">
        <f t="shared" si="0"/>
        <v>57.743164871582429</v>
      </c>
      <c r="I30" s="55"/>
      <c r="J30" s="54">
        <f>SUM(80.5,82)</f>
        <v>162.5</v>
      </c>
      <c r="K30" s="54">
        <f t="shared" si="8"/>
        <v>159.72</v>
      </c>
      <c r="L30" s="54">
        <f t="shared" si="6"/>
        <v>2.7800000000000011</v>
      </c>
      <c r="M30" s="55">
        <f>[3]Apr!AD30</f>
        <v>142</v>
      </c>
      <c r="N30" s="55">
        <v>11</v>
      </c>
      <c r="O30" s="55"/>
      <c r="P30" s="54">
        <f t="shared" si="7"/>
        <v>1.7107692307692313</v>
      </c>
      <c r="Q30" s="55">
        <f>(G30)/(E30/60)</f>
        <v>121.20200333889818</v>
      </c>
      <c r="R30" s="16"/>
      <c r="S30" s="339">
        <f>'[4]Daily glue APR'!$H$32</f>
        <v>2.1775116195924201E-2</v>
      </c>
      <c r="T30" s="346"/>
    </row>
    <row r="31" spans="2:22" ht="15.75">
      <c r="B31" s="92">
        <v>46129</v>
      </c>
      <c r="C31" s="88">
        <v>11</v>
      </c>
      <c r="D31" s="151" t="s">
        <v>60</v>
      </c>
      <c r="E31" s="446"/>
      <c r="F31" s="152">
        <f>[3]Apr!$P85</f>
        <v>517</v>
      </c>
      <c r="G31" s="185">
        <v>2589</v>
      </c>
      <c r="H31" s="54">
        <f t="shared" si="0"/>
        <v>42.418477642507682</v>
      </c>
      <c r="I31" s="55"/>
      <c r="J31" s="54">
        <f>SUM(99.2,106)-30.6</f>
        <v>174.6</v>
      </c>
      <c r="K31" s="54">
        <f t="shared" si="8"/>
        <v>170.874</v>
      </c>
      <c r="L31" s="54">
        <f>J31-K31</f>
        <v>3.7259999999999991</v>
      </c>
      <c r="M31" s="55">
        <f>[3]Apr!AD31</f>
        <v>414</v>
      </c>
      <c r="N31" s="55">
        <v>1</v>
      </c>
      <c r="O31" s="55"/>
      <c r="P31" s="54">
        <f t="shared" si="7"/>
        <v>2.1340206185567006</v>
      </c>
      <c r="Q31" s="55">
        <f>(G31)/(E30/60)</f>
        <v>129.6661101836394</v>
      </c>
      <c r="R31" s="16"/>
      <c r="S31" s="339">
        <f>'[4]Daily glue APR'!$H$34</f>
        <v>3.1851050679851667E-2</v>
      </c>
      <c r="T31" s="346"/>
    </row>
    <row r="32" spans="2:22" ht="15.75">
      <c r="B32" s="92">
        <v>46132</v>
      </c>
      <c r="C32" s="88">
        <v>12</v>
      </c>
      <c r="D32" s="151" t="s">
        <v>127</v>
      </c>
      <c r="E32" s="445">
        <v>1380</v>
      </c>
      <c r="F32" s="152">
        <f>[3]Apr!$P86</f>
        <v>495</v>
      </c>
      <c r="G32" s="448">
        <v>2693</v>
      </c>
      <c r="H32" s="428">
        <f>(G32+F33)*24/(F32/60)/17000*100</f>
        <v>50.207486631016053</v>
      </c>
      <c r="I32" s="55">
        <v>239</v>
      </c>
      <c r="J32" s="428">
        <f>SUM(30.6,50.5,99)</f>
        <v>180.1</v>
      </c>
      <c r="K32" s="428">
        <f>(G32)*0.066</f>
        <v>177.738</v>
      </c>
      <c r="L32" s="54">
        <f t="shared" si="6"/>
        <v>2.3619999999999948</v>
      </c>
      <c r="M32" s="55">
        <f>[3]Apr!AD32</f>
        <v>522</v>
      </c>
      <c r="N32" s="406">
        <v>5</v>
      </c>
      <c r="O32" s="55"/>
      <c r="P32" s="428">
        <f>(J32-K32)/J32*100</f>
        <v>1.3114936146585201</v>
      </c>
      <c r="Q32" s="406">
        <f t="shared" si="9"/>
        <v>117.08695652173913</v>
      </c>
      <c r="R32" s="16"/>
      <c r="S32" s="339">
        <f>'[4]Daily glue APR'!$H35</f>
        <v>5.4057692307692307E-2</v>
      </c>
      <c r="T32" s="346"/>
    </row>
    <row r="33" spans="2:20" ht="15.75">
      <c r="B33" s="92">
        <v>46132</v>
      </c>
      <c r="C33" s="88">
        <v>12</v>
      </c>
      <c r="D33" s="151" t="s">
        <v>128</v>
      </c>
      <c r="E33" s="447"/>
      <c r="F33" s="152">
        <f>[3]Apr!$P87</f>
        <v>241</v>
      </c>
      <c r="G33" s="448"/>
      <c r="H33" s="428"/>
      <c r="I33" s="55"/>
      <c r="J33" s="428"/>
      <c r="K33" s="428"/>
      <c r="L33" s="54">
        <f t="shared" si="6"/>
        <v>0</v>
      </c>
      <c r="M33" s="55">
        <f>[3]Apr!AD33</f>
        <v>58</v>
      </c>
      <c r="N33" s="406"/>
      <c r="O33" s="55"/>
      <c r="P33" s="428"/>
      <c r="Q33" s="406"/>
      <c r="R33" s="16"/>
      <c r="S33" s="339">
        <f>'[4]Daily glue APR'!$H36</f>
        <v>2.2352099236641217E-2</v>
      </c>
      <c r="T33" s="346"/>
    </row>
    <row r="34" spans="2:20" ht="15.75">
      <c r="B34" s="92">
        <v>46132</v>
      </c>
      <c r="C34" s="88">
        <v>12</v>
      </c>
      <c r="D34" s="151" t="s">
        <v>45</v>
      </c>
      <c r="E34" s="446"/>
      <c r="F34" s="152">
        <f>[3]Apr!$P88</f>
        <v>213</v>
      </c>
      <c r="G34" s="18">
        <v>1192</v>
      </c>
      <c r="H34" s="54">
        <f t="shared" si="0"/>
        <v>47.403479701739855</v>
      </c>
      <c r="I34" s="55"/>
      <c r="J34" s="348">
        <f>SUM(94.8,95.2)-21-90.2</f>
        <v>78.8</v>
      </c>
      <c r="K34" s="54">
        <f t="shared" si="8"/>
        <v>78.671999999999997</v>
      </c>
      <c r="L34" s="54">
        <f t="shared" si="6"/>
        <v>0.12800000000000011</v>
      </c>
      <c r="M34" s="55">
        <f>[3]Apr!AD34</f>
        <v>216</v>
      </c>
      <c r="N34" s="55">
        <v>4</v>
      </c>
      <c r="O34" s="55"/>
      <c r="P34" s="54">
        <f t="shared" si="7"/>
        <v>0.16243654822335041</v>
      </c>
      <c r="Q34" s="55">
        <f>(G34)/(E32/60)</f>
        <v>51.826086956521742</v>
      </c>
      <c r="R34" s="16"/>
      <c r="S34" s="339">
        <f>'[4]Daily glue APR'!$H37</f>
        <v>8.5130224106602058E-3</v>
      </c>
      <c r="T34" s="346"/>
    </row>
    <row r="35" spans="2:20" ht="15.75">
      <c r="B35" s="92">
        <v>46133</v>
      </c>
      <c r="C35" s="88">
        <v>13</v>
      </c>
      <c r="D35" s="151" t="s">
        <v>45</v>
      </c>
      <c r="E35" s="445">
        <v>1435</v>
      </c>
      <c r="F35" s="152">
        <f>[3]Apr!$P89</f>
        <v>726</v>
      </c>
      <c r="G35" s="18">
        <v>4590</v>
      </c>
      <c r="H35" s="54">
        <f t="shared" si="0"/>
        <v>53.553719008264466</v>
      </c>
      <c r="I35" s="55">
        <v>5.2</v>
      </c>
      <c r="J35" s="54">
        <f>SUM(21,94.6,90.2,100)</f>
        <v>305.8</v>
      </c>
      <c r="K35" s="54">
        <f t="shared" si="8"/>
        <v>302.94</v>
      </c>
      <c r="L35" s="54">
        <f t="shared" si="6"/>
        <v>2.8600000000000136</v>
      </c>
      <c r="M35" s="55">
        <f>[3]Apr!AD35</f>
        <v>207</v>
      </c>
      <c r="N35" s="55">
        <f>8+5</f>
        <v>13</v>
      </c>
      <c r="O35" s="55"/>
      <c r="P35" s="54">
        <f t="shared" si="7"/>
        <v>0.93525179856115548</v>
      </c>
      <c r="Q35" s="55">
        <f t="shared" si="9"/>
        <v>191.91637630662021</v>
      </c>
      <c r="R35" s="16"/>
      <c r="S35" s="339">
        <f>'[4]Daily glue APR'!$H$38</f>
        <v>3.4119253527537551E-2</v>
      </c>
      <c r="T35" s="346"/>
    </row>
    <row r="36" spans="2:20" ht="15.75">
      <c r="B36" s="92">
        <v>46133</v>
      </c>
      <c r="C36" s="88">
        <v>13</v>
      </c>
      <c r="D36" s="151" t="s">
        <v>27</v>
      </c>
      <c r="E36" s="446"/>
      <c r="F36" s="152">
        <f>[3]Apr!$P90</f>
        <v>667</v>
      </c>
      <c r="G36" s="18">
        <v>3311</v>
      </c>
      <c r="H36" s="54">
        <f>(G36)*24/(F36/60)/17000*100</f>
        <v>42.048152394391039</v>
      </c>
      <c r="I36" s="55"/>
      <c r="J36" s="54">
        <f>SUM(95.2,97,96,84.8)-65.2-86.3</f>
        <v>221.5</v>
      </c>
      <c r="K36" s="54">
        <f t="shared" si="8"/>
        <v>218.52600000000001</v>
      </c>
      <c r="L36" s="54">
        <f t="shared" si="6"/>
        <v>2.9739999999999895</v>
      </c>
      <c r="M36" s="55">
        <f>[3]Apr!AD36</f>
        <v>309</v>
      </c>
      <c r="N36" s="55">
        <f>1+10</f>
        <v>11</v>
      </c>
      <c r="O36" s="55"/>
      <c r="P36" s="54">
        <f t="shared" si="7"/>
        <v>1.3426636568848711</v>
      </c>
      <c r="Q36" s="55">
        <f>(G36)/(E35/60)</f>
        <v>138.4390243902439</v>
      </c>
      <c r="R36" s="16"/>
      <c r="S36" s="339">
        <f>'[4]Daily glue APR'!$H$40</f>
        <v>2.2406521739130433E-2</v>
      </c>
      <c r="T36" s="346"/>
    </row>
    <row r="37" spans="2:20" ht="15.75">
      <c r="B37" s="92">
        <v>46134</v>
      </c>
      <c r="C37" s="88">
        <v>14</v>
      </c>
      <c r="D37" s="151" t="s">
        <v>27</v>
      </c>
      <c r="E37" s="445">
        <v>1436</v>
      </c>
      <c r="F37" s="152">
        <f>[3]Apr!$P91</f>
        <v>290</v>
      </c>
      <c r="G37" s="352">
        <f>2256+2</f>
        <v>2258</v>
      </c>
      <c r="H37" s="54">
        <f>(G37)*24/(F37/60)/17000*100</f>
        <v>65.953752535496974</v>
      </c>
      <c r="I37" s="55">
        <v>368</v>
      </c>
      <c r="J37" s="54">
        <f>SUM(65.2,86.3)</f>
        <v>151.5</v>
      </c>
      <c r="K37" s="54">
        <f>(G37)*0.066</f>
        <v>149.02800000000002</v>
      </c>
      <c r="L37" s="54">
        <f t="shared" si="5"/>
        <v>2.47199999999998</v>
      </c>
      <c r="M37" s="55">
        <f>[3]Apr!AD37</f>
        <v>84</v>
      </c>
      <c r="N37" s="55">
        <v>10</v>
      </c>
      <c r="O37" s="55"/>
      <c r="P37" s="54">
        <f t="shared" si="7"/>
        <v>1.6316831683168185</v>
      </c>
      <c r="Q37" s="55">
        <f>(G37)/(E37/60)</f>
        <v>94.345403899721447</v>
      </c>
      <c r="R37" s="16"/>
      <c r="S37" s="339">
        <f>'[4]Daily glue APR'!$H$41</f>
        <v>2.4266752994496599E-2</v>
      </c>
      <c r="T37" s="346"/>
    </row>
    <row r="38" spans="2:20" ht="15.75">
      <c r="B38" s="92">
        <v>46134</v>
      </c>
      <c r="C38" s="88">
        <v>14</v>
      </c>
      <c r="D38" s="151" t="s">
        <v>44</v>
      </c>
      <c r="E38" s="446"/>
      <c r="F38" s="152">
        <f>[3]Apr!$P92</f>
        <v>1046</v>
      </c>
      <c r="G38" s="185">
        <v>5582</v>
      </c>
      <c r="H38" s="54">
        <f t="shared" si="0"/>
        <v>45.203464177257899</v>
      </c>
      <c r="I38" s="55"/>
      <c r="J38" s="184">
        <f>SUM(93.9,92,8,93.8,86)</f>
        <v>373.7</v>
      </c>
      <c r="K38" s="54">
        <f t="shared" ref="K38:K52" si="10">(G38)*0.066</f>
        <v>368.41200000000003</v>
      </c>
      <c r="L38" s="54">
        <f t="shared" si="5"/>
        <v>5.2879999999999541</v>
      </c>
      <c r="M38" s="55">
        <f>[3]Apr!AD38</f>
        <v>398</v>
      </c>
      <c r="N38" s="55">
        <f>2+3</f>
        <v>5</v>
      </c>
      <c r="O38" s="55"/>
      <c r="P38" s="54">
        <f t="shared" si="7"/>
        <v>1.4150388011774029</v>
      </c>
      <c r="Q38" s="55">
        <f>(G38)/(E37/60)</f>
        <v>233.23119777158774</v>
      </c>
      <c r="R38" s="16"/>
      <c r="S38" s="339">
        <f>'[4]Daily glue APR'!$H$42</f>
        <v>2.4174406604747158E-2</v>
      </c>
      <c r="T38" s="346"/>
    </row>
    <row r="39" spans="2:20" ht="15.75">
      <c r="B39" s="92">
        <v>46135</v>
      </c>
      <c r="C39" s="88">
        <v>15</v>
      </c>
      <c r="D39" s="151" t="s">
        <v>129</v>
      </c>
      <c r="E39" s="445">
        <v>1440</v>
      </c>
      <c r="F39" s="152">
        <f>[3]Apr!$P93</f>
        <v>727</v>
      </c>
      <c r="G39" s="185">
        <v>2102</v>
      </c>
      <c r="H39" s="54">
        <f t="shared" si="0"/>
        <v>24.491301885265795</v>
      </c>
      <c r="I39" s="55"/>
      <c r="J39" s="428">
        <f>SUM(78,99,92)-23.8</f>
        <v>245.2</v>
      </c>
      <c r="K39" s="428">
        <f>(G39+G40)*0.066</f>
        <v>241.69200000000001</v>
      </c>
      <c r="L39" s="428">
        <f t="shared" si="5"/>
        <v>3.5079999999999814</v>
      </c>
      <c r="M39" s="55">
        <f>[3]Apr!AD39</f>
        <v>524</v>
      </c>
      <c r="N39" s="406">
        <f>10+2+3</f>
        <v>15</v>
      </c>
      <c r="O39" s="55"/>
      <c r="P39" s="428">
        <f>(J39-K39)/J39*100</f>
        <v>1.4306688417618194</v>
      </c>
      <c r="Q39" s="55">
        <f>(G39)/(E39/60)</f>
        <v>87.583333333333329</v>
      </c>
      <c r="R39" s="16"/>
      <c r="S39" s="339">
        <f>'[4]Daily glue APR'!$H$45</f>
        <v>3.1513452914798207E-2</v>
      </c>
      <c r="T39" s="346"/>
    </row>
    <row r="40" spans="2:20" ht="15.75">
      <c r="B40" s="92">
        <v>46135</v>
      </c>
      <c r="C40" s="88">
        <v>15</v>
      </c>
      <c r="D40" s="151" t="s">
        <v>66</v>
      </c>
      <c r="E40" s="446"/>
      <c r="F40" s="152">
        <f>[3]Apr!$P94</f>
        <v>560</v>
      </c>
      <c r="G40" s="185">
        <v>1560</v>
      </c>
      <c r="H40" s="54">
        <f t="shared" si="0"/>
        <v>23.596638655462183</v>
      </c>
      <c r="I40" s="55"/>
      <c r="J40" s="428"/>
      <c r="K40" s="428"/>
      <c r="L40" s="428"/>
      <c r="M40" s="55">
        <f>[3]Apr!AD40</f>
        <v>363</v>
      </c>
      <c r="N40" s="406"/>
      <c r="O40" s="55"/>
      <c r="P40" s="428"/>
      <c r="Q40" s="55">
        <f>(G40)/(E39/60)</f>
        <v>65</v>
      </c>
      <c r="R40" s="16"/>
      <c r="S40" s="339">
        <f>'[4]Daily glue APR'!$H46</f>
        <v>2.3994878361075542E-2</v>
      </c>
      <c r="T40" s="346"/>
    </row>
    <row r="41" spans="2:20" ht="15.75">
      <c r="B41" s="92">
        <v>46136</v>
      </c>
      <c r="C41" s="88">
        <v>16</v>
      </c>
      <c r="D41" s="151" t="s">
        <v>66</v>
      </c>
      <c r="E41" s="445">
        <v>1260</v>
      </c>
      <c r="F41" s="152">
        <f>[3]Apr!$P95</f>
        <v>58</v>
      </c>
      <c r="G41" s="18">
        <f>2620</f>
        <v>2620</v>
      </c>
      <c r="H41" s="54">
        <f t="shared" si="0"/>
        <v>382.63691683569976</v>
      </c>
      <c r="I41" s="55"/>
      <c r="J41" s="428">
        <f>SUM(99,23.8,103)</f>
        <v>225.8</v>
      </c>
      <c r="K41" s="428">
        <f>(G41+G42)*0.066</f>
        <v>224.334</v>
      </c>
      <c r="L41" s="428">
        <f>J41-K41</f>
        <v>1.4660000000000082</v>
      </c>
      <c r="M41" s="55">
        <f>[3]Apr!AD41</f>
        <v>84</v>
      </c>
      <c r="N41" s="406">
        <f>13+2</f>
        <v>15</v>
      </c>
      <c r="O41" s="55"/>
      <c r="P41" s="428">
        <f t="shared" si="7"/>
        <v>0.64924712134632778</v>
      </c>
      <c r="Q41" s="55">
        <f t="shared" si="9"/>
        <v>124.76190476190476</v>
      </c>
      <c r="R41" s="16"/>
      <c r="S41" s="339">
        <f>'[4]Daily glue APR'!$H47</f>
        <v>3.4630411826821535E-2</v>
      </c>
      <c r="T41" s="346"/>
    </row>
    <row r="42" spans="2:20" ht="15.75">
      <c r="B42" s="92">
        <v>46136</v>
      </c>
      <c r="C42" s="88">
        <v>16</v>
      </c>
      <c r="D42" s="151" t="s">
        <v>45</v>
      </c>
      <c r="E42" s="446"/>
      <c r="F42" s="152">
        <f>[3]Apr!$P96</f>
        <v>582</v>
      </c>
      <c r="G42" s="18">
        <v>779</v>
      </c>
      <c r="H42" s="54">
        <f t="shared" si="0"/>
        <v>11.337780473013947</v>
      </c>
      <c r="I42" s="55"/>
      <c r="J42" s="428"/>
      <c r="K42" s="428"/>
      <c r="L42" s="428"/>
      <c r="M42" s="55">
        <f>[3]Apr!AD42</f>
        <v>807</v>
      </c>
      <c r="N42" s="406"/>
      <c r="O42" s="55"/>
      <c r="P42" s="428"/>
      <c r="Q42" s="55">
        <f>(G42)/(E41/60)</f>
        <v>37.095238095238095</v>
      </c>
      <c r="R42" s="16"/>
      <c r="S42" s="339">
        <f>'[4]Daily glue APR'!$H48</f>
        <v>2.8147530040053406E-2</v>
      </c>
      <c r="T42" s="346"/>
    </row>
    <row r="43" spans="2:20" ht="15.75">
      <c r="B43" s="92">
        <v>46139</v>
      </c>
      <c r="C43" s="88">
        <v>17</v>
      </c>
      <c r="D43" s="151" t="s">
        <v>50</v>
      </c>
      <c r="E43" s="215">
        <v>1380</v>
      </c>
      <c r="F43" s="152">
        <f>[3]Apr!$P97</f>
        <v>1078</v>
      </c>
      <c r="G43" s="18">
        <v>5916</v>
      </c>
      <c r="H43" s="54">
        <f t="shared" si="0"/>
        <v>46.486085343228204</v>
      </c>
      <c r="I43" s="55"/>
      <c r="J43" s="54">
        <f>SUM(100,94,100.5,106)</f>
        <v>400.5</v>
      </c>
      <c r="K43" s="54">
        <f>(G43)*0.066</f>
        <v>390.45600000000002</v>
      </c>
      <c r="L43" s="54">
        <f t="shared" si="5"/>
        <v>10.043999999999983</v>
      </c>
      <c r="M43" s="55">
        <f>[3]Apr!AD43</f>
        <v>549</v>
      </c>
      <c r="N43" s="55">
        <f>7+2+8</f>
        <v>17</v>
      </c>
      <c r="O43" s="55"/>
      <c r="P43" s="54">
        <f t="shared" si="2"/>
        <v>2.5078651685393214</v>
      </c>
      <c r="Q43" s="55">
        <f t="shared" si="4"/>
        <v>257.21739130434781</v>
      </c>
      <c r="R43" s="16"/>
      <c r="S43" s="339">
        <f>'[4]Daily glue APR'!$H$51</f>
        <v>1.704324979789814E-2</v>
      </c>
      <c r="T43" s="346"/>
    </row>
    <row r="44" spans="2:20" ht="15.75">
      <c r="B44" s="92">
        <v>46140</v>
      </c>
      <c r="C44" s="88">
        <v>18</v>
      </c>
      <c r="D44" s="151" t="s">
        <v>30</v>
      </c>
      <c r="E44" s="215">
        <v>1436</v>
      </c>
      <c r="F44" s="152">
        <f>[3]Apr!$P98</f>
        <v>1412</v>
      </c>
      <c r="G44" s="18">
        <v>6856</v>
      </c>
      <c r="H44" s="54">
        <f t="shared" si="0"/>
        <v>41.129145142476247</v>
      </c>
      <c r="I44" s="55"/>
      <c r="J44" s="54">
        <f>SUM(97.1,97.8,98,93.5,87.7,98.4)-98.9</f>
        <v>473.6</v>
      </c>
      <c r="K44" s="54">
        <f>(G44)*0.066+(40*0.19)</f>
        <v>460.09600000000006</v>
      </c>
      <c r="L44" s="54">
        <f t="shared" si="5"/>
        <v>13.503999999999962</v>
      </c>
      <c r="M44" s="55">
        <f>[3]Apr!AD44</f>
        <v>659</v>
      </c>
      <c r="N44" s="55">
        <f>3+10</f>
        <v>13</v>
      </c>
      <c r="O44" s="55">
        <v>40</v>
      </c>
      <c r="P44" s="54">
        <f t="shared" ref="P44:P53" si="11">(J44-K44)/J44*100</f>
        <v>2.8513513513513433</v>
      </c>
      <c r="Q44" s="55">
        <f>(G44)/(E44/60)</f>
        <v>286.46239554317549</v>
      </c>
      <c r="R44" s="16"/>
      <c r="S44" s="339">
        <f>SUM('[4]Daily glue APR'!$H$52:$H$54)</f>
        <v>8.3160606388846134E-2</v>
      </c>
      <c r="T44" s="16"/>
    </row>
    <row r="45" spans="2:20" ht="15.75">
      <c r="B45" s="92">
        <v>46141</v>
      </c>
      <c r="C45" s="88">
        <v>19</v>
      </c>
      <c r="D45" s="151" t="s">
        <v>45</v>
      </c>
      <c r="E45" s="445">
        <v>1427</v>
      </c>
      <c r="F45" s="152">
        <f>[3]Apr!$P99</f>
        <v>909</v>
      </c>
      <c r="G45" s="18">
        <v>5627</v>
      </c>
      <c r="H45" s="54">
        <f t="shared" si="0"/>
        <v>52.43564356435644</v>
      </c>
      <c r="I45" s="55"/>
      <c r="J45" s="54">
        <f>SUM(98.9,88,95.2,97)</f>
        <v>379.1</v>
      </c>
      <c r="K45" s="54">
        <f>(G45)*0.066</f>
        <v>371.38200000000001</v>
      </c>
      <c r="L45" s="54">
        <f t="shared" si="5"/>
        <v>7.7180000000000177</v>
      </c>
      <c r="M45" s="55">
        <f>[3]Apr!AD45</f>
        <v>174</v>
      </c>
      <c r="N45" s="55">
        <f>16+4</f>
        <v>20</v>
      </c>
      <c r="O45" s="55"/>
      <c r="P45" s="54">
        <f t="shared" si="11"/>
        <v>2.035874439461888</v>
      </c>
      <c r="Q45" s="55">
        <f t="shared" si="4"/>
        <v>236.59425367904694</v>
      </c>
      <c r="R45" s="16"/>
      <c r="S45" s="339">
        <f>'[4]Daily glue APR'!$H$55</f>
        <v>1.6473277074542894E-2</v>
      </c>
      <c r="T45" s="16"/>
    </row>
    <row r="46" spans="2:20" ht="15.75">
      <c r="B46" s="92">
        <v>46141</v>
      </c>
      <c r="C46" s="88">
        <v>19</v>
      </c>
      <c r="D46" s="151" t="s">
        <v>27</v>
      </c>
      <c r="E46" s="446"/>
      <c r="F46" s="152">
        <f>[3]Apr!$P100</f>
        <v>430</v>
      </c>
      <c r="G46" s="18">
        <v>3012</v>
      </c>
      <c r="H46" s="54">
        <f t="shared" si="0"/>
        <v>59.333515731874144</v>
      </c>
      <c r="I46" s="55"/>
      <c r="J46" s="54">
        <f>SUM(95,96.5,86.8,89.8)-70.2-93.9</f>
        <v>204.00000000000003</v>
      </c>
      <c r="K46" s="54">
        <f>(G46)*0.066+(12*0.19)</f>
        <v>201.072</v>
      </c>
      <c r="L46" s="54">
        <f t="shared" si="5"/>
        <v>2.9280000000000257</v>
      </c>
      <c r="M46" s="55">
        <f>[3]Apr!AD46</f>
        <v>166</v>
      </c>
      <c r="N46" s="55">
        <v>4</v>
      </c>
      <c r="O46" s="55">
        <v>12</v>
      </c>
      <c r="P46" s="54">
        <f t="shared" si="11"/>
        <v>1.4352941176470713</v>
      </c>
      <c r="Q46" s="55">
        <f>(G46)/(E45/60)</f>
        <v>126.64330763840223</v>
      </c>
      <c r="R46" s="16"/>
      <c r="S46" s="339">
        <f>'[4]Daily glue APR'!$H$57</f>
        <v>2.2609445018958976E-2</v>
      </c>
      <c r="T46" s="16"/>
    </row>
    <row r="47" spans="2:20" ht="15.75">
      <c r="B47" s="92">
        <v>46142</v>
      </c>
      <c r="C47" s="49">
        <v>20</v>
      </c>
      <c r="D47" s="151" t="s">
        <v>27</v>
      </c>
      <c r="E47" s="445">
        <v>1320</v>
      </c>
      <c r="F47" s="152">
        <f>[3]Apr!$P101</f>
        <v>362</v>
      </c>
      <c r="G47" s="18">
        <v>2445</v>
      </c>
      <c r="H47" s="54">
        <f t="shared" si="0"/>
        <v>57.211569710757225</v>
      </c>
      <c r="I47" s="55">
        <v>3</v>
      </c>
      <c r="J47" s="54">
        <f>SUM(70.2,93.9)</f>
        <v>164.10000000000002</v>
      </c>
      <c r="K47" s="54">
        <f t="shared" si="10"/>
        <v>161.37</v>
      </c>
      <c r="L47" s="54">
        <f t="shared" si="5"/>
        <v>2.7300000000000182</v>
      </c>
      <c r="M47" s="55">
        <f>[3]Apr!AD47</f>
        <v>109</v>
      </c>
      <c r="N47" s="55">
        <v>17</v>
      </c>
      <c r="O47" s="55"/>
      <c r="P47" s="54">
        <f t="shared" si="11"/>
        <v>1.6636197440585119</v>
      </c>
      <c r="Q47" s="55">
        <f>(G47)/(E47/60)</f>
        <v>111.13636363636364</v>
      </c>
      <c r="R47" s="16"/>
      <c r="S47" s="339">
        <f>'[4]Daily glue APR'!$H$58</f>
        <v>2.0369565217391306E-2</v>
      </c>
      <c r="T47" s="16"/>
    </row>
    <row r="48" spans="2:20" ht="15.75">
      <c r="B48" s="60">
        <v>46142</v>
      </c>
      <c r="C48" s="49">
        <v>21</v>
      </c>
      <c r="D48" s="151" t="s">
        <v>46</v>
      </c>
      <c r="E48" s="446"/>
      <c r="F48" s="152">
        <f>[3]Apr!$P102</f>
        <v>814</v>
      </c>
      <c r="G48" s="18">
        <v>3733</v>
      </c>
      <c r="H48" s="54">
        <f t="shared" si="0"/>
        <v>38.846076022546619</v>
      </c>
      <c r="I48" s="55">
        <f>1697+6</f>
        <v>1703</v>
      </c>
      <c r="J48" s="54">
        <f>SUM(98,101,102.88)-49.5</f>
        <v>252.38</v>
      </c>
      <c r="K48" s="54">
        <f t="shared" si="10"/>
        <v>246.37800000000001</v>
      </c>
      <c r="L48" s="54">
        <f t="shared" si="5"/>
        <v>6.0019999999999811</v>
      </c>
      <c r="M48" s="55">
        <f>[3]Apr!AD48</f>
        <v>346</v>
      </c>
      <c r="N48" s="55">
        <f>24+17</f>
        <v>41</v>
      </c>
      <c r="O48" s="55"/>
      <c r="P48" s="54">
        <f t="shared" si="11"/>
        <v>2.3781599175845871</v>
      </c>
      <c r="Q48" s="55">
        <f>(G48)/(E47/60)</f>
        <v>169.68181818181819</v>
      </c>
      <c r="R48" s="16"/>
      <c r="S48" s="339">
        <f>'[4]Daily glue APR'!$H$60</f>
        <v>2.6394366197183095E-2</v>
      </c>
      <c r="T48" s="16"/>
    </row>
    <row r="49" spans="2:20" ht="15.75">
      <c r="B49" s="60"/>
      <c r="C49" s="49"/>
      <c r="D49" s="151"/>
      <c r="E49" s="215"/>
      <c r="F49" s="152"/>
      <c r="G49" s="18"/>
      <c r="H49" s="54" t="e">
        <f t="shared" si="0"/>
        <v>#DIV/0!</v>
      </c>
      <c r="I49" s="55"/>
      <c r="J49" s="54"/>
      <c r="K49" s="54">
        <f>(G49)*0.066</f>
        <v>0</v>
      </c>
      <c r="L49" s="54">
        <f t="shared" si="5"/>
        <v>0</v>
      </c>
      <c r="M49" s="55">
        <f>[3]Apr!AD49</f>
        <v>0</v>
      </c>
      <c r="N49" s="55"/>
      <c r="O49" s="55"/>
      <c r="P49" s="54" t="e">
        <f t="shared" si="11"/>
        <v>#DIV/0!</v>
      </c>
      <c r="Q49" s="55" t="e">
        <f t="shared" si="4"/>
        <v>#DIV/0!</v>
      </c>
      <c r="R49" s="16"/>
      <c r="S49" s="339"/>
      <c r="T49" s="16"/>
    </row>
    <row r="50" spans="2:20" ht="15.75">
      <c r="B50" s="60"/>
      <c r="C50" s="49"/>
      <c r="D50" s="151"/>
      <c r="E50" s="169"/>
      <c r="F50" s="152"/>
      <c r="H50" s="54" t="e">
        <f t="shared" si="0"/>
        <v>#DIV/0!</v>
      </c>
      <c r="I50" s="55"/>
      <c r="J50" s="54"/>
      <c r="K50" s="54">
        <f t="shared" si="10"/>
        <v>0</v>
      </c>
      <c r="L50" s="54">
        <f>J50-K50</f>
        <v>0</v>
      </c>
      <c r="M50" s="55">
        <f>[3]Apr!AD50</f>
        <v>0</v>
      </c>
      <c r="N50" s="55"/>
      <c r="O50" s="55"/>
      <c r="P50" s="54" t="e">
        <f t="shared" si="11"/>
        <v>#DIV/0!</v>
      </c>
      <c r="Q50" s="55" t="e">
        <f t="shared" si="4"/>
        <v>#DIV/0!</v>
      </c>
      <c r="R50" s="16"/>
      <c r="S50" s="339"/>
      <c r="T50" s="16"/>
    </row>
    <row r="51" spans="2:20" ht="15.75">
      <c r="B51" s="60"/>
      <c r="C51" s="49"/>
      <c r="D51" s="151"/>
      <c r="E51" s="169"/>
      <c r="F51" s="152"/>
      <c r="G51" s="18"/>
      <c r="H51" s="54" t="e">
        <f t="shared" si="0"/>
        <v>#DIV/0!</v>
      </c>
      <c r="I51" s="55"/>
      <c r="J51" s="54"/>
      <c r="K51" s="54">
        <f t="shared" si="10"/>
        <v>0</v>
      </c>
      <c r="L51" s="54">
        <f t="shared" si="5"/>
        <v>0</v>
      </c>
      <c r="M51" s="55">
        <f>[3]Apr!AD51</f>
        <v>0</v>
      </c>
      <c r="N51" s="55"/>
      <c r="O51" s="55"/>
      <c r="P51" s="54" t="e">
        <f t="shared" si="11"/>
        <v>#DIV/0!</v>
      </c>
      <c r="Q51" s="55" t="e">
        <f t="shared" si="4"/>
        <v>#DIV/0!</v>
      </c>
      <c r="R51" s="16"/>
      <c r="S51" s="339"/>
      <c r="T51" s="16"/>
    </row>
    <row r="52" spans="2:20" ht="15.75">
      <c r="B52" s="60"/>
      <c r="C52" s="49"/>
      <c r="D52" s="151"/>
      <c r="E52" s="48"/>
      <c r="F52" s="152"/>
      <c r="G52" s="18"/>
      <c r="H52" s="54" t="e">
        <f t="shared" si="0"/>
        <v>#DIV/0!</v>
      </c>
      <c r="I52" s="55"/>
      <c r="J52" s="54"/>
      <c r="K52" s="54">
        <f t="shared" si="10"/>
        <v>0</v>
      </c>
      <c r="L52" s="54">
        <f t="shared" si="5"/>
        <v>0</v>
      </c>
      <c r="M52" s="55">
        <f>[3]Apr!AD52</f>
        <v>0</v>
      </c>
      <c r="N52" s="55"/>
      <c r="O52" s="55"/>
      <c r="P52" s="54" t="e">
        <f t="shared" si="11"/>
        <v>#DIV/0!</v>
      </c>
      <c r="Q52" s="55" t="e">
        <f t="shared" si="4"/>
        <v>#DIV/0!</v>
      </c>
      <c r="R52" s="16"/>
      <c r="S52" s="339"/>
      <c r="T52" s="16"/>
    </row>
    <row r="53" spans="2:20" ht="16.5" thickBot="1">
      <c r="B53" s="60"/>
      <c r="C53" s="49"/>
      <c r="D53" s="30"/>
      <c r="E53" s="48"/>
      <c r="F53" s="152"/>
      <c r="G53" s="18"/>
      <c r="H53" s="54" t="e">
        <f t="shared" si="0"/>
        <v>#DIV/0!</v>
      </c>
      <c r="I53" s="55"/>
      <c r="J53" s="54"/>
      <c r="K53" s="54">
        <f t="shared" ref="K53" si="12">(G53)*0.066</f>
        <v>0</v>
      </c>
      <c r="L53" s="54">
        <f t="shared" si="5"/>
        <v>0</v>
      </c>
      <c r="M53" s="55"/>
      <c r="N53" s="55"/>
      <c r="O53" s="55"/>
      <c r="P53" s="54" t="e">
        <f t="shared" si="11"/>
        <v>#DIV/0!</v>
      </c>
      <c r="Q53" s="55" t="e">
        <f t="shared" si="4"/>
        <v>#DIV/0!</v>
      </c>
      <c r="R53" s="16"/>
      <c r="S53" s="339"/>
      <c r="T53" s="16"/>
    </row>
    <row r="54" spans="2:20" ht="17.25" thickTop="1" thickBot="1">
      <c r="B54" s="12"/>
      <c r="C54" s="12"/>
      <c r="D54" s="31"/>
      <c r="E54" s="23">
        <f>SUM(E8:E53)</f>
        <v>27799</v>
      </c>
      <c r="F54" s="23">
        <f>SUM(F8:F53)</f>
        <v>22037</v>
      </c>
      <c r="G54" s="170">
        <f>SUM(G8:G53)</f>
        <v>121106</v>
      </c>
      <c r="H54" s="13">
        <f t="shared" ref="H54" si="13">(G54)*24/(F54/60)/17000*100</f>
        <v>46.550758216795813</v>
      </c>
      <c r="I54" s="14">
        <f>SUM(I8:I53)</f>
        <v>3420.2</v>
      </c>
      <c r="J54" s="13">
        <f>SUM(J8:J53)</f>
        <v>8188.9100000000017</v>
      </c>
      <c r="K54" s="13">
        <f>SUM(K8:K53)</f>
        <v>8039.0160000000005</v>
      </c>
      <c r="L54" s="13">
        <f>J54-K54</f>
        <v>149.89400000000114</v>
      </c>
      <c r="M54" s="53">
        <f>SUM(M8:M53)</f>
        <v>12491</v>
      </c>
      <c r="N54" s="36">
        <f>SUM(N8:N53)</f>
        <v>426</v>
      </c>
      <c r="O54" s="14">
        <f>SUM(O8:O53)</f>
        <v>205</v>
      </c>
      <c r="P54" s="25">
        <f>(J54-K54)/J54</f>
        <v>1.8304511833687403E-2</v>
      </c>
      <c r="Q54" s="14">
        <f>G54/(E54/60)</f>
        <v>261.38925860642468</v>
      </c>
      <c r="R54" s="344">
        <f>(G54+January_2026!G65+February_2026!G63+March_2026!G62)/((E54+January_2026!E65+February_2026!E63+March_2026!E62)/60)</f>
        <v>248.62831253361531</v>
      </c>
      <c r="S54" s="17"/>
      <c r="T54" s="17">
        <f>AVERAGE(G8:G53)</f>
        <v>3027.65</v>
      </c>
    </row>
    <row r="55" spans="2:20" ht="17.25" thickTop="1" thickBot="1">
      <c r="G55" s="1"/>
      <c r="H55" s="1"/>
      <c r="L55" s="19"/>
      <c r="M55" s="19"/>
      <c r="N55" s="41" t="s">
        <v>23</v>
      </c>
      <c r="O55" s="19"/>
      <c r="Q55" s="5"/>
    </row>
    <row r="56" spans="2:20" ht="21" thickTop="1" thickBot="1">
      <c r="G56" s="1"/>
      <c r="H56" s="1"/>
      <c r="K56" s="46" t="s">
        <v>36</v>
      </c>
      <c r="L56" s="15">
        <f>G54+O56</f>
        <v>121669.75</v>
      </c>
      <c r="M56" s="19"/>
      <c r="N56" s="41" t="s">
        <v>31</v>
      </c>
      <c r="O56" s="19">
        <f>O54*2.75</f>
        <v>563.75</v>
      </c>
      <c r="P56" s="40"/>
      <c r="Q56" s="5"/>
    </row>
    <row r="57" spans="2:20" ht="16.5" thickTop="1">
      <c r="G57" s="1"/>
      <c r="H57" s="1"/>
      <c r="L57" s="19"/>
      <c r="M57" s="19"/>
      <c r="N57" s="19"/>
      <c r="O57" s="19"/>
      <c r="Q57" s="5"/>
    </row>
    <row r="58" spans="2:20" ht="15.75">
      <c r="G58" s="1"/>
      <c r="H58" s="1"/>
      <c r="L58" s="19"/>
      <c r="M58" s="19"/>
      <c r="N58" s="19"/>
      <c r="O58" s="19"/>
      <c r="Q58" s="5"/>
    </row>
    <row r="59" spans="2:20" ht="15.75">
      <c r="G59" s="1"/>
      <c r="H59" s="1"/>
      <c r="L59" s="19"/>
      <c r="M59" s="19"/>
      <c r="N59" s="172" t="s">
        <v>33</v>
      </c>
      <c r="O59" s="172">
        <f>O43+O29+O17+O23</f>
        <v>0</v>
      </c>
      <c r="Q59" s="5"/>
    </row>
    <row r="60" spans="2:20" ht="15.75">
      <c r="G60" s="1"/>
      <c r="H60" s="1"/>
      <c r="L60" s="19"/>
      <c r="M60" s="19"/>
      <c r="N60" s="172" t="s">
        <v>32</v>
      </c>
      <c r="O60" s="172">
        <f>O14+O40</f>
        <v>43</v>
      </c>
      <c r="Q60" s="5"/>
    </row>
    <row r="61" spans="2:20" ht="15.75">
      <c r="F61" s="57"/>
      <c r="G61" s="1"/>
      <c r="H61" s="62"/>
      <c r="L61" s="19"/>
      <c r="M61" s="19"/>
      <c r="N61" s="19"/>
      <c r="O61" s="19"/>
      <c r="Q61" s="5"/>
    </row>
    <row r="62" spans="2:20" ht="15.75">
      <c r="G62" s="7"/>
      <c r="H62" s="1"/>
      <c r="L62" s="19"/>
      <c r="M62" s="19"/>
      <c r="N62" s="19"/>
      <c r="O62" s="19"/>
      <c r="Q62" s="5"/>
    </row>
    <row r="63" spans="2:20" ht="15.75">
      <c r="G63" s="1"/>
      <c r="H63" s="1"/>
      <c r="M63" s="19"/>
      <c r="N63" s="19"/>
      <c r="O63" s="19"/>
      <c r="Q63" s="5"/>
    </row>
    <row r="64" spans="2:20" ht="15.75">
      <c r="G64" s="1"/>
      <c r="H64" s="1"/>
      <c r="L64" s="19"/>
      <c r="M64" s="19"/>
      <c r="N64" s="19"/>
      <c r="O64" s="19"/>
      <c r="Q64" s="5"/>
    </row>
    <row r="65" spans="7:17" ht="15.75">
      <c r="G65" s="1"/>
      <c r="H65" s="1"/>
      <c r="L65" s="19"/>
      <c r="M65" s="19"/>
      <c r="N65" s="19"/>
      <c r="O65" s="19"/>
      <c r="Q65" s="5"/>
    </row>
    <row r="66" spans="7:17" ht="15.75">
      <c r="G66" s="1"/>
      <c r="H66" s="1"/>
      <c r="L66" s="19"/>
      <c r="M66" s="19"/>
      <c r="N66" s="19"/>
      <c r="O66" s="19"/>
      <c r="Q66" s="5"/>
    </row>
    <row r="67" spans="7:17" ht="15.75">
      <c r="G67" s="1"/>
      <c r="H67" s="1"/>
      <c r="L67" s="19"/>
      <c r="M67" s="19"/>
      <c r="N67" s="19"/>
      <c r="O67" s="19"/>
      <c r="Q67" s="5"/>
    </row>
    <row r="68" spans="7:17" ht="15.75">
      <c r="G68" s="1"/>
      <c r="H68" s="1"/>
      <c r="L68" s="19"/>
      <c r="M68" s="19"/>
      <c r="N68" s="19"/>
      <c r="O68" s="19"/>
      <c r="Q68" s="5"/>
    </row>
    <row r="69" spans="7:17" ht="15.75">
      <c r="G69" s="1"/>
      <c r="H69" s="1"/>
      <c r="L69" s="19"/>
      <c r="M69" s="19"/>
      <c r="N69" s="19"/>
      <c r="O69" s="19"/>
      <c r="Q69" s="5"/>
    </row>
    <row r="70" spans="7:17">
      <c r="G70" s="1"/>
      <c r="H70" s="1"/>
      <c r="Q70" s="5"/>
    </row>
    <row r="71" spans="7:17">
      <c r="G71" s="1"/>
      <c r="H71" s="1"/>
      <c r="Q71" s="5"/>
    </row>
    <row r="72" spans="7:17">
      <c r="G72" s="1"/>
      <c r="H72" s="1"/>
      <c r="Q72" s="5"/>
    </row>
    <row r="73" spans="7:17">
      <c r="G73" s="1"/>
      <c r="H73" s="1"/>
      <c r="Q73" s="5"/>
    </row>
    <row r="74" spans="7:17">
      <c r="G74" s="1"/>
      <c r="H74" s="1"/>
      <c r="Q74" s="5"/>
    </row>
    <row r="75" spans="7:17">
      <c r="G75" s="1"/>
      <c r="H75" s="1"/>
      <c r="Q75" s="5"/>
    </row>
    <row r="76" spans="7:17">
      <c r="G76" s="1"/>
      <c r="H76" s="1"/>
      <c r="Q76" s="5"/>
    </row>
    <row r="77" spans="7:17">
      <c r="G77" s="1"/>
      <c r="H77" s="1"/>
      <c r="Q77" s="5"/>
    </row>
    <row r="78" spans="7:17">
      <c r="G78" s="1"/>
      <c r="H78" s="1"/>
      <c r="Q78" s="5"/>
    </row>
    <row r="79" spans="7:17">
      <c r="G79" s="1"/>
      <c r="H79" s="1"/>
      <c r="Q79" s="5"/>
    </row>
    <row r="80" spans="7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</sheetData>
  <autoFilter ref="B5:Q53" xr:uid="{16DD4827-D1EE-4FF3-80A9-7258E34C7E97}"/>
  <mergeCells count="48">
    <mergeCell ref="P39:P40"/>
    <mergeCell ref="J41:J42"/>
    <mergeCell ref="K41:K42"/>
    <mergeCell ref="L41:L42"/>
    <mergeCell ref="P41:P42"/>
    <mergeCell ref="J39:J40"/>
    <mergeCell ref="K39:K40"/>
    <mergeCell ref="L39:L40"/>
    <mergeCell ref="N39:N40"/>
    <mergeCell ref="N41:N42"/>
    <mergeCell ref="P32:P33"/>
    <mergeCell ref="Q32:Q33"/>
    <mergeCell ref="E32:E34"/>
    <mergeCell ref="G32:G33"/>
    <mergeCell ref="N32:N33"/>
    <mergeCell ref="H32:H33"/>
    <mergeCell ref="J32:J33"/>
    <mergeCell ref="K32:K33"/>
    <mergeCell ref="P22:P23"/>
    <mergeCell ref="J25:J26"/>
    <mergeCell ref="K25:K26"/>
    <mergeCell ref="P25:P26"/>
    <mergeCell ref="E21:E24"/>
    <mergeCell ref="E25:E27"/>
    <mergeCell ref="J22:J23"/>
    <mergeCell ref="K22:K23"/>
    <mergeCell ref="R6:R7"/>
    <mergeCell ref="B1:Q1"/>
    <mergeCell ref="B3:Q3"/>
    <mergeCell ref="B4:Q4"/>
    <mergeCell ref="I5:I7"/>
    <mergeCell ref="L5:L7"/>
    <mergeCell ref="M5:M7"/>
    <mergeCell ref="N5:N7"/>
    <mergeCell ref="O5:O7"/>
    <mergeCell ref="E47:E48"/>
    <mergeCell ref="E45:E46"/>
    <mergeCell ref="E8:E10"/>
    <mergeCell ref="E11:E12"/>
    <mergeCell ref="E13:E14"/>
    <mergeCell ref="E15:E16"/>
    <mergeCell ref="E19:E20"/>
    <mergeCell ref="E30:E31"/>
    <mergeCell ref="E28:E29"/>
    <mergeCell ref="E37:E38"/>
    <mergeCell ref="E35:E36"/>
    <mergeCell ref="E41:E42"/>
    <mergeCell ref="E39:E40"/>
  </mergeCells>
  <conditionalFormatting sqref="I8:I53">
    <cfRule type="cellIs" dxfId="69" priority="48" stopIfTrue="1" operator="lessThan">
      <formula>50</formula>
    </cfRule>
  </conditionalFormatting>
  <conditionalFormatting sqref="P8:P22 P24:P25 P27:P32 P34:P39 P41 P43:P53">
    <cfRule type="cellIs" dxfId="68" priority="3" operator="greaterThan">
      <formula>1.84</formula>
    </cfRule>
  </conditionalFormatting>
  <pageMargins left="0.25" right="0.25" top="0.75" bottom="0.75" header="0.3" footer="0.3"/>
  <pageSetup scale="53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1"/>
    <pageSetUpPr fitToPage="1"/>
  </sheetPr>
  <dimension ref="B1:W126"/>
  <sheetViews>
    <sheetView topLeftCell="A4" zoomScale="80" zoomScaleNormal="80" zoomScaleSheetLayoutView="80" workbookViewId="0">
      <pane xSplit="2" ySplit="4" topLeftCell="C8" activePane="bottomRight" state="frozen"/>
      <selection activeCell="A4" sqref="A4"/>
      <selection pane="topRight" activeCell="B4" sqref="B4"/>
      <selection pane="bottomLeft" activeCell="A8" sqref="A8"/>
      <selection pane="bottomRight" activeCell="K14" sqref="K14"/>
    </sheetView>
  </sheetViews>
  <sheetFormatPr defaultRowHeight="12.75"/>
  <cols>
    <col min="1" max="1" width="2.42578125" customWidth="1"/>
    <col min="2" max="2" width="9.140625" style="1" customWidth="1"/>
    <col min="3" max="3" width="6" style="1" customWidth="1"/>
    <col min="4" max="4" width="40.42578125" style="32" customWidth="1"/>
    <col min="5" max="5" width="8.85546875" style="1" customWidth="1"/>
    <col min="6" max="6" width="7.42578125" style="24" customWidth="1"/>
    <col min="7" max="8" width="13.5703125" customWidth="1"/>
    <col min="9" max="9" width="10.5703125" style="7" customWidth="1"/>
    <col min="10" max="10" width="7.85546875" style="7" hidden="1" customWidth="1"/>
    <col min="11" max="11" width="11" style="7" customWidth="1"/>
    <col min="12" max="12" width="13.140625" style="7" customWidth="1"/>
    <col min="13" max="13" width="14" style="7" customWidth="1"/>
    <col min="14" max="14" width="16.85546875" style="7" customWidth="1"/>
    <col min="15" max="15" width="16.5703125" style="7" customWidth="1"/>
    <col min="16" max="16" width="9.42578125" style="7" customWidth="1"/>
    <col min="17" max="17" width="12.42578125" style="26" customWidth="1"/>
    <col min="18" max="18" width="12.140625" style="6" customWidth="1"/>
    <col min="19" max="19" width="11.5703125" customWidth="1"/>
    <col min="20" max="21" width="11" customWidth="1"/>
    <col min="24" max="24" width="20.85546875" customWidth="1"/>
    <col min="25" max="25" width="13.5703125" customWidth="1"/>
    <col min="26" max="26" width="15.85546875" customWidth="1"/>
    <col min="27" max="27" width="10.5703125" customWidth="1"/>
  </cols>
  <sheetData>
    <row r="1" spans="2:23" ht="27">
      <c r="B1" s="384" t="s">
        <v>0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</row>
    <row r="3" spans="2:23" ht="22.5">
      <c r="B3" s="385" t="s">
        <v>1</v>
      </c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</row>
    <row r="4" spans="2:23" ht="21" thickBot="1">
      <c r="B4" s="386">
        <v>46143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</row>
    <row r="5" spans="2:23" ht="17.25" thickTop="1" thickBot="1">
      <c r="B5" s="2" t="s">
        <v>2</v>
      </c>
      <c r="C5" s="2" t="s">
        <v>3</v>
      </c>
      <c r="D5" s="27" t="s">
        <v>4</v>
      </c>
      <c r="E5" s="2" t="s">
        <v>37</v>
      </c>
      <c r="F5" s="20" t="s">
        <v>12</v>
      </c>
      <c r="G5" s="2" t="s">
        <v>5</v>
      </c>
      <c r="H5" s="2" t="s">
        <v>13</v>
      </c>
      <c r="I5" s="387" t="s">
        <v>26</v>
      </c>
      <c r="J5" s="2" t="s">
        <v>8</v>
      </c>
      <c r="K5" s="2" t="s">
        <v>18</v>
      </c>
      <c r="L5" s="2" t="s">
        <v>6</v>
      </c>
      <c r="M5" s="390" t="s">
        <v>22</v>
      </c>
      <c r="N5" s="393" t="s">
        <v>24</v>
      </c>
      <c r="O5" s="393" t="s">
        <v>25</v>
      </c>
      <c r="P5" s="393" t="s">
        <v>23</v>
      </c>
      <c r="Q5" s="20" t="s">
        <v>6</v>
      </c>
      <c r="R5" s="4" t="s">
        <v>9</v>
      </c>
      <c r="S5" s="2" t="s">
        <v>20</v>
      </c>
      <c r="T5" s="336" t="s">
        <v>89</v>
      </c>
      <c r="U5" s="2"/>
    </row>
    <row r="6" spans="2:23" ht="16.5" customHeight="1" thickTop="1">
      <c r="B6" s="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88"/>
      <c r="J6" s="8" t="s">
        <v>7</v>
      </c>
      <c r="K6" s="8" t="s">
        <v>17</v>
      </c>
      <c r="L6" s="8" t="s">
        <v>17</v>
      </c>
      <c r="M6" s="391"/>
      <c r="N6" s="394"/>
      <c r="O6" s="394"/>
      <c r="P6" s="394"/>
      <c r="Q6" s="21" t="s">
        <v>19</v>
      </c>
      <c r="R6" s="9" t="s">
        <v>10</v>
      </c>
      <c r="S6" s="382" t="s">
        <v>21</v>
      </c>
      <c r="T6" s="337" t="s">
        <v>88</v>
      </c>
      <c r="U6" s="336" t="s">
        <v>95</v>
      </c>
    </row>
    <row r="7" spans="2:23" ht="16.5" thickBot="1">
      <c r="B7" s="10"/>
      <c r="C7" s="10"/>
      <c r="D7" s="29"/>
      <c r="E7" s="8"/>
      <c r="F7" s="22" t="s">
        <v>15</v>
      </c>
      <c r="G7" s="10"/>
      <c r="H7" s="10" t="s">
        <v>16</v>
      </c>
      <c r="I7" s="389"/>
      <c r="J7" s="10" t="s">
        <v>16</v>
      </c>
      <c r="K7" s="10"/>
      <c r="L7" s="10"/>
      <c r="M7" s="392"/>
      <c r="N7" s="395"/>
      <c r="O7" s="395"/>
      <c r="P7" s="395"/>
      <c r="Q7" s="22"/>
      <c r="R7" s="11"/>
      <c r="S7" s="383"/>
      <c r="T7" s="338" t="s">
        <v>90</v>
      </c>
      <c r="U7" s="337" t="s">
        <v>96</v>
      </c>
    </row>
    <row r="8" spans="2:23" ht="16.5" thickBot="1">
      <c r="B8" s="60">
        <v>46146</v>
      </c>
      <c r="C8" s="49">
        <v>1</v>
      </c>
      <c r="D8" s="30" t="s">
        <v>46</v>
      </c>
      <c r="E8" s="402">
        <v>1382</v>
      </c>
      <c r="F8" s="39">
        <f>[3]May!$N71</f>
        <v>222</v>
      </c>
      <c r="G8" s="18">
        <v>733</v>
      </c>
      <c r="H8" s="54">
        <f>(G8)*24/(F8/60)/17000*100</f>
        <v>27.968203497615256</v>
      </c>
      <c r="I8" s="55"/>
      <c r="J8" s="54"/>
      <c r="K8" s="54">
        <v>49.5</v>
      </c>
      <c r="L8" s="54">
        <f t="shared" ref="L8:L14" si="0">(G8)*0.066</f>
        <v>48.378</v>
      </c>
      <c r="M8" s="54">
        <f>K8-L8</f>
        <v>1.1219999999999999</v>
      </c>
      <c r="N8" s="55">
        <f>[3]May!$AD8</f>
        <v>254</v>
      </c>
      <c r="O8" s="55">
        <v>15</v>
      </c>
      <c r="P8" s="55"/>
      <c r="Q8" s="51">
        <f>(K8-L8)/K8*100</f>
        <v>2.2666666666666666</v>
      </c>
      <c r="R8" s="55">
        <f>(G8)/(E8/60)</f>
        <v>31.823444283646886</v>
      </c>
      <c r="S8" s="16"/>
      <c r="T8" s="339">
        <f>'[4]Daily glue MAY'!$H$2</f>
        <v>3.0422077922077923E-2</v>
      </c>
      <c r="U8" s="338" t="s">
        <v>3</v>
      </c>
    </row>
    <row r="9" spans="2:23" ht="15.75">
      <c r="B9" s="60">
        <v>46146</v>
      </c>
      <c r="C9" s="49">
        <v>1</v>
      </c>
      <c r="D9" s="30" t="s">
        <v>130</v>
      </c>
      <c r="E9" s="404"/>
      <c r="F9" s="39">
        <f>[3]May!$N72</f>
        <v>737</v>
      </c>
      <c r="G9" s="18">
        <v>4662</v>
      </c>
      <c r="H9" s="54">
        <f t="shared" ref="H9:H27" si="1">(G9)*24/(F9/60)/17000*100</f>
        <v>53.581929922579604</v>
      </c>
      <c r="I9" s="55">
        <v>276</v>
      </c>
      <c r="J9" s="54"/>
      <c r="K9" s="54">
        <f>SUM(94.1,100.4,100,37.8)</f>
        <v>332.3</v>
      </c>
      <c r="L9" s="54">
        <f>(G9)*0.0708</f>
        <v>330.06960000000004</v>
      </c>
      <c r="M9" s="54">
        <f t="shared" ref="M9:M18" si="2">K9-L9</f>
        <v>2.2303999999999746</v>
      </c>
      <c r="N9" s="55">
        <f>[3]May!$AD9</f>
        <v>386</v>
      </c>
      <c r="O9" s="55">
        <f>8+9</f>
        <v>17</v>
      </c>
      <c r="P9" s="55"/>
      <c r="Q9" s="51">
        <f t="shared" ref="Q9:Q15" si="3">(K9-L9)/K9*100</f>
        <v>0.67120072223893312</v>
      </c>
      <c r="R9" s="55">
        <f>(G9)/(E8/60)</f>
        <v>202.4023154848046</v>
      </c>
      <c r="S9" s="16"/>
      <c r="T9" s="339">
        <f>SUM('[4]Daily glue MAY'!$H$3:$H$4)</f>
        <v>6.0046593268740574E-2</v>
      </c>
      <c r="U9" s="16"/>
    </row>
    <row r="10" spans="2:23" ht="15.75">
      <c r="B10" s="60">
        <v>46147</v>
      </c>
      <c r="C10" s="49">
        <v>2</v>
      </c>
      <c r="D10" s="30" t="s">
        <v>62</v>
      </c>
      <c r="E10" s="402">
        <v>1440</v>
      </c>
      <c r="F10" s="39">
        <f>[3]May!$N73</f>
        <v>1063</v>
      </c>
      <c r="G10" s="18">
        <v>2128</v>
      </c>
      <c r="H10" s="54">
        <f t="shared" si="1"/>
        <v>16.957113607437332</v>
      </c>
      <c r="I10" s="55"/>
      <c r="J10" s="54"/>
      <c r="K10" s="428">
        <f>SUM(95,98)-10</f>
        <v>183</v>
      </c>
      <c r="L10" s="428">
        <f>(G10+G11)*0.066</f>
        <v>182.02800000000002</v>
      </c>
      <c r="M10" s="54">
        <f t="shared" si="2"/>
        <v>0.97199999999997999</v>
      </c>
      <c r="N10" s="55">
        <f>[3]May!$AD10</f>
        <v>939</v>
      </c>
      <c r="O10" s="406">
        <f>33+15</f>
        <v>48</v>
      </c>
      <c r="P10" s="55"/>
      <c r="Q10" s="428">
        <f>(K10-L10)/K10*100</f>
        <v>0.53114754098359562</v>
      </c>
      <c r="R10" s="55">
        <f>(G10)/(E10/60)</f>
        <v>88.666666666666671</v>
      </c>
      <c r="S10" s="16"/>
      <c r="T10" s="435">
        <f>'[4]Daily glue MAY'!$H$7</f>
        <v>2.4228960977903148E-2</v>
      </c>
      <c r="U10" s="16"/>
      <c r="V10" s="37"/>
      <c r="W10" s="6"/>
    </row>
    <row r="11" spans="2:23" ht="15.75">
      <c r="B11" s="60">
        <v>46147</v>
      </c>
      <c r="C11" s="49">
        <v>2</v>
      </c>
      <c r="D11" s="30" t="s">
        <v>45</v>
      </c>
      <c r="E11" s="404"/>
      <c r="F11" s="39">
        <f>[3]May!$N74</f>
        <v>107</v>
      </c>
      <c r="G11" s="18">
        <v>630</v>
      </c>
      <c r="H11" s="54">
        <f t="shared" si="1"/>
        <v>49.873556899395268</v>
      </c>
      <c r="I11" s="55"/>
      <c r="J11" s="54"/>
      <c r="K11" s="428"/>
      <c r="L11" s="428"/>
      <c r="M11" s="54">
        <f t="shared" si="2"/>
        <v>0</v>
      </c>
      <c r="N11" s="55">
        <f>[3]May!$AD11</f>
        <v>41</v>
      </c>
      <c r="O11" s="406"/>
      <c r="P11" s="55"/>
      <c r="Q11" s="428"/>
      <c r="R11" s="55">
        <f>(G11)/(E10/60)</f>
        <v>26.25</v>
      </c>
      <c r="S11" s="16"/>
      <c r="T11" s="435"/>
      <c r="U11" s="16"/>
      <c r="V11" s="37"/>
      <c r="W11" s="6"/>
    </row>
    <row r="12" spans="2:23" ht="15.75">
      <c r="B12" s="60">
        <v>46148</v>
      </c>
      <c r="C12" s="49">
        <v>3</v>
      </c>
      <c r="D12" s="30" t="s">
        <v>45</v>
      </c>
      <c r="E12" s="48">
        <v>1432</v>
      </c>
      <c r="F12" s="39">
        <f>[3]May!$N75</f>
        <v>1426</v>
      </c>
      <c r="G12" s="18">
        <v>10035</v>
      </c>
      <c r="H12" s="54">
        <f t="shared" si="1"/>
        <v>59.608943156505234</v>
      </c>
      <c r="I12" s="55">
        <v>3</v>
      </c>
      <c r="J12" s="54"/>
      <c r="K12" s="353">
        <f>SUM(10,93,100.3,93,96.5,103.5,84.6,94.2,105.5,89.7)-87.5-96.6</f>
        <v>686.2</v>
      </c>
      <c r="L12" s="54">
        <f>(G12)*0.066+(47*0.19)</f>
        <v>671.24</v>
      </c>
      <c r="M12" s="54">
        <f t="shared" si="2"/>
        <v>14.960000000000036</v>
      </c>
      <c r="N12" s="55">
        <f>[3]May!$AD12</f>
        <v>242</v>
      </c>
      <c r="O12" s="55">
        <f>4+5.2+20</f>
        <v>29.2</v>
      </c>
      <c r="P12" s="55">
        <v>47</v>
      </c>
      <c r="Q12" s="51">
        <f t="shared" si="3"/>
        <v>2.180122413290591</v>
      </c>
      <c r="R12" s="55">
        <f t="shared" ref="R12:R50" si="4">(G12)/(E12/60)</f>
        <v>420.46089385474858</v>
      </c>
      <c r="S12" s="16"/>
      <c r="T12" s="339">
        <f>SUM('[4]Daily glue MAY'!$H$8:$H$9)</f>
        <v>3.9938396705912628E-2</v>
      </c>
      <c r="U12" s="16"/>
      <c r="V12" s="37"/>
      <c r="W12" s="6"/>
    </row>
    <row r="13" spans="2:23" ht="15.75">
      <c r="B13" s="60">
        <v>46149</v>
      </c>
      <c r="C13" s="49">
        <v>4</v>
      </c>
      <c r="D13" s="30" t="s">
        <v>45</v>
      </c>
      <c r="E13" s="402">
        <v>1434</v>
      </c>
      <c r="F13" s="39">
        <f>[3]May!$N76</f>
        <v>234</v>
      </c>
      <c r="G13" s="18">
        <v>2745</v>
      </c>
      <c r="H13" s="54">
        <f>(G13)*24/(F13/60)/17000*100</f>
        <v>99.36651583710406</v>
      </c>
      <c r="I13" s="55"/>
      <c r="J13" s="54"/>
      <c r="K13" s="353">
        <f>SUM(87.5,96.6)</f>
        <v>184.1</v>
      </c>
      <c r="L13" s="54">
        <f t="shared" si="0"/>
        <v>181.17000000000002</v>
      </c>
      <c r="M13" s="54">
        <f t="shared" si="2"/>
        <v>2.9299999999999784</v>
      </c>
      <c r="N13" s="55">
        <f>[3]May!$AD13</f>
        <v>80</v>
      </c>
      <c r="O13" s="55">
        <v>14</v>
      </c>
      <c r="P13" s="55"/>
      <c r="Q13" s="51">
        <f t="shared" si="3"/>
        <v>1.5915263443780439</v>
      </c>
      <c r="R13" s="55">
        <f t="shared" si="4"/>
        <v>114.85355648535565</v>
      </c>
      <c r="S13" s="16"/>
      <c r="T13" s="339">
        <f>'[4]Daily glue MAY'!$H$11</f>
        <v>2.1056179775280896E-2</v>
      </c>
      <c r="U13" s="16"/>
      <c r="V13" s="37"/>
      <c r="W13" s="6"/>
    </row>
    <row r="14" spans="2:23" ht="15.75">
      <c r="B14" s="60">
        <v>46149</v>
      </c>
      <c r="C14" s="49">
        <v>4</v>
      </c>
      <c r="D14" s="30" t="s">
        <v>55</v>
      </c>
      <c r="E14" s="403"/>
      <c r="F14" s="39">
        <f>[3]May!$N77</f>
        <v>293</v>
      </c>
      <c r="G14" s="185">
        <v>1777</v>
      </c>
      <c r="H14" s="54">
        <f t="shared" si="1"/>
        <v>51.372816703473191</v>
      </c>
      <c r="I14" s="55">
        <v>170</v>
      </c>
      <c r="J14" s="54"/>
      <c r="K14" s="54">
        <f>1800*0.066</f>
        <v>118.80000000000001</v>
      </c>
      <c r="L14" s="54">
        <f t="shared" si="0"/>
        <v>117.28200000000001</v>
      </c>
      <c r="M14" s="54">
        <f t="shared" si="2"/>
        <v>1.5180000000000007</v>
      </c>
      <c r="N14" s="55">
        <f>[3]May!$AD14</f>
        <v>290</v>
      </c>
      <c r="O14" s="55">
        <f>4+1</f>
        <v>5</v>
      </c>
      <c r="P14" s="55"/>
      <c r="Q14" s="51">
        <f t="shared" si="3"/>
        <v>1.2777777777777781</v>
      </c>
      <c r="R14" s="55">
        <f>(G14)/(E13/60)</f>
        <v>74.351464435146454</v>
      </c>
      <c r="S14" s="16"/>
      <c r="T14" s="339">
        <f>'[4]Daily glue MAY'!$H$12</f>
        <v>2.0298960138648178E-2</v>
      </c>
      <c r="U14" s="16"/>
      <c r="V14" s="37"/>
      <c r="W14" s="6"/>
    </row>
    <row r="15" spans="2:23" ht="15.75">
      <c r="B15" s="60">
        <v>46149</v>
      </c>
      <c r="C15" s="49">
        <v>4</v>
      </c>
      <c r="D15" s="30" t="s">
        <v>27</v>
      </c>
      <c r="E15" s="404"/>
      <c r="F15" s="39">
        <f>[3]May!$N78</f>
        <v>385</v>
      </c>
      <c r="G15" s="18">
        <v>3071</v>
      </c>
      <c r="H15" s="54">
        <f t="shared" si="1"/>
        <v>67.566692131398014</v>
      </c>
      <c r="I15" s="55">
        <v>6</v>
      </c>
      <c r="J15" s="54"/>
      <c r="K15" s="54">
        <f>SUM(92,97,98,97.6)-99-75.4</f>
        <v>210.20000000000002</v>
      </c>
      <c r="L15" s="54">
        <f>(G15)*0.066+(30*0.19)</f>
        <v>208.386</v>
      </c>
      <c r="M15" s="54">
        <f t="shared" si="2"/>
        <v>1.8140000000000214</v>
      </c>
      <c r="N15" s="55">
        <f>[3]May!$AD15</f>
        <v>124</v>
      </c>
      <c r="O15" s="55">
        <v>2</v>
      </c>
      <c r="P15" s="55">
        <v>30</v>
      </c>
      <c r="Q15" s="51">
        <f t="shared" si="3"/>
        <v>0.86298763082779306</v>
      </c>
      <c r="R15" s="55">
        <f>(G15)/(E13/60)</f>
        <v>128.4937238493724</v>
      </c>
      <c r="S15" s="16"/>
      <c r="T15" s="339">
        <f>'[4]Daily glue MAY'!$H$13</f>
        <v>1.9246833276275247E-2</v>
      </c>
      <c r="U15" s="16"/>
      <c r="V15" s="216"/>
      <c r="W15" s="6"/>
    </row>
    <row r="16" spans="2:23" ht="15.75">
      <c r="B16" s="60">
        <v>46150</v>
      </c>
      <c r="C16" s="49">
        <v>5</v>
      </c>
      <c r="D16" s="30" t="s">
        <v>27</v>
      </c>
      <c r="E16" s="402">
        <v>1280</v>
      </c>
      <c r="F16" s="39">
        <f>[3]May!$N79</f>
        <v>696</v>
      </c>
      <c r="G16" s="18">
        <v>5141</v>
      </c>
      <c r="H16" s="54">
        <f t="shared" si="1"/>
        <v>62.567951318458412</v>
      </c>
      <c r="I16" s="55"/>
      <c r="J16" s="54"/>
      <c r="K16" s="54">
        <f>SUM(91,79,99,75.4)</f>
        <v>344.4</v>
      </c>
      <c r="L16" s="54">
        <f>(G16)*0.066</f>
        <v>339.30600000000004</v>
      </c>
      <c r="M16" s="54">
        <f t="shared" si="2"/>
        <v>5.0939999999999372</v>
      </c>
      <c r="N16" s="55">
        <f>[3]May!$AD16</f>
        <v>159</v>
      </c>
      <c r="O16" s="55">
        <f>2+6</f>
        <v>8</v>
      </c>
      <c r="P16" s="55"/>
      <c r="Q16" s="51">
        <f t="shared" ref="Q16:Q61" si="5">(K16-L16)/K16*100</f>
        <v>1.4790940766550342</v>
      </c>
      <c r="R16" s="55">
        <f t="shared" si="4"/>
        <v>240.984375</v>
      </c>
      <c r="S16" s="16"/>
      <c r="T16" s="339">
        <f>'[4]Daily glue MAY'!$H$14</f>
        <v>1.8284299009306514E-2</v>
      </c>
      <c r="U16" s="16"/>
      <c r="V16" s="37"/>
      <c r="W16" s="6"/>
    </row>
    <row r="17" spans="2:23" ht="15.75">
      <c r="B17" s="60">
        <v>46150</v>
      </c>
      <c r="C17" s="49">
        <v>5</v>
      </c>
      <c r="D17" s="30" t="s">
        <v>44</v>
      </c>
      <c r="E17" s="404"/>
      <c r="F17" s="39">
        <f>[3]May!$N80</f>
        <v>190</v>
      </c>
      <c r="G17" s="18">
        <v>1427</v>
      </c>
      <c r="H17" s="54">
        <f t="shared" si="1"/>
        <v>63.618575851393203</v>
      </c>
      <c r="I17" s="55"/>
      <c r="J17" s="54"/>
      <c r="K17" s="54">
        <f>SUM(94.2)</f>
        <v>94.2</v>
      </c>
      <c r="L17" s="54">
        <f>(G17)*0.066</f>
        <v>94.182000000000002</v>
      </c>
      <c r="M17" s="54">
        <f t="shared" si="2"/>
        <v>1.8000000000000682E-2</v>
      </c>
      <c r="N17" s="55">
        <f>[3]May!$AD17</f>
        <v>284</v>
      </c>
      <c r="O17" s="55"/>
      <c r="P17" s="55"/>
      <c r="Q17" s="51">
        <f t="shared" si="5"/>
        <v>1.9108280254777794E-2</v>
      </c>
      <c r="R17" s="55">
        <f>(G17)/(E16/60)</f>
        <v>66.890625</v>
      </c>
      <c r="S17" s="16"/>
      <c r="T17" s="339">
        <f>SUM('[4]Daily glue MAY'!$H$15:$H$16)</f>
        <v>4.5878366861952485E-2</v>
      </c>
      <c r="U17" s="16"/>
      <c r="V17" s="37"/>
      <c r="W17" s="6"/>
    </row>
    <row r="18" spans="2:23" ht="15.75">
      <c r="B18" s="60">
        <v>46151</v>
      </c>
      <c r="C18" s="49">
        <v>6</v>
      </c>
      <c r="D18" s="30" t="s">
        <v>44</v>
      </c>
      <c r="E18" s="48">
        <v>911</v>
      </c>
      <c r="F18" s="39">
        <f>[3]May!$N81</f>
        <v>845</v>
      </c>
      <c r="G18" s="18">
        <v>5853</v>
      </c>
      <c r="H18" s="54">
        <f t="shared" si="1"/>
        <v>58.672607030978071</v>
      </c>
      <c r="I18" s="55"/>
      <c r="J18" s="54"/>
      <c r="K18" s="54">
        <f>SUM(96,95.8,101.1,94)</f>
        <v>386.9</v>
      </c>
      <c r="L18" s="54">
        <f>(G18)*0.066</f>
        <v>386.298</v>
      </c>
      <c r="M18" s="54">
        <f t="shared" si="2"/>
        <v>0.60199999999997544</v>
      </c>
      <c r="N18" s="55">
        <f>[3]May!$AD18</f>
        <v>218</v>
      </c>
      <c r="O18" s="55">
        <f>7+5</f>
        <v>12</v>
      </c>
      <c r="P18" s="55"/>
      <c r="Q18" s="51">
        <f t="shared" ref="Q18:Q40" si="6">(K18-L18)/K18*100</f>
        <v>0.15559576117859278</v>
      </c>
      <c r="R18" s="55">
        <f>(G18)/(E18/60)</f>
        <v>385.48847420417121</v>
      </c>
      <c r="S18" s="16"/>
      <c r="T18" s="339">
        <f>SUM('[4]Daily glue MAY'!$H$17)</f>
        <v>1.6267361111111111E-2</v>
      </c>
      <c r="U18" s="16"/>
      <c r="V18" s="37"/>
      <c r="W18" s="6"/>
    </row>
    <row r="19" spans="2:23" ht="15.75">
      <c r="B19" s="60">
        <v>46153</v>
      </c>
      <c r="C19" s="49">
        <v>7</v>
      </c>
      <c r="D19" s="30" t="s">
        <v>45</v>
      </c>
      <c r="E19" s="48">
        <v>1350</v>
      </c>
      <c r="F19" s="39">
        <f>[3]May!$N82</f>
        <v>844</v>
      </c>
      <c r="G19" s="18">
        <v>6901</v>
      </c>
      <c r="H19" s="54">
        <f>(G19)*24/(F19/60)/17000*100</f>
        <v>69.260105938109845</v>
      </c>
      <c r="I19" s="55"/>
      <c r="J19" s="184"/>
      <c r="K19" s="54">
        <f>SUM(93.4,93.5,91.2,93.7,92.7)</f>
        <v>464.5</v>
      </c>
      <c r="L19" s="54">
        <f t="shared" ref="L19:L62" si="7">(G19)*0.066</f>
        <v>455.46600000000001</v>
      </c>
      <c r="M19" s="54">
        <f t="shared" ref="M19:M41" si="8">K19-L19</f>
        <v>9.0339999999999918</v>
      </c>
      <c r="N19" s="55">
        <f>[3]May!$AD19</f>
        <v>615</v>
      </c>
      <c r="O19" s="55">
        <f>6+6</f>
        <v>12</v>
      </c>
      <c r="P19" s="55"/>
      <c r="Q19" s="51">
        <f t="shared" si="6"/>
        <v>1.9448869752421942</v>
      </c>
      <c r="R19" s="55">
        <f t="shared" si="4"/>
        <v>306.71111111111111</v>
      </c>
      <c r="S19" s="16"/>
      <c r="T19" s="339">
        <f>SUM('[4]Daily glue MAY'!$H$20:$H$21)</f>
        <v>3.7093139040680019E-2</v>
      </c>
      <c r="U19" s="33"/>
      <c r="V19" s="37"/>
      <c r="W19" s="6"/>
    </row>
    <row r="20" spans="2:23" ht="15.75">
      <c r="B20" s="60">
        <v>46154</v>
      </c>
      <c r="C20" s="49">
        <v>8</v>
      </c>
      <c r="D20" s="30" t="s">
        <v>45</v>
      </c>
      <c r="E20" s="402">
        <v>1435</v>
      </c>
      <c r="F20" s="39">
        <f>[3]May!$N83</f>
        <v>385</v>
      </c>
      <c r="G20" s="18">
        <v>2933</v>
      </c>
      <c r="H20" s="54">
        <f t="shared" si="1"/>
        <v>64.530481283422461</v>
      </c>
      <c r="I20" s="55"/>
      <c r="J20" s="54"/>
      <c r="K20" s="54">
        <f>SUM(97.2,99.8)</f>
        <v>197</v>
      </c>
      <c r="L20" s="54">
        <f t="shared" si="7"/>
        <v>193.578</v>
      </c>
      <c r="M20" s="54">
        <f t="shared" si="8"/>
        <v>3.421999999999997</v>
      </c>
      <c r="N20" s="55">
        <f>[3]May!$AD20</f>
        <v>48</v>
      </c>
      <c r="O20" s="55"/>
      <c r="P20" s="55"/>
      <c r="Q20" s="51">
        <f t="shared" si="6"/>
        <v>1.7370558375634504</v>
      </c>
      <c r="R20" s="55">
        <f t="shared" si="4"/>
        <v>122.63414634146341</v>
      </c>
      <c r="S20" s="16"/>
      <c r="T20" s="339">
        <f>'[4]Daily glue MAY'!$H$22</f>
        <v>3.4459086730003065E-2</v>
      </c>
      <c r="U20" s="33"/>
      <c r="V20" s="37"/>
      <c r="W20" s="6"/>
    </row>
    <row r="21" spans="2:23" ht="15.75">
      <c r="B21" s="60">
        <v>46154</v>
      </c>
      <c r="C21" s="49">
        <v>8</v>
      </c>
      <c r="D21" s="30" t="s">
        <v>27</v>
      </c>
      <c r="E21" s="404"/>
      <c r="F21" s="39">
        <f>[3]May!$N84</f>
        <v>908</v>
      </c>
      <c r="G21" s="18">
        <v>6141</v>
      </c>
      <c r="H21" s="54">
        <f t="shared" si="1"/>
        <v>57.288416688261215</v>
      </c>
      <c r="I21" s="55"/>
      <c r="J21" s="54"/>
      <c r="K21" s="54">
        <f>SUM(89.1,99,102,100,84.5)-61.9</f>
        <v>412.70000000000005</v>
      </c>
      <c r="L21" s="54">
        <f t="shared" si="7"/>
        <v>405.30600000000004</v>
      </c>
      <c r="M21" s="54">
        <f t="shared" si="8"/>
        <v>7.3940000000000055</v>
      </c>
      <c r="N21" s="55">
        <f>[3]May!$AD21</f>
        <v>340</v>
      </c>
      <c r="O21" s="55">
        <v>5</v>
      </c>
      <c r="P21" s="55"/>
      <c r="Q21" s="51">
        <f t="shared" si="6"/>
        <v>1.7916161860915931</v>
      </c>
      <c r="R21" s="55">
        <f>(G21)/(E20/60)</f>
        <v>256.76655052264806</v>
      </c>
      <c r="S21" s="16"/>
      <c r="T21" s="339">
        <f>'[4]Daily glue MAY'!$H$23</f>
        <v>2.0688478522681651E-2</v>
      </c>
      <c r="U21" s="33"/>
      <c r="V21" s="37"/>
      <c r="W21" s="6"/>
    </row>
    <row r="22" spans="2:23" ht="15.75">
      <c r="B22" s="60">
        <v>46155</v>
      </c>
      <c r="C22" s="49">
        <v>9</v>
      </c>
      <c r="D22" s="30" t="s">
        <v>27</v>
      </c>
      <c r="E22" s="402">
        <v>1429</v>
      </c>
      <c r="F22" s="39">
        <f>[3]May!$N85</f>
        <v>141</v>
      </c>
      <c r="G22" s="18">
        <v>924</v>
      </c>
      <c r="H22" s="54">
        <f t="shared" si="1"/>
        <v>55.509386733416775</v>
      </c>
      <c r="I22" s="55"/>
      <c r="J22" s="54"/>
      <c r="K22" s="54">
        <v>61.9</v>
      </c>
      <c r="L22" s="54">
        <f t="shared" si="7"/>
        <v>60.984000000000002</v>
      </c>
      <c r="M22" s="54">
        <f t="shared" si="8"/>
        <v>0.91599999999999682</v>
      </c>
      <c r="N22" s="55">
        <f>[3]May!$AD22</f>
        <v>48</v>
      </c>
      <c r="O22" s="55">
        <v>2</v>
      </c>
      <c r="P22" s="55"/>
      <c r="Q22" s="51">
        <f>(K22-L22)/K22*100</f>
        <v>1.4798061389337589</v>
      </c>
      <c r="R22" s="55">
        <f>(G22)/(E22/60)</f>
        <v>38.796361091672502</v>
      </c>
      <c r="S22" s="16"/>
      <c r="T22" s="339">
        <f>'[4]Daily glue MAY'!$H$25</f>
        <v>4.4170333123821494E-2</v>
      </c>
      <c r="U22" s="33"/>
      <c r="V22" s="37"/>
      <c r="W22" s="6"/>
    </row>
    <row r="23" spans="2:23" ht="15.75">
      <c r="B23" s="60">
        <v>46155</v>
      </c>
      <c r="C23" s="49">
        <v>9</v>
      </c>
      <c r="D23" s="30" t="s">
        <v>45</v>
      </c>
      <c r="E23" s="404"/>
      <c r="F23" s="39">
        <f>[3]May!$N86</f>
        <v>1159</v>
      </c>
      <c r="G23" s="18">
        <v>7532</v>
      </c>
      <c r="H23" s="54">
        <f t="shared" si="1"/>
        <v>55.047860731868234</v>
      </c>
      <c r="I23" s="55"/>
      <c r="J23" s="54"/>
      <c r="K23" s="184">
        <f>SUM(100,100.2,106.1,103,89.2,65)-28.3-28</f>
        <v>507.20000000000005</v>
      </c>
      <c r="L23" s="54">
        <f t="shared" si="7"/>
        <v>497.11200000000002</v>
      </c>
      <c r="M23" s="54">
        <f t="shared" si="8"/>
        <v>10.088000000000022</v>
      </c>
      <c r="N23" s="55">
        <f>[3]May!$AD23</f>
        <v>319</v>
      </c>
      <c r="O23" s="55">
        <f>4+4</f>
        <v>8</v>
      </c>
      <c r="P23" s="55"/>
      <c r="Q23" s="51">
        <f t="shared" si="6"/>
        <v>1.9889589905362819</v>
      </c>
      <c r="R23" s="55">
        <f>(G23)/(E22/60)</f>
        <v>316.24912526242127</v>
      </c>
      <c r="S23" s="16"/>
      <c r="T23" s="339">
        <f>SUM('[4]Daily glue MAY'!$H$26:$H$27)</f>
        <v>3.8980637686943598E-2</v>
      </c>
      <c r="U23" s="16"/>
      <c r="V23" s="37"/>
      <c r="W23" s="6"/>
    </row>
    <row r="24" spans="2:23" ht="15.75">
      <c r="B24" s="60">
        <v>46156</v>
      </c>
      <c r="C24" s="49">
        <v>10</v>
      </c>
      <c r="D24" s="30" t="s">
        <v>45</v>
      </c>
      <c r="E24" s="402">
        <v>1471</v>
      </c>
      <c r="F24" s="39">
        <f>[3]May!$N87</f>
        <v>52</v>
      </c>
      <c r="G24" s="18">
        <v>422</v>
      </c>
      <c r="H24" s="54">
        <f t="shared" si="1"/>
        <v>68.742081447963798</v>
      </c>
      <c r="I24" s="55"/>
      <c r="J24" s="54"/>
      <c r="K24" s="54">
        <v>28.3</v>
      </c>
      <c r="L24" s="54">
        <f t="shared" si="7"/>
        <v>27.852</v>
      </c>
      <c r="M24" s="54">
        <f t="shared" si="8"/>
        <v>0.4480000000000004</v>
      </c>
      <c r="N24" s="55">
        <f>[3]May!$AD24</f>
        <v>12</v>
      </c>
      <c r="O24" s="55"/>
      <c r="P24" s="55"/>
      <c r="Q24" s="51">
        <f t="shared" si="6"/>
        <v>1.5830388692579518</v>
      </c>
      <c r="R24" s="55">
        <f t="shared" si="4"/>
        <v>17.212780421481984</v>
      </c>
      <c r="S24" s="16"/>
      <c r="T24" s="339">
        <f>'[4]Daily glue MAY'!$H$28</f>
        <v>2.5120643431635385E-2</v>
      </c>
      <c r="U24" s="16"/>
      <c r="V24" s="37"/>
      <c r="W24" s="6"/>
    </row>
    <row r="25" spans="2:23" ht="15.75">
      <c r="B25" s="60">
        <v>46156</v>
      </c>
      <c r="C25" s="49">
        <v>10</v>
      </c>
      <c r="D25" s="30" t="s">
        <v>27</v>
      </c>
      <c r="E25" s="403"/>
      <c r="F25" s="39">
        <f>[3]May!$N88</f>
        <v>256</v>
      </c>
      <c r="G25" s="18">
        <v>2773</v>
      </c>
      <c r="H25" s="54">
        <f t="shared" si="1"/>
        <v>91.753676470588232</v>
      </c>
      <c r="I25" s="55"/>
      <c r="J25" s="54"/>
      <c r="K25" s="54">
        <f>SUM(94.1,95)</f>
        <v>189.1</v>
      </c>
      <c r="L25" s="54">
        <f t="shared" si="7"/>
        <v>183.018</v>
      </c>
      <c r="M25" s="54">
        <f t="shared" si="8"/>
        <v>6.0819999999999936</v>
      </c>
      <c r="N25" s="55">
        <f>[3]May!$AD25</f>
        <v>102</v>
      </c>
      <c r="O25" s="55">
        <v>7</v>
      </c>
      <c r="P25" s="55"/>
      <c r="Q25" s="51">
        <f t="shared" si="6"/>
        <v>3.2162876784769932</v>
      </c>
      <c r="R25" s="55">
        <f>(G25)/(E24/60)</f>
        <v>113.10673011556764</v>
      </c>
      <c r="S25" s="16"/>
      <c r="T25" s="339">
        <f>'[4]Daily glue MAY'!$H$29/2</f>
        <v>1.0967616074912211E-2</v>
      </c>
      <c r="U25" s="33"/>
      <c r="V25" s="37"/>
      <c r="W25" s="6"/>
    </row>
    <row r="26" spans="2:23" ht="15.75">
      <c r="B26" s="60">
        <v>46156</v>
      </c>
      <c r="C26" s="49">
        <v>10</v>
      </c>
      <c r="D26" s="30" t="s">
        <v>71</v>
      </c>
      <c r="E26" s="403"/>
      <c r="F26" s="39">
        <f>[3]May!$N89</f>
        <v>342</v>
      </c>
      <c r="G26" s="185">
        <v>2581</v>
      </c>
      <c r="H26" s="54">
        <f t="shared" si="1"/>
        <v>63.925696594427251</v>
      </c>
      <c r="I26" s="55"/>
      <c r="J26" s="54"/>
      <c r="K26" s="54">
        <f>SUM(91,84.5)</f>
        <v>175.5</v>
      </c>
      <c r="L26" s="54">
        <f t="shared" si="7"/>
        <v>170.346</v>
      </c>
      <c r="M26" s="54">
        <f t="shared" si="8"/>
        <v>5.1539999999999964</v>
      </c>
      <c r="N26" s="55">
        <f>[3]May!$AD26</f>
        <v>204</v>
      </c>
      <c r="O26" s="55">
        <v>4</v>
      </c>
      <c r="P26" s="55"/>
      <c r="Q26" s="51">
        <f t="shared" si="6"/>
        <v>2.9367521367521348</v>
      </c>
      <c r="R26" s="55">
        <f>(G26)/(E24/60)</f>
        <v>105.27532290958533</v>
      </c>
      <c r="S26" s="16"/>
      <c r="T26" s="339">
        <f>'[4]Daily glue MAY'!$H$29/2</f>
        <v>1.0967616074912211E-2</v>
      </c>
      <c r="U26" s="33"/>
      <c r="V26" s="37"/>
      <c r="W26" s="6"/>
    </row>
    <row r="27" spans="2:23" ht="15.75">
      <c r="B27" s="60">
        <v>46156</v>
      </c>
      <c r="C27" s="49">
        <v>10</v>
      </c>
      <c r="D27" s="30" t="s">
        <v>49</v>
      </c>
      <c r="E27" s="404"/>
      <c r="F27" s="39">
        <f>[3]May!$N90</f>
        <v>350</v>
      </c>
      <c r="G27" s="18">
        <v>2896</v>
      </c>
      <c r="H27" s="54">
        <f t="shared" si="1"/>
        <v>70.088067226890757</v>
      </c>
      <c r="I27" s="55"/>
      <c r="J27" s="184"/>
      <c r="K27" s="54">
        <f>SUM(93,102.3)</f>
        <v>195.3</v>
      </c>
      <c r="L27" s="54">
        <f t="shared" si="7"/>
        <v>191.136</v>
      </c>
      <c r="M27" s="54">
        <f t="shared" si="8"/>
        <v>4.1640000000000157</v>
      </c>
      <c r="N27" s="55">
        <f>[3]May!$AD27</f>
        <v>114</v>
      </c>
      <c r="O27" s="55">
        <f>2+2</f>
        <v>4</v>
      </c>
      <c r="P27" s="55"/>
      <c r="Q27" s="51">
        <f t="shared" si="6"/>
        <v>2.1321044546851078</v>
      </c>
      <c r="R27" s="55">
        <f>(G27)/(E24/60)</f>
        <v>118.12372535690007</v>
      </c>
      <c r="S27" s="16"/>
      <c r="T27" s="339">
        <f>'[4]Daily glue MAY'!$H$30</f>
        <v>1.6901154401154399E-2</v>
      </c>
      <c r="U27" s="33"/>
      <c r="V27" s="37"/>
      <c r="W27" s="6"/>
    </row>
    <row r="28" spans="2:23" ht="15.75">
      <c r="B28" s="60">
        <v>46157</v>
      </c>
      <c r="C28" s="49">
        <v>11</v>
      </c>
      <c r="D28" s="30" t="s">
        <v>130</v>
      </c>
      <c r="E28" s="402">
        <v>1190</v>
      </c>
      <c r="F28" s="39">
        <f>[3]May!$N91</f>
        <v>491</v>
      </c>
      <c r="G28" s="18">
        <v>3955</v>
      </c>
      <c r="H28" s="54">
        <f>(G28)*24/(F28/60)/17000*100</f>
        <v>68.23050197675812</v>
      </c>
      <c r="I28" s="55"/>
      <c r="J28" s="54"/>
      <c r="K28" s="54">
        <f>SUM(92,91.7,99.8)-2</f>
        <v>281.5</v>
      </c>
      <c r="L28" s="54">
        <f>(G28)*0.0708</f>
        <v>280.01400000000001</v>
      </c>
      <c r="M28" s="54">
        <f t="shared" si="8"/>
        <v>1.48599999999999</v>
      </c>
      <c r="N28" s="55">
        <f>[3]May!$AD28</f>
        <v>420</v>
      </c>
      <c r="O28" s="55">
        <v>10</v>
      </c>
      <c r="P28" s="55"/>
      <c r="Q28" s="51">
        <f t="shared" si="6"/>
        <v>0.52788632326820251</v>
      </c>
      <c r="R28" s="55">
        <f t="shared" si="4"/>
        <v>199.41176470588238</v>
      </c>
      <c r="S28" s="16"/>
      <c r="T28" s="339">
        <f>SUM('[4]Daily glue MAY'!$H$31:$H$32)</f>
        <v>4.1818400588482553E-2</v>
      </c>
      <c r="U28" s="33"/>
      <c r="V28" s="37"/>
      <c r="W28" s="6"/>
    </row>
    <row r="29" spans="2:23" ht="15.75">
      <c r="B29" s="60">
        <v>46157</v>
      </c>
      <c r="C29" s="49">
        <v>11</v>
      </c>
      <c r="D29" s="30" t="s">
        <v>131</v>
      </c>
      <c r="E29" s="404"/>
      <c r="F29" s="39">
        <f>[3]May!$N92</f>
        <v>189</v>
      </c>
      <c r="G29" s="18">
        <v>1360</v>
      </c>
      <c r="H29" s="54">
        <f t="shared" ref="H29:H61" si="9">(G29)*24/(F29/60)/17000*100</f>
        <v>60.952380952380949</v>
      </c>
      <c r="I29" s="55"/>
      <c r="J29" s="54"/>
      <c r="K29" s="54">
        <v>100</v>
      </c>
      <c r="L29" s="54">
        <f>(G29)*0.0708</f>
        <v>96.287999999999997</v>
      </c>
      <c r="M29" s="54">
        <f t="shared" si="8"/>
        <v>3.7120000000000033</v>
      </c>
      <c r="N29" s="55">
        <f>[3]May!$AD29</f>
        <v>21</v>
      </c>
      <c r="O29" s="55">
        <v>1</v>
      </c>
      <c r="P29" s="55"/>
      <c r="Q29" s="51">
        <f t="shared" si="6"/>
        <v>3.7120000000000033</v>
      </c>
      <c r="R29" s="55">
        <f>(G29)/(E28/60)</f>
        <v>68.571428571428569</v>
      </c>
      <c r="S29" s="16"/>
      <c r="T29" s="339">
        <f>'[4]Daily glue MAY'!$H$33</f>
        <v>1.5501838235294118E-2</v>
      </c>
      <c r="U29" s="33"/>
      <c r="V29" s="37"/>
      <c r="W29" s="6"/>
    </row>
    <row r="30" spans="2:23" ht="15.75">
      <c r="B30" s="60">
        <v>46158</v>
      </c>
      <c r="C30" s="49">
        <v>12</v>
      </c>
      <c r="D30" s="30" t="s">
        <v>45</v>
      </c>
      <c r="E30" s="48">
        <v>799</v>
      </c>
      <c r="F30" s="39">
        <f>[3]May!$N93</f>
        <v>719</v>
      </c>
      <c r="G30" s="18">
        <v>5683</v>
      </c>
      <c r="H30" s="54">
        <f t="shared" si="9"/>
        <v>66.95181215740817</v>
      </c>
      <c r="I30" s="55"/>
      <c r="J30" s="54"/>
      <c r="K30" s="54">
        <f>SUM(87.3,97,94.9,105)</f>
        <v>384.20000000000005</v>
      </c>
      <c r="L30" s="54">
        <f>(G30)*0.066</f>
        <v>375.07800000000003</v>
      </c>
      <c r="M30" s="54">
        <f t="shared" si="8"/>
        <v>9.1220000000000141</v>
      </c>
      <c r="N30" s="55">
        <f>[3]May!$AD30</f>
        <v>123</v>
      </c>
      <c r="O30" s="55">
        <f>14+3</f>
        <v>17</v>
      </c>
      <c r="P30" s="55"/>
      <c r="Q30" s="51">
        <f t="shared" si="6"/>
        <v>2.3742842269651256</v>
      </c>
      <c r="R30" s="55">
        <f t="shared" si="4"/>
        <v>426.75844806007512</v>
      </c>
      <c r="S30" s="16"/>
      <c r="T30" s="339">
        <f>SUM('[4]Daily glue MAY'!$H$34:$H$35)</f>
        <v>5.1967512398440427E-2</v>
      </c>
      <c r="U30" s="33"/>
      <c r="V30" s="37"/>
      <c r="W30" s="6"/>
    </row>
    <row r="31" spans="2:23" ht="15.75">
      <c r="B31" s="60">
        <v>46160</v>
      </c>
      <c r="C31" s="49">
        <v>13</v>
      </c>
      <c r="D31" s="30" t="s">
        <v>48</v>
      </c>
      <c r="E31" s="402">
        <v>1380</v>
      </c>
      <c r="F31" s="39">
        <f>[3]May!$N94</f>
        <v>699</v>
      </c>
      <c r="G31" s="18">
        <v>5814</v>
      </c>
      <c r="H31" s="54">
        <f t="shared" si="9"/>
        <v>70.454935622317592</v>
      </c>
      <c r="I31" s="55"/>
      <c r="J31" s="54"/>
      <c r="K31" s="54">
        <f>SUM(97.1,94.3,95.9,107)</f>
        <v>394.29999999999995</v>
      </c>
      <c r="L31" s="54">
        <f t="shared" si="7"/>
        <v>383.72400000000005</v>
      </c>
      <c r="M31" s="54">
        <f t="shared" si="8"/>
        <v>10.575999999999908</v>
      </c>
      <c r="N31" s="55">
        <f>[3]May!$AD31</f>
        <v>183</v>
      </c>
      <c r="O31" s="55">
        <v>3</v>
      </c>
      <c r="P31" s="55"/>
      <c r="Q31" s="51">
        <f t="shared" si="6"/>
        <v>2.6822216586355334</v>
      </c>
      <c r="R31" s="55">
        <f t="shared" si="4"/>
        <v>252.78260869565219</v>
      </c>
      <c r="S31" s="16"/>
      <c r="T31" s="339">
        <f>SUM('[4]Daily glue MAY'!$H$36:$H$37)</f>
        <v>3.7085195390367295E-2</v>
      </c>
      <c r="U31" s="33"/>
      <c r="V31" s="37"/>
      <c r="W31" s="6"/>
    </row>
    <row r="32" spans="2:23" ht="15.75">
      <c r="B32" s="60">
        <v>46160</v>
      </c>
      <c r="C32" s="49">
        <v>13</v>
      </c>
      <c r="D32" s="30" t="s">
        <v>45</v>
      </c>
      <c r="E32" s="404"/>
      <c r="F32" s="39">
        <f>[3]May!$N95</f>
        <v>348</v>
      </c>
      <c r="G32" s="18">
        <v>2762</v>
      </c>
      <c r="H32" s="54">
        <f t="shared" si="9"/>
        <v>67.229208924949305</v>
      </c>
      <c r="I32" s="55"/>
      <c r="J32" s="54"/>
      <c r="K32" s="54">
        <f>SUM(96,98,90)-92.9</f>
        <v>191.1</v>
      </c>
      <c r="L32" s="54">
        <f>(G32)*0.066+(30*0.19)</f>
        <v>187.99199999999999</v>
      </c>
      <c r="M32" s="54">
        <f t="shared" si="8"/>
        <v>3.1080000000000041</v>
      </c>
      <c r="N32" s="55">
        <f>[3]May!$AD32</f>
        <v>205</v>
      </c>
      <c r="O32" s="55">
        <v>10</v>
      </c>
      <c r="P32" s="55">
        <v>30</v>
      </c>
      <c r="Q32" s="51">
        <f t="shared" si="6"/>
        <v>1.6263736263736288</v>
      </c>
      <c r="R32" s="55">
        <f>(G32)/(E31/60)</f>
        <v>120.08695652173913</v>
      </c>
      <c r="S32" s="16"/>
      <c r="T32" s="339">
        <f>'[4]Daily glue MAY'!$H$38</f>
        <v>2.1221254355400693E-2</v>
      </c>
      <c r="U32" s="16"/>
      <c r="V32" s="37"/>
      <c r="W32" s="6"/>
    </row>
    <row r="33" spans="2:23" ht="15.75">
      <c r="B33" s="60">
        <v>46161</v>
      </c>
      <c r="C33" s="49">
        <v>14</v>
      </c>
      <c r="D33" s="30" t="s">
        <v>45</v>
      </c>
      <c r="E33" s="402">
        <v>1435</v>
      </c>
      <c r="F33" s="39">
        <f>[3]May!$N96</f>
        <v>750</v>
      </c>
      <c r="G33" s="185">
        <v>3992</v>
      </c>
      <c r="H33" s="54">
        <f t="shared" si="9"/>
        <v>45.086117647058828</v>
      </c>
      <c r="I33" s="55"/>
      <c r="J33" s="54"/>
      <c r="K33" s="428">
        <f>SUM(92.9,86,97,98.3)</f>
        <v>374.2</v>
      </c>
      <c r="L33" s="428">
        <f>(G33+G34)*0.066</f>
        <v>366.63</v>
      </c>
      <c r="M33" s="428">
        <f t="shared" si="8"/>
        <v>7.5699999999999932</v>
      </c>
      <c r="N33" s="55">
        <f>[3]May!$AD33</f>
        <v>214</v>
      </c>
      <c r="O33" s="55">
        <f>2+8</f>
        <v>10</v>
      </c>
      <c r="P33" s="55"/>
      <c r="Q33" s="428">
        <f t="shared" si="6"/>
        <v>2.0229823623730607</v>
      </c>
      <c r="R33" s="55">
        <f t="shared" si="4"/>
        <v>166.9128919860627</v>
      </c>
      <c r="S33" s="16"/>
      <c r="T33" s="339">
        <f>'[4]Daily glue MAY'!$H$39</f>
        <v>1.8488555643251775E-2</v>
      </c>
      <c r="U33" s="33"/>
      <c r="V33" s="37"/>
      <c r="W33" s="6"/>
    </row>
    <row r="34" spans="2:23" ht="15.75">
      <c r="B34" s="60">
        <v>46161</v>
      </c>
      <c r="C34" s="49">
        <v>14</v>
      </c>
      <c r="D34" s="30" t="s">
        <v>62</v>
      </c>
      <c r="E34" s="403"/>
      <c r="F34" s="39">
        <f>[3]May!$N97</f>
        <v>332</v>
      </c>
      <c r="G34" s="18">
        <v>1563</v>
      </c>
      <c r="H34" s="54">
        <f t="shared" si="9"/>
        <v>39.878100637845506</v>
      </c>
      <c r="I34" s="55"/>
      <c r="J34" s="54"/>
      <c r="K34" s="428"/>
      <c r="L34" s="428"/>
      <c r="M34" s="428"/>
      <c r="N34" s="55">
        <f>[3]May!$AD34</f>
        <v>141</v>
      </c>
      <c r="O34" s="55">
        <v>4</v>
      </c>
      <c r="P34" s="55"/>
      <c r="Q34" s="428"/>
      <c r="R34" s="55">
        <f>(G34)/(E33/60)</f>
        <v>65.351916376306619</v>
      </c>
      <c r="S34" s="16"/>
      <c r="T34" s="339">
        <f>'[4]Daily glue MAY'!$H$41/2</f>
        <v>1.3759177679882526E-2</v>
      </c>
      <c r="U34" s="33"/>
      <c r="V34" s="37"/>
      <c r="W34" s="6"/>
    </row>
    <row r="35" spans="2:23" ht="15.75">
      <c r="B35" s="60">
        <v>46161</v>
      </c>
      <c r="C35" s="49">
        <v>14</v>
      </c>
      <c r="D35" s="30" t="s">
        <v>27</v>
      </c>
      <c r="E35" s="404"/>
      <c r="F35" s="39">
        <f>[3]May!$N98</f>
        <v>267</v>
      </c>
      <c r="G35" s="18">
        <v>1197</v>
      </c>
      <c r="H35" s="54">
        <f t="shared" si="9"/>
        <v>37.974884335756769</v>
      </c>
      <c r="I35" s="55"/>
      <c r="J35" s="54"/>
      <c r="K35" s="54">
        <f>SUM(98,107)-58-67</f>
        <v>80</v>
      </c>
      <c r="L35" s="54">
        <f t="shared" si="7"/>
        <v>79.00200000000001</v>
      </c>
      <c r="M35" s="54">
        <f t="shared" si="8"/>
        <v>0.99799999999999045</v>
      </c>
      <c r="N35" s="55">
        <f>[3]May!$AD35</f>
        <v>122</v>
      </c>
      <c r="O35" s="55">
        <v>11</v>
      </c>
      <c r="P35" s="55"/>
      <c r="Q35" s="51">
        <f>(K35-L35)/K35*100</f>
        <v>1.2474999999999881</v>
      </c>
      <c r="R35" s="55">
        <f>(G35)/(E33/60)</f>
        <v>50.048780487804876</v>
      </c>
      <c r="S35" s="16"/>
      <c r="T35" s="339">
        <f>'[4]Daily glue MAY'!$H$41/2</f>
        <v>1.3759177679882526E-2</v>
      </c>
      <c r="U35" s="33"/>
      <c r="V35" s="37"/>
      <c r="W35" s="6"/>
    </row>
    <row r="36" spans="2:23" ht="15.75">
      <c r="B36" s="60">
        <v>46162</v>
      </c>
      <c r="C36" s="49">
        <v>15</v>
      </c>
      <c r="D36" s="30" t="s">
        <v>27</v>
      </c>
      <c r="E36" s="402">
        <v>1440</v>
      </c>
      <c r="F36" s="39">
        <f>[3]May!$N99</f>
        <v>647</v>
      </c>
      <c r="G36" s="18">
        <v>4440</v>
      </c>
      <c r="H36" s="54">
        <f t="shared" si="9"/>
        <v>58.128920810982819</v>
      </c>
      <c r="I36" s="55"/>
      <c r="J36" s="54"/>
      <c r="K36" s="54">
        <f>SUM(87,58,67,86)</f>
        <v>298</v>
      </c>
      <c r="L36" s="54">
        <f t="shared" si="7"/>
        <v>293.04000000000002</v>
      </c>
      <c r="M36" s="54">
        <f t="shared" si="8"/>
        <v>4.9599999999999795</v>
      </c>
      <c r="N36" s="55">
        <f>[3]May!$AD36</f>
        <v>140</v>
      </c>
      <c r="O36" s="55">
        <f>1+4</f>
        <v>5</v>
      </c>
      <c r="P36" s="55"/>
      <c r="Q36" s="51">
        <f t="shared" si="6"/>
        <v>1.6644295302013354</v>
      </c>
      <c r="R36" s="55">
        <f t="shared" si="4"/>
        <v>185</v>
      </c>
      <c r="S36" s="16"/>
      <c r="T36" s="339">
        <f>'[4]Daily glue MAY'!$H$42</f>
        <v>1.5674138507862159E-2</v>
      </c>
      <c r="U36" s="33"/>
      <c r="V36" s="37"/>
      <c r="W36" s="6"/>
    </row>
    <row r="37" spans="2:23" ht="15.75">
      <c r="B37" s="60">
        <v>46162</v>
      </c>
      <c r="C37" s="49">
        <v>15</v>
      </c>
      <c r="D37" s="30" t="s">
        <v>45</v>
      </c>
      <c r="E37" s="404"/>
      <c r="F37" s="39">
        <f>[3]May!$N100</f>
        <v>505</v>
      </c>
      <c r="G37" s="18">
        <v>4642</v>
      </c>
      <c r="H37" s="54">
        <f t="shared" si="9"/>
        <v>77.862317996505539</v>
      </c>
      <c r="I37" s="55">
        <v>13</v>
      </c>
      <c r="J37" s="54"/>
      <c r="K37" s="54">
        <f>SUM(94,93.2,97.2,85.6)-56.9</f>
        <v>313.10000000000002</v>
      </c>
      <c r="L37" s="54">
        <f t="shared" si="7"/>
        <v>306.37200000000001</v>
      </c>
      <c r="M37" s="54">
        <f t="shared" si="8"/>
        <v>6.7280000000000086</v>
      </c>
      <c r="N37" s="55">
        <f>[3]May!$AD37</f>
        <v>189</v>
      </c>
      <c r="O37" s="55">
        <f>3+10</f>
        <v>13</v>
      </c>
      <c r="P37" s="55"/>
      <c r="Q37" s="51">
        <f t="shared" si="6"/>
        <v>2.1488342382625385</v>
      </c>
      <c r="R37" s="55">
        <f>(G37)/(E36/60)</f>
        <v>193.41666666666666</v>
      </c>
      <c r="S37" s="16"/>
      <c r="T37" s="339">
        <f>SUM('[4]Daily glue MAY'!$H$43:$H$44)</f>
        <v>4.7881104105827063E-2</v>
      </c>
      <c r="U37" s="33"/>
    </row>
    <row r="38" spans="2:23" ht="15.75">
      <c r="B38" s="60">
        <v>46163</v>
      </c>
      <c r="C38" s="49">
        <v>16</v>
      </c>
      <c r="D38" s="30" t="s">
        <v>45</v>
      </c>
      <c r="E38" s="402">
        <v>1420</v>
      </c>
      <c r="F38" s="39">
        <f>[3]May!$N101</f>
        <v>38</v>
      </c>
      <c r="G38" s="18">
        <v>824</v>
      </c>
      <c r="H38" s="54">
        <f t="shared" si="9"/>
        <v>183.67801857585141</v>
      </c>
      <c r="I38" s="55"/>
      <c r="J38" s="54"/>
      <c r="K38" s="54">
        <v>56.9</v>
      </c>
      <c r="L38" s="54">
        <f t="shared" si="7"/>
        <v>54.384</v>
      </c>
      <c r="M38" s="54">
        <f t="shared" si="8"/>
        <v>2.5159999999999982</v>
      </c>
      <c r="N38" s="55">
        <f>[3]May!$AD38</f>
        <v>27</v>
      </c>
      <c r="O38" s="55">
        <v>1</v>
      </c>
      <c r="P38" s="55"/>
      <c r="Q38" s="51">
        <f t="shared" si="6"/>
        <v>4.4217926186291709</v>
      </c>
      <c r="R38" s="55">
        <f>(G38)/(E38/60)</f>
        <v>34.816901408450704</v>
      </c>
      <c r="S38" s="16"/>
      <c r="T38" s="339">
        <f>'[4]Daily glue MAY'!$H$45/2</f>
        <v>9.9398868458274395E-3</v>
      </c>
      <c r="U38" s="33"/>
    </row>
    <row r="39" spans="2:23" ht="15.75">
      <c r="B39" s="60">
        <v>46163</v>
      </c>
      <c r="C39" s="49">
        <v>16</v>
      </c>
      <c r="D39" s="30" t="s">
        <v>27</v>
      </c>
      <c r="E39" s="403"/>
      <c r="F39" s="39">
        <f>[3]May!$N102</f>
        <v>761</v>
      </c>
      <c r="G39" s="18">
        <v>5605</v>
      </c>
      <c r="H39" s="54">
        <f t="shared" si="9"/>
        <v>62.388498106207003</v>
      </c>
      <c r="I39" s="55">
        <f>70*2+45.18</f>
        <v>185.18</v>
      </c>
      <c r="J39" s="54"/>
      <c r="K39" s="54">
        <f>SUM(96,99.1,85,96.8)</f>
        <v>376.90000000000003</v>
      </c>
      <c r="L39" s="54">
        <f t="shared" si="7"/>
        <v>369.93</v>
      </c>
      <c r="M39" s="54">
        <f t="shared" si="8"/>
        <v>6.9700000000000273</v>
      </c>
      <c r="N39" s="55">
        <f>[3]May!$AD39</f>
        <v>165</v>
      </c>
      <c r="O39" s="55">
        <f>1+6+3</f>
        <v>10</v>
      </c>
      <c r="P39" s="55"/>
      <c r="Q39" s="51">
        <f t="shared" si="6"/>
        <v>1.8492968957283171</v>
      </c>
      <c r="R39" s="55">
        <f>(G39)/(E38/60)</f>
        <v>236.83098591549296</v>
      </c>
      <c r="S39" s="16"/>
      <c r="T39" s="339">
        <f>'[4]Daily glue MAY'!$H$45/2</f>
        <v>9.9398868458274395E-3</v>
      </c>
      <c r="U39" s="33"/>
    </row>
    <row r="40" spans="2:23" ht="15.75">
      <c r="B40" s="60">
        <v>46163</v>
      </c>
      <c r="C40" s="49">
        <v>16</v>
      </c>
      <c r="D40" s="30" t="s">
        <v>132</v>
      </c>
      <c r="E40" s="404"/>
      <c r="F40" s="39">
        <f>[3]May!$N103</f>
        <v>199</v>
      </c>
      <c r="G40" s="18">
        <v>1301</v>
      </c>
      <c r="H40" s="54">
        <f t="shared" si="9"/>
        <v>55.378066804611279</v>
      </c>
      <c r="I40" s="55"/>
      <c r="J40" s="54"/>
      <c r="K40" s="54">
        <v>92</v>
      </c>
      <c r="L40" s="54">
        <f>(G40)*0.066</f>
        <v>85.866</v>
      </c>
      <c r="M40" s="54">
        <f t="shared" si="8"/>
        <v>6.1340000000000003</v>
      </c>
      <c r="N40" s="55">
        <f>[3]May!$AD40</f>
        <v>259</v>
      </c>
      <c r="O40" s="55">
        <f>2+2</f>
        <v>4</v>
      </c>
      <c r="P40" s="55"/>
      <c r="Q40" s="51">
        <f t="shared" si="6"/>
        <v>6.6673913043478263</v>
      </c>
      <c r="R40" s="55">
        <f>(G40)/(E38/60)</f>
        <v>54.971830985915489</v>
      </c>
      <c r="S40" s="16"/>
      <c r="T40" s="343"/>
      <c r="U40" s="33"/>
    </row>
    <row r="41" spans="2:23" ht="15.75">
      <c r="B41" s="60">
        <v>46164</v>
      </c>
      <c r="C41" s="49">
        <v>17</v>
      </c>
      <c r="D41" s="30" t="s">
        <v>115</v>
      </c>
      <c r="E41" s="402">
        <v>1170</v>
      </c>
      <c r="F41" s="39">
        <f>[3]May!$N104</f>
        <v>482</v>
      </c>
      <c r="G41" s="185">
        <v>2402</v>
      </c>
      <c r="H41" s="54">
        <f t="shared" si="9"/>
        <v>42.212350500366128</v>
      </c>
      <c r="I41" s="55"/>
      <c r="J41" s="54"/>
      <c r="K41" s="54">
        <f>SUM(82.8,82.4)</f>
        <v>165.2</v>
      </c>
      <c r="L41" s="54">
        <f t="shared" si="7"/>
        <v>158.53200000000001</v>
      </c>
      <c r="M41" s="54">
        <f t="shared" si="8"/>
        <v>6.6679999999999779</v>
      </c>
      <c r="N41" s="55">
        <f>[3]May!$AD41</f>
        <v>171</v>
      </c>
      <c r="O41" s="55">
        <v>3</v>
      </c>
      <c r="P41" s="55"/>
      <c r="Q41" s="51">
        <f t="shared" si="5"/>
        <v>4.0363196125907859</v>
      </c>
      <c r="R41" s="55">
        <f>(G41)/(E41/60)</f>
        <v>123.17948717948718</v>
      </c>
      <c r="S41" s="16"/>
      <c r="T41" s="339">
        <f>'[4]Daily glue MAY'!$H$48</f>
        <v>2.2578313253012045E-2</v>
      </c>
      <c r="U41" s="350"/>
      <c r="V41" s="217"/>
    </row>
    <row r="42" spans="2:23" ht="15.75">
      <c r="B42" s="60">
        <v>46164</v>
      </c>
      <c r="C42" s="49">
        <v>17</v>
      </c>
      <c r="D42" s="30" t="s">
        <v>133</v>
      </c>
      <c r="E42" s="403"/>
      <c r="F42" s="39">
        <f>[3]May!$N105</f>
        <v>322</v>
      </c>
      <c r="G42" s="18">
        <v>1771</v>
      </c>
      <c r="H42" s="54">
        <f>(G42)*24/(F42/60)/17000*100</f>
        <v>46.588235294117652</v>
      </c>
      <c r="I42" s="55"/>
      <c r="J42" s="54"/>
      <c r="K42" s="54">
        <f>1800*0.066</f>
        <v>118.80000000000001</v>
      </c>
      <c r="L42" s="54">
        <f t="shared" si="7"/>
        <v>116.88600000000001</v>
      </c>
      <c r="M42" s="54">
        <f>K42-L42</f>
        <v>1.9140000000000015</v>
      </c>
      <c r="N42" s="55">
        <f>[3]May!$AD42</f>
        <v>184</v>
      </c>
      <c r="O42" s="55">
        <v>3</v>
      </c>
      <c r="P42" s="55"/>
      <c r="Q42" s="51">
        <f t="shared" ref="Q42:Q49" si="10">(K42-L42)/K42*100</f>
        <v>1.611111111111112</v>
      </c>
      <c r="R42" s="55">
        <f>(G42)/(E41/60)</f>
        <v>90.820512820512818</v>
      </c>
      <c r="S42" s="16"/>
      <c r="T42" s="343"/>
      <c r="U42" s="350"/>
      <c r="V42" s="217"/>
    </row>
    <row r="43" spans="2:23" ht="16.5" customHeight="1">
      <c r="B43" s="60">
        <v>46164</v>
      </c>
      <c r="C43" s="49">
        <v>17</v>
      </c>
      <c r="D43" s="30" t="s">
        <v>45</v>
      </c>
      <c r="E43" s="404"/>
      <c r="F43" s="39">
        <f>[3]May!$N106</f>
        <v>131</v>
      </c>
      <c r="G43" s="18">
        <v>1062</v>
      </c>
      <c r="H43" s="54">
        <f t="shared" si="9"/>
        <v>68.669959586888197</v>
      </c>
      <c r="I43" s="55"/>
      <c r="J43" s="54"/>
      <c r="K43" s="54">
        <f>SUM(96,95.2)-62-57</f>
        <v>72.199999999999989</v>
      </c>
      <c r="L43" s="54">
        <f t="shared" si="7"/>
        <v>70.091999999999999</v>
      </c>
      <c r="M43" s="54">
        <f t="shared" ref="M43:M48" si="11">K43-L43</f>
        <v>2.1079999999999899</v>
      </c>
      <c r="N43" s="55">
        <f>[3]May!$AD43</f>
        <v>110</v>
      </c>
      <c r="O43" s="55">
        <v>3</v>
      </c>
      <c r="P43" s="55"/>
      <c r="Q43" s="51">
        <f t="shared" si="10"/>
        <v>2.9196675900276872</v>
      </c>
      <c r="R43" s="55">
        <f>(G43)/(E41/60)</f>
        <v>54.46153846153846</v>
      </c>
      <c r="S43" s="16"/>
      <c r="T43" s="343"/>
      <c r="U43" s="16"/>
    </row>
    <row r="44" spans="2:23" ht="15.75" customHeight="1">
      <c r="B44" s="60">
        <v>46168</v>
      </c>
      <c r="C44" s="49">
        <v>18</v>
      </c>
      <c r="D44" s="30" t="s">
        <v>45</v>
      </c>
      <c r="E44" s="48">
        <v>970</v>
      </c>
      <c r="F44" s="39">
        <f>[3]May!$N107</f>
        <v>485</v>
      </c>
      <c r="G44" s="18">
        <v>4705</v>
      </c>
      <c r="H44" s="54">
        <f t="shared" si="9"/>
        <v>82.173438447543958</v>
      </c>
      <c r="I44" s="55"/>
      <c r="J44" s="54"/>
      <c r="K44" s="54">
        <f>SUM(62,57,97.4,97,97.1,96.3)-94-93.8</f>
        <v>319</v>
      </c>
      <c r="L44" s="54">
        <f t="shared" si="7"/>
        <v>310.53000000000003</v>
      </c>
      <c r="M44" s="54">
        <f t="shared" si="11"/>
        <v>8.4699999999999704</v>
      </c>
      <c r="N44" s="55">
        <f>[3]May!$AD44</f>
        <v>384</v>
      </c>
      <c r="O44" s="55">
        <f>3+5</f>
        <v>8</v>
      </c>
      <c r="P44" s="55"/>
      <c r="Q44" s="51">
        <f t="shared" si="10"/>
        <v>2.6551724137930943</v>
      </c>
      <c r="R44" s="55">
        <f t="shared" si="4"/>
        <v>291.0309278350515</v>
      </c>
      <c r="S44" s="16"/>
      <c r="T44" s="339">
        <f>SUM('[4]Daily glue MAY'!$H$51:$H$52)</f>
        <v>3.6549228185549371E-2</v>
      </c>
      <c r="U44" s="33"/>
    </row>
    <row r="45" spans="2:23" ht="15.75" customHeight="1">
      <c r="B45" s="60">
        <v>46169</v>
      </c>
      <c r="C45" s="49">
        <v>19</v>
      </c>
      <c r="D45" s="30" t="s">
        <v>45</v>
      </c>
      <c r="E45" s="402">
        <v>1432</v>
      </c>
      <c r="F45" s="39">
        <f>[3]May!$N108</f>
        <v>1106</v>
      </c>
      <c r="G45" s="18">
        <v>5142</v>
      </c>
      <c r="H45" s="54">
        <f t="shared" ref="H45:H48" si="12">(G45)*24/(F45/60)/17000*100</f>
        <v>39.381342410381876</v>
      </c>
      <c r="I45" s="55"/>
      <c r="J45" s="54"/>
      <c r="K45" s="54">
        <f>SUM(94,93.8,91.3,91)</f>
        <v>370.1</v>
      </c>
      <c r="L45" s="54">
        <f>(G45)*0.066+ 120*0.19</f>
        <v>362.17200000000003</v>
      </c>
      <c r="M45" s="54">
        <f t="shared" si="11"/>
        <v>7.9279999999999973</v>
      </c>
      <c r="N45" s="55">
        <f>[3]May!$AD45</f>
        <v>430</v>
      </c>
      <c r="O45" s="55">
        <f>6+6+7</f>
        <v>19</v>
      </c>
      <c r="P45" s="55">
        <v>120</v>
      </c>
      <c r="Q45" s="51">
        <f t="shared" si="10"/>
        <v>2.1421237503377455</v>
      </c>
      <c r="R45" s="55">
        <f t="shared" si="4"/>
        <v>215.44692737430168</v>
      </c>
      <c r="S45" s="16"/>
      <c r="T45" s="339">
        <f>SUM('[4]Daily glue MAY'!$H$53,'[4]Daily glue MAY'!$H$54)</f>
        <v>2.4913480998900471E-2</v>
      </c>
      <c r="U45" s="33"/>
    </row>
    <row r="46" spans="2:23" ht="15.75" customHeight="1">
      <c r="B46" s="92">
        <v>46169</v>
      </c>
      <c r="C46" s="88">
        <v>19</v>
      </c>
      <c r="D46" s="30" t="s">
        <v>134</v>
      </c>
      <c r="E46" s="404"/>
      <c r="F46" s="39">
        <f>[3]May!$N109</f>
        <v>210</v>
      </c>
      <c r="G46" s="18">
        <v>1415</v>
      </c>
      <c r="H46" s="54">
        <f t="shared" si="12"/>
        <v>57.075630252100837</v>
      </c>
      <c r="I46" s="55"/>
      <c r="J46" s="184"/>
      <c r="K46" s="54">
        <f>SUM(99,100)-97-4</f>
        <v>98</v>
      </c>
      <c r="L46" s="54">
        <f t="shared" si="7"/>
        <v>93.39</v>
      </c>
      <c r="M46" s="54">
        <f t="shared" si="11"/>
        <v>4.6099999999999994</v>
      </c>
      <c r="N46" s="55">
        <f>[3]May!$AD46</f>
        <v>108</v>
      </c>
      <c r="O46" s="55">
        <v>4</v>
      </c>
      <c r="P46" s="55"/>
      <c r="Q46" s="51">
        <f t="shared" si="10"/>
        <v>4.704081632653061</v>
      </c>
      <c r="R46" s="55">
        <f>(G46)/(E45/60)</f>
        <v>59.287709497206706</v>
      </c>
      <c r="S46" s="16"/>
      <c r="T46" s="339">
        <f>'[4]Daily glue MAY'!$H$55</f>
        <v>2.4798452768729638E-2</v>
      </c>
      <c r="U46" s="16"/>
    </row>
    <row r="47" spans="2:23" ht="15.75" customHeight="1">
      <c r="B47" s="92">
        <v>46170</v>
      </c>
      <c r="C47" s="49">
        <v>20</v>
      </c>
      <c r="D47" s="30" t="s">
        <v>134</v>
      </c>
      <c r="E47" s="48">
        <v>237</v>
      </c>
      <c r="F47" s="39">
        <f>[3]May!$N110</f>
        <v>237</v>
      </c>
      <c r="G47" s="185">
        <v>1489</v>
      </c>
      <c r="H47" s="54">
        <f t="shared" si="12"/>
        <v>53.218168279970214</v>
      </c>
      <c r="I47" s="55"/>
      <c r="J47" s="54"/>
      <c r="K47" s="54">
        <f>SUM(97,4)</f>
        <v>101</v>
      </c>
      <c r="L47" s="54">
        <f t="shared" si="7"/>
        <v>98.274000000000001</v>
      </c>
      <c r="M47" s="54">
        <f t="shared" si="11"/>
        <v>2.7259999999999991</v>
      </c>
      <c r="N47" s="55">
        <f>[3]May!$AD47</f>
        <v>59</v>
      </c>
      <c r="O47" s="55">
        <v>6</v>
      </c>
      <c r="P47" s="55"/>
      <c r="Q47" s="51">
        <f t="shared" si="10"/>
        <v>2.6990099009900979</v>
      </c>
      <c r="R47" s="55">
        <f t="shared" si="4"/>
        <v>376.96202531645565</v>
      </c>
      <c r="S47" s="16"/>
      <c r="T47" s="339">
        <f>'[4]Daily glue MAY'!$H$56</f>
        <v>1.5865989356555393E-2</v>
      </c>
      <c r="U47" s="16"/>
    </row>
    <row r="48" spans="2:23" ht="15.75" customHeight="1">
      <c r="B48" s="60"/>
      <c r="C48" s="49"/>
      <c r="D48" s="30"/>
      <c r="E48" s="48"/>
      <c r="F48" s="39">
        <f>[3]May!$N111</f>
        <v>0</v>
      </c>
      <c r="G48" s="18"/>
      <c r="H48" s="54" t="e">
        <f t="shared" si="12"/>
        <v>#DIV/0!</v>
      </c>
      <c r="I48" s="55"/>
      <c r="J48" s="54"/>
      <c r="K48" s="33"/>
      <c r="L48" s="54">
        <f t="shared" si="7"/>
        <v>0</v>
      </c>
      <c r="M48" s="54">
        <f t="shared" si="11"/>
        <v>0</v>
      </c>
      <c r="N48" s="55">
        <f>[3]May!$AD48</f>
        <v>0</v>
      </c>
      <c r="O48" s="55"/>
      <c r="P48" s="55"/>
      <c r="Q48" s="51" t="e">
        <f t="shared" si="10"/>
        <v>#DIV/0!</v>
      </c>
      <c r="R48" s="55" t="e">
        <f t="shared" si="4"/>
        <v>#DIV/0!</v>
      </c>
      <c r="S48" s="16"/>
      <c r="T48" s="339"/>
      <c r="U48" s="16"/>
    </row>
    <row r="49" spans="2:21" ht="15.75">
      <c r="B49" s="60"/>
      <c r="C49" s="49"/>
      <c r="D49" s="30"/>
      <c r="E49" s="48"/>
      <c r="F49" s="39">
        <f>[3]May!$N112</f>
        <v>0</v>
      </c>
      <c r="G49" s="18"/>
      <c r="H49" s="54" t="e">
        <f t="shared" si="9"/>
        <v>#DIV/0!</v>
      </c>
      <c r="I49" s="55"/>
      <c r="J49" s="54"/>
      <c r="K49" s="54"/>
      <c r="L49" s="54">
        <f t="shared" si="7"/>
        <v>0</v>
      </c>
      <c r="M49" s="54">
        <f t="shared" ref="M49:M62" si="13">K49-L49</f>
        <v>0</v>
      </c>
      <c r="N49" s="55">
        <f>[3]May!$AD49</f>
        <v>0</v>
      </c>
      <c r="O49" s="55"/>
      <c r="P49" s="55"/>
      <c r="Q49" s="51" t="e">
        <f t="shared" si="10"/>
        <v>#DIV/0!</v>
      </c>
      <c r="R49" s="55" t="e">
        <f t="shared" si="4"/>
        <v>#DIV/0!</v>
      </c>
      <c r="S49" s="16"/>
      <c r="T49" s="339"/>
      <c r="U49" s="16"/>
    </row>
    <row r="50" spans="2:21" ht="15.75" customHeight="1">
      <c r="B50" s="60"/>
      <c r="C50" s="49"/>
      <c r="D50" s="30"/>
      <c r="E50" s="48"/>
      <c r="F50" s="39"/>
      <c r="G50" s="18"/>
      <c r="H50" s="54" t="e">
        <f t="shared" si="9"/>
        <v>#DIV/0!</v>
      </c>
      <c r="I50" s="55"/>
      <c r="J50" s="54"/>
      <c r="K50" s="54"/>
      <c r="L50" s="54">
        <f t="shared" si="7"/>
        <v>0</v>
      </c>
      <c r="M50" s="54">
        <f t="shared" si="13"/>
        <v>0</v>
      </c>
      <c r="N50" s="55">
        <f>[3]May!$AD50</f>
        <v>0</v>
      </c>
      <c r="O50" s="55"/>
      <c r="P50" s="55"/>
      <c r="Q50" s="51" t="e">
        <f t="shared" si="5"/>
        <v>#DIV/0!</v>
      </c>
      <c r="R50" s="55" t="e">
        <f t="shared" si="4"/>
        <v>#DIV/0!</v>
      </c>
      <c r="S50" s="16"/>
      <c r="T50" s="339"/>
      <c r="U50" s="16"/>
    </row>
    <row r="51" spans="2:21" ht="15.75" customHeight="1">
      <c r="B51" s="60"/>
      <c r="C51" s="49"/>
      <c r="D51" s="30"/>
      <c r="E51" s="48"/>
      <c r="F51" s="39"/>
      <c r="G51" s="18"/>
      <c r="H51" s="54" t="e">
        <f t="shared" si="9"/>
        <v>#DIV/0!</v>
      </c>
      <c r="I51" s="55"/>
      <c r="J51" s="54"/>
      <c r="K51" s="54"/>
      <c r="L51" s="54">
        <f t="shared" si="7"/>
        <v>0</v>
      </c>
      <c r="M51" s="54">
        <f t="shared" si="13"/>
        <v>0</v>
      </c>
      <c r="N51" s="55">
        <f>[5]May!$AD51</f>
        <v>0</v>
      </c>
      <c r="O51" s="55"/>
      <c r="P51" s="55"/>
      <c r="Q51" s="51" t="e">
        <f t="shared" si="5"/>
        <v>#DIV/0!</v>
      </c>
      <c r="R51" s="55" t="e">
        <f t="shared" ref="R51:R61" si="14">(G51)/(F51/60)</f>
        <v>#DIV/0!</v>
      </c>
      <c r="S51" s="16"/>
      <c r="T51" s="339"/>
      <c r="U51" s="16"/>
    </row>
    <row r="52" spans="2:21" ht="15.75" customHeight="1">
      <c r="B52" s="60"/>
      <c r="C52" s="49"/>
      <c r="D52" s="30"/>
      <c r="E52" s="48"/>
      <c r="F52" s="39"/>
      <c r="G52" s="18"/>
      <c r="H52" s="54" t="e">
        <f t="shared" si="9"/>
        <v>#DIV/0!</v>
      </c>
      <c r="I52" s="55"/>
      <c r="J52" s="54"/>
      <c r="K52" s="33"/>
      <c r="L52" s="54">
        <f t="shared" si="7"/>
        <v>0</v>
      </c>
      <c r="M52" s="54">
        <f t="shared" si="13"/>
        <v>0</v>
      </c>
      <c r="N52" s="55"/>
      <c r="O52" s="55"/>
      <c r="P52" s="55"/>
      <c r="Q52" s="51" t="e">
        <f t="shared" si="5"/>
        <v>#DIV/0!</v>
      </c>
      <c r="R52" s="55" t="e">
        <f t="shared" si="14"/>
        <v>#DIV/0!</v>
      </c>
      <c r="S52" s="16"/>
      <c r="T52" s="339"/>
      <c r="U52" s="16"/>
    </row>
    <row r="53" spans="2:21" ht="15.75" customHeight="1">
      <c r="B53" s="60"/>
      <c r="C53" s="49"/>
      <c r="D53" s="30"/>
      <c r="E53" s="48"/>
      <c r="F53" s="39"/>
      <c r="G53" s="18"/>
      <c r="H53" s="54" t="e">
        <f t="shared" si="9"/>
        <v>#DIV/0!</v>
      </c>
      <c r="I53" s="55"/>
      <c r="J53" s="54"/>
      <c r="K53" s="33"/>
      <c r="L53" s="54">
        <f t="shared" si="7"/>
        <v>0</v>
      </c>
      <c r="M53" s="54">
        <f t="shared" si="13"/>
        <v>0</v>
      </c>
      <c r="N53" s="55"/>
      <c r="O53" s="55"/>
      <c r="P53" s="55"/>
      <c r="Q53" s="51" t="e">
        <f t="shared" si="5"/>
        <v>#DIV/0!</v>
      </c>
      <c r="R53" s="55" t="e">
        <f t="shared" si="14"/>
        <v>#DIV/0!</v>
      </c>
      <c r="S53" s="16"/>
      <c r="T53" s="339"/>
      <c r="U53" s="16"/>
    </row>
    <row r="54" spans="2:21" ht="15.75" customHeight="1">
      <c r="B54" s="60"/>
      <c r="C54" s="49"/>
      <c r="D54" s="30"/>
      <c r="E54" s="48"/>
      <c r="F54" s="39"/>
      <c r="G54" s="18"/>
      <c r="H54" s="54" t="e">
        <f t="shared" si="9"/>
        <v>#DIV/0!</v>
      </c>
      <c r="I54" s="55"/>
      <c r="J54" s="54"/>
      <c r="K54" s="54"/>
      <c r="L54" s="54">
        <f t="shared" si="7"/>
        <v>0</v>
      </c>
      <c r="M54" s="54">
        <f t="shared" si="13"/>
        <v>0</v>
      </c>
      <c r="N54" s="55"/>
      <c r="O54" s="55"/>
      <c r="P54" s="55"/>
      <c r="Q54" s="51" t="e">
        <f t="shared" si="5"/>
        <v>#DIV/0!</v>
      </c>
      <c r="R54" s="55" t="e">
        <f t="shared" si="14"/>
        <v>#DIV/0!</v>
      </c>
      <c r="S54" s="16"/>
      <c r="T54" s="339"/>
      <c r="U54" s="16"/>
    </row>
    <row r="55" spans="2:21" ht="15.75" customHeight="1">
      <c r="B55" s="60"/>
      <c r="C55" s="49"/>
      <c r="D55" s="30"/>
      <c r="E55" s="48"/>
      <c r="F55" s="39"/>
      <c r="G55" s="18"/>
      <c r="H55" s="54" t="e">
        <f t="shared" si="9"/>
        <v>#DIV/0!</v>
      </c>
      <c r="I55" s="55"/>
      <c r="J55" s="54"/>
      <c r="K55" s="54"/>
      <c r="L55" s="54">
        <f t="shared" si="7"/>
        <v>0</v>
      </c>
      <c r="M55" s="54">
        <f t="shared" si="13"/>
        <v>0</v>
      </c>
      <c r="N55" s="55"/>
      <c r="O55" s="55"/>
      <c r="P55" s="55"/>
      <c r="Q55" s="51" t="e">
        <f t="shared" si="5"/>
        <v>#DIV/0!</v>
      </c>
      <c r="R55" s="55" t="e">
        <f t="shared" si="14"/>
        <v>#DIV/0!</v>
      </c>
      <c r="S55" s="16"/>
      <c r="T55" s="339"/>
      <c r="U55" s="16"/>
    </row>
    <row r="56" spans="2:21" ht="15.75" customHeight="1">
      <c r="B56" s="60"/>
      <c r="C56" s="49"/>
      <c r="D56" s="30"/>
      <c r="E56" s="48"/>
      <c r="F56" s="39"/>
      <c r="G56" s="18"/>
      <c r="H56" s="54" t="e">
        <f t="shared" si="9"/>
        <v>#DIV/0!</v>
      </c>
      <c r="I56" s="55"/>
      <c r="J56" s="54"/>
      <c r="K56" s="54"/>
      <c r="L56" s="54">
        <f t="shared" si="7"/>
        <v>0</v>
      </c>
      <c r="M56" s="54">
        <f t="shared" si="13"/>
        <v>0</v>
      </c>
      <c r="N56" s="55"/>
      <c r="O56" s="55"/>
      <c r="P56" s="55"/>
      <c r="Q56" s="51" t="e">
        <f t="shared" si="5"/>
        <v>#DIV/0!</v>
      </c>
      <c r="R56" s="55" t="e">
        <f t="shared" si="14"/>
        <v>#DIV/0!</v>
      </c>
      <c r="S56" s="16"/>
      <c r="T56" s="339"/>
      <c r="U56" s="16"/>
    </row>
    <row r="57" spans="2:21" ht="15.75" customHeight="1">
      <c r="B57" s="60"/>
      <c r="C57" s="49"/>
      <c r="D57" s="30"/>
      <c r="E57" s="48"/>
      <c r="F57" s="39"/>
      <c r="G57" s="18"/>
      <c r="H57" s="54" t="e">
        <f t="shared" si="9"/>
        <v>#DIV/0!</v>
      </c>
      <c r="I57" s="55"/>
      <c r="J57" s="54"/>
      <c r="K57" s="54"/>
      <c r="L57" s="54">
        <f t="shared" si="7"/>
        <v>0</v>
      </c>
      <c r="M57" s="54">
        <f t="shared" si="13"/>
        <v>0</v>
      </c>
      <c r="N57" s="55"/>
      <c r="O57" s="55"/>
      <c r="P57" s="55"/>
      <c r="Q57" s="51" t="e">
        <f t="shared" si="5"/>
        <v>#DIV/0!</v>
      </c>
      <c r="R57" s="55" t="e">
        <f t="shared" si="14"/>
        <v>#DIV/0!</v>
      </c>
      <c r="S57" s="16"/>
      <c r="T57" s="339"/>
      <c r="U57" s="16"/>
    </row>
    <row r="58" spans="2:21" ht="15.75" customHeight="1">
      <c r="B58" s="60"/>
      <c r="C58" s="49"/>
      <c r="D58" s="30"/>
      <c r="E58" s="48"/>
      <c r="F58" s="39"/>
      <c r="G58" s="18"/>
      <c r="H58" s="54" t="e">
        <f t="shared" si="9"/>
        <v>#DIV/0!</v>
      </c>
      <c r="I58" s="55"/>
      <c r="J58" s="54"/>
      <c r="K58" s="54"/>
      <c r="L58" s="54">
        <f t="shared" si="7"/>
        <v>0</v>
      </c>
      <c r="M58" s="54">
        <f t="shared" si="13"/>
        <v>0</v>
      </c>
      <c r="N58" s="55"/>
      <c r="O58" s="55"/>
      <c r="P58" s="55"/>
      <c r="Q58" s="51" t="e">
        <f t="shared" si="5"/>
        <v>#DIV/0!</v>
      </c>
      <c r="R58" s="55" t="e">
        <f t="shared" si="14"/>
        <v>#DIV/0!</v>
      </c>
      <c r="S58" s="16"/>
      <c r="T58" s="339"/>
      <c r="U58" s="16"/>
    </row>
    <row r="59" spans="2:21" ht="15.75" customHeight="1">
      <c r="B59" s="60"/>
      <c r="C59" s="49"/>
      <c r="D59" s="30"/>
      <c r="E59" s="48"/>
      <c r="F59" s="39"/>
      <c r="G59" s="18"/>
      <c r="H59" s="54" t="e">
        <f t="shared" si="9"/>
        <v>#DIV/0!</v>
      </c>
      <c r="I59" s="55"/>
      <c r="J59" s="54"/>
      <c r="K59" s="54"/>
      <c r="L59" s="54">
        <f t="shared" si="7"/>
        <v>0</v>
      </c>
      <c r="M59" s="54">
        <f t="shared" si="13"/>
        <v>0</v>
      </c>
      <c r="N59" s="55"/>
      <c r="O59" s="55"/>
      <c r="P59" s="55"/>
      <c r="Q59" s="51" t="e">
        <f t="shared" si="5"/>
        <v>#DIV/0!</v>
      </c>
      <c r="R59" s="55" t="e">
        <f t="shared" si="14"/>
        <v>#DIV/0!</v>
      </c>
      <c r="S59" s="16"/>
      <c r="U59" s="16"/>
    </row>
    <row r="60" spans="2:21" ht="15.75">
      <c r="B60" s="60"/>
      <c r="C60" s="49"/>
      <c r="D60" s="30"/>
      <c r="E60" s="48"/>
      <c r="F60" s="39"/>
      <c r="G60" s="18"/>
      <c r="H60" s="54" t="e">
        <f t="shared" si="9"/>
        <v>#DIV/0!</v>
      </c>
      <c r="I60" s="55"/>
      <c r="J60" s="54"/>
      <c r="K60" s="33"/>
      <c r="L60" s="54">
        <f t="shared" si="7"/>
        <v>0</v>
      </c>
      <c r="M60" s="54">
        <f t="shared" si="13"/>
        <v>0</v>
      </c>
      <c r="N60" s="55"/>
      <c r="O60" s="55"/>
      <c r="P60" s="55"/>
      <c r="Q60" s="51" t="e">
        <f t="shared" si="5"/>
        <v>#DIV/0!</v>
      </c>
      <c r="R60" s="55" t="e">
        <f t="shared" si="14"/>
        <v>#DIV/0!</v>
      </c>
      <c r="S60" s="16"/>
      <c r="U60" s="16"/>
    </row>
    <row r="61" spans="2:21" ht="15.75">
      <c r="B61" s="153"/>
      <c r="C61" s="49"/>
      <c r="D61" s="30"/>
      <c r="E61" s="48"/>
      <c r="F61" s="39"/>
      <c r="G61" s="18"/>
      <c r="H61" s="54" t="e">
        <f t="shared" si="9"/>
        <v>#DIV/0!</v>
      </c>
      <c r="I61" s="55"/>
      <c r="J61" s="54"/>
      <c r="K61" s="33"/>
      <c r="L61" s="54">
        <f t="shared" si="7"/>
        <v>0</v>
      </c>
      <c r="M61" s="54">
        <f t="shared" si="13"/>
        <v>0</v>
      </c>
      <c r="N61" s="55"/>
      <c r="O61" s="55"/>
      <c r="P61" s="55"/>
      <c r="Q61" s="51" t="e">
        <f t="shared" si="5"/>
        <v>#DIV/0!</v>
      </c>
      <c r="R61" s="55" t="e">
        <f t="shared" si="14"/>
        <v>#DIV/0!</v>
      </c>
      <c r="S61" s="16"/>
      <c r="U61" s="16"/>
    </row>
    <row r="62" spans="2:21" ht="16.5" thickBot="1">
      <c r="B62" s="154"/>
      <c r="C62" s="155"/>
      <c r="D62" s="30"/>
      <c r="E62" s="48"/>
      <c r="F62" s="152"/>
      <c r="G62" s="18"/>
      <c r="H62" s="54"/>
      <c r="I62" s="55"/>
      <c r="J62" s="54"/>
      <c r="K62" s="54"/>
      <c r="L62" s="54">
        <f t="shared" si="7"/>
        <v>0</v>
      </c>
      <c r="M62" s="54">
        <f t="shared" si="13"/>
        <v>0</v>
      </c>
      <c r="N62" s="55"/>
      <c r="O62" s="55"/>
      <c r="P62" s="55"/>
      <c r="Q62" s="51"/>
      <c r="R62" s="55"/>
      <c r="S62" s="16"/>
      <c r="U62" s="16"/>
    </row>
    <row r="63" spans="2:21" ht="17.25" thickTop="1" thickBot="1">
      <c r="B63" s="12"/>
      <c r="C63" s="12"/>
      <c r="D63" s="31"/>
      <c r="E63" s="23">
        <f>SUM(E8:E61)</f>
        <v>25037</v>
      </c>
      <c r="F63" s="53">
        <f>SUM(F8:F61)</f>
        <v>19553</v>
      </c>
      <c r="G63" s="15">
        <f>SUM(G8:G61)</f>
        <v>132429</v>
      </c>
      <c r="H63" s="66">
        <f>(G63)*24/(F63/60)/17000*100</f>
        <v>57.36979130628368</v>
      </c>
      <c r="I63" s="14">
        <f>SUM(I8:I35)</f>
        <v>455</v>
      </c>
      <c r="J63" s="13"/>
      <c r="K63" s="13">
        <f>SUM(K8:K61)</f>
        <v>9007.6</v>
      </c>
      <c r="L63" s="13">
        <f>SUM(L8:L61)</f>
        <v>8831.3336000000018</v>
      </c>
      <c r="M63" s="52">
        <f>K63-L63</f>
        <v>176.26639999999861</v>
      </c>
      <c r="N63" s="14">
        <f>SUM(N8:N61)</f>
        <v>8474</v>
      </c>
      <c r="O63" s="36">
        <f>SUM(O8:O61)</f>
        <v>337.2</v>
      </c>
      <c r="P63" s="14">
        <f>SUM(P8:P61)</f>
        <v>227</v>
      </c>
      <c r="Q63" s="351">
        <f>(K63-L63)/K63</f>
        <v>1.9568630933877902E-2</v>
      </c>
      <c r="R63" s="14">
        <f>G63/(F63/60)</f>
        <v>406.36935508617603</v>
      </c>
      <c r="S63" s="344">
        <f>(G63+January_2026!G74+February_2026!G72+March_2026!G71+'April_2026 '!G54)/((E63+January_2026!E74+February_2026!E72+March_2026!E71+'April_2026 '!E54)/60)</f>
        <v>287.91165114694525</v>
      </c>
      <c r="T63" s="14">
        <f>H63/(G63/60)</f>
        <v>2.5992701586336986E-2</v>
      </c>
      <c r="U63" s="17">
        <f>AVERAGE(E8:E62)</f>
        <v>1251.8499999999999</v>
      </c>
    </row>
    <row r="64" spans="2:21" ht="17.25" thickTop="1" thickBot="1">
      <c r="G64" s="1"/>
      <c r="H64" s="1"/>
      <c r="M64" s="19"/>
      <c r="N64" s="19"/>
      <c r="O64" s="41" t="s">
        <v>23</v>
      </c>
      <c r="P64" s="19"/>
      <c r="R64" s="5"/>
    </row>
    <row r="65" spans="7:18" ht="21" thickTop="1" thickBot="1">
      <c r="G65" s="1"/>
      <c r="H65" s="1"/>
      <c r="L65" s="46" t="s">
        <v>36</v>
      </c>
      <c r="M65" s="15">
        <f>G63+P65</f>
        <v>133053.25</v>
      </c>
      <c r="N65" s="19"/>
      <c r="O65" s="41" t="s">
        <v>31</v>
      </c>
      <c r="P65" s="68">
        <f>P63*2.75</f>
        <v>624.25</v>
      </c>
      <c r="Q65" s="40"/>
      <c r="R65" s="5"/>
    </row>
    <row r="66" spans="7:18" ht="16.5" thickTop="1">
      <c r="G66" s="1"/>
      <c r="H66" s="70"/>
      <c r="M66" s="19"/>
      <c r="N66" s="19"/>
      <c r="O66" s="19"/>
      <c r="P66" s="19"/>
      <c r="R66" s="5"/>
    </row>
    <row r="67" spans="7:18" ht="15.75">
      <c r="G67" s="1"/>
      <c r="H67" s="1"/>
      <c r="M67" s="19"/>
      <c r="N67" s="19"/>
      <c r="O67" s="19" t="s">
        <v>30</v>
      </c>
      <c r="P67" s="19"/>
      <c r="R67" s="5"/>
    </row>
    <row r="68" spans="7:18" ht="15.75">
      <c r="G68" s="1"/>
      <c r="H68" s="1"/>
      <c r="M68" s="19"/>
      <c r="N68" s="19"/>
      <c r="O68" s="19" t="s">
        <v>27</v>
      </c>
      <c r="P68" s="19"/>
      <c r="R68" s="5"/>
    </row>
    <row r="69" spans="7:18" ht="15.75">
      <c r="G69" s="1"/>
      <c r="H69" s="1"/>
      <c r="M69" s="19"/>
      <c r="N69" s="19"/>
      <c r="O69" s="19"/>
      <c r="P69" s="19"/>
      <c r="R69" s="5"/>
    </row>
    <row r="70" spans="7:18" ht="15.75">
      <c r="G70" s="1"/>
      <c r="H70" s="1"/>
      <c r="M70" s="19"/>
      <c r="N70" s="19"/>
      <c r="O70" s="19"/>
      <c r="P70" s="19"/>
      <c r="R70" s="5"/>
    </row>
    <row r="71" spans="7:18" ht="15.75">
      <c r="G71" s="1"/>
      <c r="H71" s="1"/>
      <c r="M71" s="19"/>
      <c r="N71" s="19"/>
      <c r="O71" s="19"/>
      <c r="P71" s="19"/>
      <c r="R71" s="5"/>
    </row>
    <row r="72" spans="7:18" ht="15.75">
      <c r="G72" s="1"/>
      <c r="H72" s="1"/>
      <c r="M72" s="19"/>
      <c r="N72" s="19"/>
      <c r="O72" s="19"/>
      <c r="P72" s="19"/>
      <c r="R72" s="5"/>
    </row>
    <row r="73" spans="7:18" ht="15.75">
      <c r="G73" s="1"/>
      <c r="H73" s="1"/>
      <c r="M73" s="19"/>
      <c r="N73" s="19"/>
      <c r="O73" s="19"/>
      <c r="P73" s="19"/>
      <c r="R73" s="5"/>
    </row>
    <row r="74" spans="7:18" ht="15.75">
      <c r="G74" s="1"/>
      <c r="H74" s="1"/>
      <c r="M74" s="19"/>
      <c r="N74" s="19"/>
      <c r="O74" s="19"/>
      <c r="P74" s="19"/>
      <c r="R74" s="5"/>
    </row>
    <row r="75" spans="7:18" ht="15.75">
      <c r="G75" s="1"/>
      <c r="H75" s="1"/>
      <c r="M75" s="19"/>
      <c r="N75" s="19"/>
      <c r="O75" s="19"/>
      <c r="P75" s="19"/>
      <c r="R75" s="5"/>
    </row>
    <row r="76" spans="7:18" ht="15.75">
      <c r="G76" s="1"/>
      <c r="H76" s="1"/>
      <c r="M76" s="19"/>
      <c r="N76" s="19"/>
      <c r="O76" s="19"/>
      <c r="P76" s="19"/>
      <c r="R76" s="5"/>
    </row>
    <row r="77" spans="7:18" ht="15.75">
      <c r="G77" s="1"/>
      <c r="H77" s="1"/>
      <c r="M77" s="19"/>
      <c r="N77" s="19"/>
      <c r="O77" s="19"/>
      <c r="P77" s="19"/>
      <c r="R77" s="5"/>
    </row>
    <row r="78" spans="7:18" ht="15.75">
      <c r="G78" s="1"/>
      <c r="H78" s="1"/>
      <c r="M78" s="19"/>
      <c r="N78" s="19"/>
      <c r="O78" s="19"/>
      <c r="P78" s="19"/>
      <c r="R78" s="5"/>
    </row>
    <row r="79" spans="7:18">
      <c r="G79" s="1"/>
      <c r="H79" s="1"/>
      <c r="R79" s="5"/>
    </row>
    <row r="80" spans="7:18">
      <c r="G80" s="1"/>
      <c r="H80" s="1"/>
      <c r="R80" s="5"/>
    </row>
    <row r="81" spans="7:18">
      <c r="G81" s="1"/>
      <c r="H81" s="1"/>
      <c r="R81" s="5"/>
    </row>
    <row r="82" spans="7:18">
      <c r="G82" s="1"/>
      <c r="H82" s="1"/>
      <c r="R82" s="5"/>
    </row>
    <row r="83" spans="7:18">
      <c r="G83" s="1"/>
      <c r="H83" s="1"/>
      <c r="R83" s="5"/>
    </row>
    <row r="84" spans="7:18">
      <c r="G84" s="1"/>
      <c r="H84" s="1"/>
      <c r="R84" s="5"/>
    </row>
    <row r="85" spans="7:18">
      <c r="G85" s="1"/>
      <c r="H85" s="1"/>
      <c r="R85" s="5"/>
    </row>
    <row r="86" spans="7:18">
      <c r="G86" s="1"/>
      <c r="H86" s="1"/>
      <c r="R86" s="5"/>
    </row>
    <row r="87" spans="7:18">
      <c r="G87" s="1"/>
      <c r="H87" s="1"/>
      <c r="R87" s="5"/>
    </row>
    <row r="88" spans="7:18">
      <c r="G88" s="1"/>
      <c r="H88" s="1"/>
      <c r="R88" s="5"/>
    </row>
    <row r="89" spans="7:18">
      <c r="G89" s="1"/>
      <c r="H89" s="1"/>
      <c r="R89" s="5"/>
    </row>
    <row r="90" spans="7:18">
      <c r="G90" s="1"/>
      <c r="H90" s="1"/>
      <c r="R90" s="5"/>
    </row>
    <row r="91" spans="7:18">
      <c r="G91" s="1"/>
      <c r="H91" s="1"/>
      <c r="R91" s="5"/>
    </row>
    <row r="92" spans="7:18">
      <c r="G92" s="1"/>
      <c r="H92" s="1"/>
      <c r="R92" s="5"/>
    </row>
    <row r="93" spans="7:18">
      <c r="G93" s="1"/>
      <c r="H93" s="1"/>
      <c r="R93" s="5"/>
    </row>
    <row r="94" spans="7:18">
      <c r="G94" s="1"/>
      <c r="H94" s="1"/>
      <c r="R94" s="5"/>
    </row>
    <row r="95" spans="7:18">
      <c r="G95" s="1"/>
      <c r="H95" s="1"/>
      <c r="R95" s="5"/>
    </row>
    <row r="96" spans="7:18">
      <c r="G96" s="1"/>
      <c r="H96" s="1"/>
      <c r="R96" s="5"/>
    </row>
    <row r="97" spans="7:18">
      <c r="G97" s="1"/>
      <c r="H97" s="1"/>
      <c r="R97" s="5"/>
    </row>
    <row r="98" spans="7:18">
      <c r="G98" s="1"/>
      <c r="H98" s="1"/>
      <c r="R98" s="5"/>
    </row>
    <row r="99" spans="7:18">
      <c r="G99" s="1"/>
      <c r="H99" s="1"/>
      <c r="R99" s="5"/>
    </row>
    <row r="100" spans="7:18">
      <c r="G100" s="1"/>
      <c r="H100" s="1"/>
      <c r="R100" s="5"/>
    </row>
    <row r="101" spans="7:18">
      <c r="G101" s="1"/>
      <c r="H101" s="1"/>
      <c r="R101" s="5"/>
    </row>
    <row r="102" spans="7:18">
      <c r="G102" s="1"/>
      <c r="H102" s="1"/>
      <c r="R102" s="5"/>
    </row>
    <row r="103" spans="7:18">
      <c r="G103" s="1"/>
      <c r="H103" s="1"/>
      <c r="R103" s="5"/>
    </row>
    <row r="104" spans="7:18">
      <c r="G104" s="1"/>
      <c r="H104" s="1"/>
      <c r="R104" s="5"/>
    </row>
    <row r="105" spans="7:18">
      <c r="G105" s="1"/>
      <c r="H105" s="1"/>
      <c r="R105" s="5"/>
    </row>
    <row r="106" spans="7:18">
      <c r="G106" s="1"/>
      <c r="H106" s="1"/>
      <c r="R106" s="5"/>
    </row>
    <row r="107" spans="7:18">
      <c r="G107" s="1"/>
      <c r="H107" s="1"/>
      <c r="R107" s="5"/>
    </row>
    <row r="108" spans="7:18">
      <c r="G108" s="1"/>
      <c r="H108" s="1"/>
      <c r="R108" s="5"/>
    </row>
    <row r="109" spans="7:18">
      <c r="G109" s="1"/>
      <c r="H109" s="1"/>
      <c r="R109" s="5"/>
    </row>
    <row r="110" spans="7:18">
      <c r="G110" s="1"/>
      <c r="H110" s="1"/>
      <c r="R110" s="5"/>
    </row>
    <row r="111" spans="7:18">
      <c r="G111" s="1"/>
      <c r="H111" s="1"/>
      <c r="R111" s="5"/>
    </row>
    <row r="112" spans="7:18">
      <c r="G112" s="1"/>
      <c r="H112" s="1"/>
      <c r="R112" s="5"/>
    </row>
    <row r="113" spans="7:18">
      <c r="G113" s="1"/>
      <c r="H113" s="1"/>
      <c r="R113" s="5"/>
    </row>
    <row r="114" spans="7:18">
      <c r="G114" s="1"/>
      <c r="H114" s="1"/>
      <c r="R114" s="5"/>
    </row>
    <row r="115" spans="7:18">
      <c r="G115" s="1"/>
      <c r="H115" s="1"/>
      <c r="R115" s="5"/>
    </row>
    <row r="116" spans="7:18">
      <c r="G116" s="1"/>
      <c r="H116" s="1"/>
      <c r="R116" s="5"/>
    </row>
    <row r="117" spans="7:18">
      <c r="G117" s="1"/>
      <c r="H117" s="1"/>
      <c r="R117" s="5"/>
    </row>
    <row r="118" spans="7:18">
      <c r="G118" s="1"/>
      <c r="H118" s="1"/>
      <c r="R118" s="5"/>
    </row>
    <row r="119" spans="7:18">
      <c r="G119" s="1"/>
      <c r="H119" s="1"/>
      <c r="R119" s="5"/>
    </row>
    <row r="120" spans="7:18">
      <c r="G120" s="1"/>
      <c r="H120" s="1"/>
      <c r="R120" s="5"/>
    </row>
    <row r="121" spans="7:18">
      <c r="G121" s="1"/>
      <c r="H121" s="1"/>
      <c r="R121" s="5"/>
    </row>
    <row r="122" spans="7:18">
      <c r="G122" s="1"/>
      <c r="H122" s="1"/>
      <c r="R122" s="5"/>
    </row>
    <row r="123" spans="7:18">
      <c r="G123" s="1"/>
      <c r="H123" s="1"/>
      <c r="R123" s="5"/>
    </row>
    <row r="124" spans="7:18">
      <c r="G124" s="1"/>
      <c r="H124" s="1"/>
      <c r="R124" s="5"/>
    </row>
    <row r="125" spans="7:18">
      <c r="G125" s="1"/>
      <c r="H125" s="1"/>
      <c r="R125" s="5"/>
    </row>
    <row r="126" spans="7:18">
      <c r="G126" s="1"/>
      <c r="H126" s="1"/>
      <c r="R126" s="5"/>
    </row>
  </sheetData>
  <autoFilter ref="B5:R65" xr:uid="{00000000-0001-0000-0400-000000000000}"/>
  <mergeCells count="32">
    <mergeCell ref="S6:S7"/>
    <mergeCell ref="T10:T11"/>
    <mergeCell ref="O10:O11"/>
    <mergeCell ref="E13:E15"/>
    <mergeCell ref="Q10:Q11"/>
    <mergeCell ref="Q33:Q34"/>
    <mergeCell ref="M33:M34"/>
    <mergeCell ref="E31:E32"/>
    <mergeCell ref="E33:E35"/>
    <mergeCell ref="K33:K34"/>
    <mergeCell ref="L33:L34"/>
    <mergeCell ref="E16:E17"/>
    <mergeCell ref="E28:E29"/>
    <mergeCell ref="E20:E21"/>
    <mergeCell ref="E22:E23"/>
    <mergeCell ref="E24:E27"/>
    <mergeCell ref="E45:E46"/>
    <mergeCell ref="E36:E37"/>
    <mergeCell ref="E38:E40"/>
    <mergeCell ref="E41:E43"/>
    <mergeCell ref="B1:R1"/>
    <mergeCell ref="B3:R3"/>
    <mergeCell ref="B4:R4"/>
    <mergeCell ref="I5:I7"/>
    <mergeCell ref="M5:M7"/>
    <mergeCell ref="N5:N7"/>
    <mergeCell ref="O5:O7"/>
    <mergeCell ref="P5:P7"/>
    <mergeCell ref="E8:E9"/>
    <mergeCell ref="E10:E11"/>
    <mergeCell ref="K10:K11"/>
    <mergeCell ref="L10:L11"/>
  </mergeCells>
  <conditionalFormatting sqref="I8 I35:I62">
    <cfRule type="cellIs" dxfId="67" priority="20" stopIfTrue="1" operator="lessThan">
      <formula>50</formula>
    </cfRule>
  </conditionalFormatting>
  <conditionalFormatting sqref="Q8:Q10 Q12:Q33 Q35:Q63">
    <cfRule type="cellIs" dxfId="66" priority="7" operator="greaterThan">
      <formula>1.8</formula>
    </cfRule>
  </conditionalFormatting>
  <conditionalFormatting sqref="U19 U21">
    <cfRule type="cellIs" dxfId="65" priority="6" operator="greaterThan">
      <formula>1.8</formula>
    </cfRule>
  </conditionalFormatting>
  <conditionalFormatting sqref="U25">
    <cfRule type="cellIs" dxfId="64" priority="5" operator="greaterThan">
      <formula>1.8</formula>
    </cfRule>
  </conditionalFormatting>
  <conditionalFormatting sqref="U27">
    <cfRule type="cellIs" dxfId="63" priority="4" operator="greaterThan">
      <formula>1.8</formula>
    </cfRule>
  </conditionalFormatting>
  <conditionalFormatting sqref="U33 U35">
    <cfRule type="cellIs" dxfId="62" priority="3" operator="greaterThan">
      <formula>1.8</formula>
    </cfRule>
  </conditionalFormatting>
  <conditionalFormatting sqref="U41">
    <cfRule type="cellIs" dxfId="61" priority="2" operator="greaterThan">
      <formula>1.8</formula>
    </cfRule>
  </conditionalFormatting>
  <conditionalFormatting sqref="U44">
    <cfRule type="cellIs" dxfId="60" priority="1" operator="greaterThan">
      <formula>1.8</formula>
    </cfRule>
  </conditionalFormatting>
  <pageMargins left="0.25" right="0.25" top="0.75" bottom="0.75" header="0.3" footer="0.3"/>
  <pageSetup paperSize="5" scale="45" orientation="portrait" horizontalDpi="4294967295" verticalDpi="4294967295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AE01-2ED9-4C55-AF02-3179AF7BDDD0}">
  <sheetPr codeName="Sheet6">
    <tabColor indexed="11"/>
    <pageSetUpPr fitToPage="1"/>
  </sheetPr>
  <dimension ref="B1:V120"/>
  <sheetViews>
    <sheetView topLeftCell="A4" zoomScale="85" zoomScaleNormal="85" zoomScaleSheetLayoutView="80" workbookViewId="0">
      <pane xSplit="2" ySplit="4" topLeftCell="C8" activePane="bottomRight" state="frozen"/>
      <selection activeCell="A4" sqref="A4"/>
      <selection pane="topRight" activeCell="B4" sqref="B4"/>
      <selection pane="bottomLeft" activeCell="A8" sqref="A8"/>
      <selection pane="bottomRight" activeCell="J28" sqref="J28"/>
    </sheetView>
  </sheetViews>
  <sheetFormatPr defaultRowHeight="12.75"/>
  <cols>
    <col min="1" max="1" width="2.42578125" customWidth="1"/>
    <col min="2" max="2" width="9.140625" style="1" customWidth="1"/>
    <col min="3" max="3" width="6" style="1" customWidth="1"/>
    <col min="4" max="4" width="41.85546875" style="32" customWidth="1"/>
    <col min="5" max="5" width="8.85546875" style="1" customWidth="1"/>
    <col min="6" max="6" width="7.5703125" style="24" customWidth="1"/>
    <col min="7" max="8" width="13.5703125" customWidth="1"/>
    <col min="9" max="9" width="16.42578125" style="7" bestFit="1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7" customWidth="1"/>
    <col min="16" max="16" width="12.42578125" style="26" customWidth="1"/>
    <col min="17" max="17" width="12.140625" style="6" customWidth="1"/>
    <col min="18" max="19" width="11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2:20" ht="27">
      <c r="B1" s="384" t="s">
        <v>0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</row>
    <row r="3" spans="2:20" ht="22.5">
      <c r="B3" s="385" t="s">
        <v>1</v>
      </c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</row>
    <row r="4" spans="2:20" ht="21" thickBot="1">
      <c r="B4" s="386">
        <v>46174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</row>
    <row r="5" spans="2:20" ht="17.25" thickTop="1" thickBot="1">
      <c r="B5" s="2" t="s">
        <v>2</v>
      </c>
      <c r="C5" s="2" t="s">
        <v>3</v>
      </c>
      <c r="D5" s="27" t="s">
        <v>4</v>
      </c>
      <c r="E5" s="2" t="s">
        <v>38</v>
      </c>
      <c r="F5" s="20" t="s">
        <v>12</v>
      </c>
      <c r="G5" s="2" t="s">
        <v>5</v>
      </c>
      <c r="H5" s="2" t="s">
        <v>13</v>
      </c>
      <c r="I5" s="387" t="s">
        <v>26</v>
      </c>
      <c r="J5" s="2" t="s">
        <v>18</v>
      </c>
      <c r="K5" s="2" t="s">
        <v>6</v>
      </c>
      <c r="L5" s="390" t="s">
        <v>22</v>
      </c>
      <c r="M5" s="393" t="s">
        <v>24</v>
      </c>
      <c r="N5" s="393" t="s">
        <v>25</v>
      </c>
      <c r="O5" s="393" t="s">
        <v>23</v>
      </c>
      <c r="P5" s="20" t="s">
        <v>6</v>
      </c>
      <c r="Q5" s="4" t="s">
        <v>9</v>
      </c>
      <c r="R5" s="2" t="s">
        <v>20</v>
      </c>
      <c r="S5" s="336" t="s">
        <v>89</v>
      </c>
    </row>
    <row r="6" spans="2:20" ht="16.5" customHeight="1" thickTop="1">
      <c r="B6" s="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88"/>
      <c r="J6" s="8" t="s">
        <v>17</v>
      </c>
      <c r="K6" s="8" t="s">
        <v>17</v>
      </c>
      <c r="L6" s="391"/>
      <c r="M6" s="394"/>
      <c r="N6" s="394"/>
      <c r="O6" s="394"/>
      <c r="P6" s="21" t="s">
        <v>19</v>
      </c>
      <c r="Q6" s="9" t="s">
        <v>10</v>
      </c>
      <c r="R6" s="382" t="s">
        <v>21</v>
      </c>
      <c r="S6" s="337" t="s">
        <v>88</v>
      </c>
    </row>
    <row r="7" spans="2:20" ht="16.5" thickBot="1">
      <c r="B7" s="10"/>
      <c r="C7" s="10"/>
      <c r="D7" s="29"/>
      <c r="E7" s="8"/>
      <c r="F7" s="22" t="s">
        <v>15</v>
      </c>
      <c r="G7" s="10"/>
      <c r="H7" s="10" t="s">
        <v>16</v>
      </c>
      <c r="I7" s="389"/>
      <c r="J7" s="10"/>
      <c r="K7" s="10"/>
      <c r="L7" s="392"/>
      <c r="M7" s="395"/>
      <c r="N7" s="395"/>
      <c r="O7" s="395"/>
      <c r="P7" s="22"/>
      <c r="Q7" s="11"/>
      <c r="R7" s="383"/>
      <c r="S7" s="338" t="s">
        <v>90</v>
      </c>
    </row>
    <row r="8" spans="2:20" ht="15.75">
      <c r="B8" s="92">
        <v>46192</v>
      </c>
      <c r="C8" s="88">
        <v>1</v>
      </c>
      <c r="D8" s="30" t="s">
        <v>27</v>
      </c>
      <c r="E8" s="48">
        <v>153</v>
      </c>
      <c r="F8" s="39">
        <f>[3]Jun!$N65</f>
        <v>93</v>
      </c>
      <c r="G8" s="18">
        <v>464</v>
      </c>
      <c r="H8" s="54">
        <f>(G8)*24/(F8/60)/17000*100</f>
        <v>42.261859582542691</v>
      </c>
      <c r="I8" s="55"/>
      <c r="J8" s="54">
        <f>83-51.5</f>
        <v>31.5</v>
      </c>
      <c r="K8" s="54">
        <f>(G8)*0.066</f>
        <v>30.624000000000002</v>
      </c>
      <c r="L8" s="54">
        <f t="shared" ref="L8:L36" si="0">J8-K8</f>
        <v>0.87599999999999767</v>
      </c>
      <c r="M8" s="55">
        <f>[3]Jun!$AD8</f>
        <v>34</v>
      </c>
      <c r="N8" s="55">
        <v>4.5</v>
      </c>
      <c r="O8" s="55">
        <v>60</v>
      </c>
      <c r="P8" s="51">
        <f t="shared" ref="P8" si="1">(J8-K8)/J8*100</f>
        <v>2.7809523809523737</v>
      </c>
      <c r="Q8" s="55">
        <f>(G8)/(E8/60)</f>
        <v>181.9607843137255</v>
      </c>
      <c r="R8" s="16"/>
      <c r="S8" s="343"/>
    </row>
    <row r="9" spans="2:20" ht="15.75">
      <c r="B9" s="92">
        <v>46193</v>
      </c>
      <c r="C9" s="362">
        <v>2</v>
      </c>
      <c r="D9" s="30" t="s">
        <v>27</v>
      </c>
      <c r="E9" s="48">
        <v>878</v>
      </c>
      <c r="F9" s="39">
        <f>[3]Jun!$N66</f>
        <v>685</v>
      </c>
      <c r="G9" s="18">
        <v>3602</v>
      </c>
      <c r="H9" s="54">
        <f t="shared" ref="H9:H11" si="2">(G9)*24/(F9/60)/17000*100</f>
        <v>44.541691713181628</v>
      </c>
      <c r="I9" s="55"/>
      <c r="J9" s="54">
        <f>SUM(51.5,91,86.4,105.3)-88</f>
        <v>246.2</v>
      </c>
      <c r="K9" s="54">
        <f>(G9)*0.066</f>
        <v>237.732</v>
      </c>
      <c r="L9" s="54">
        <f t="shared" si="0"/>
        <v>8.4679999999999893</v>
      </c>
      <c r="M9" s="55">
        <f>[3]Jun!$AD9</f>
        <v>484</v>
      </c>
      <c r="N9" s="55">
        <v>7</v>
      </c>
      <c r="O9" s="55"/>
      <c r="P9" s="51">
        <f t="shared" ref="P9:P47" si="3">(J9-K9)/J9*100</f>
        <v>3.4394800974817183</v>
      </c>
      <c r="Q9" s="55">
        <f>(G9)/(E9/60)</f>
        <v>246.15034168564921</v>
      </c>
      <c r="R9" s="16"/>
      <c r="S9" s="339">
        <f>SUM('[4]Daily glue June'!$H$17:$H$18)</f>
        <v>6.4692139535276277E-2</v>
      </c>
    </row>
    <row r="10" spans="2:20" ht="15.75">
      <c r="B10" s="92">
        <v>46194</v>
      </c>
      <c r="C10" s="88">
        <v>3</v>
      </c>
      <c r="D10" s="30" t="s">
        <v>48</v>
      </c>
      <c r="E10" s="48">
        <v>540</v>
      </c>
      <c r="F10" s="39">
        <f>[3]Jun!$N67</f>
        <v>233</v>
      </c>
      <c r="G10" s="18">
        <v>1505</v>
      </c>
      <c r="H10" s="54">
        <f t="shared" si="2"/>
        <v>54.713456197929808</v>
      </c>
      <c r="I10" s="55"/>
      <c r="J10" s="54">
        <f>SUM(95,101.8)-94.5</f>
        <v>102.30000000000001</v>
      </c>
      <c r="K10" s="54">
        <f>(G10)*0.066</f>
        <v>99.33</v>
      </c>
      <c r="L10" s="54">
        <f t="shared" si="0"/>
        <v>2.9700000000000131</v>
      </c>
      <c r="M10" s="55">
        <f>[3]Jun!$AD10</f>
        <v>349</v>
      </c>
      <c r="N10" s="55">
        <v>3</v>
      </c>
      <c r="O10" s="55"/>
      <c r="P10" s="51">
        <f t="shared" si="3"/>
        <v>2.9032258064516254</v>
      </c>
      <c r="Q10" s="55">
        <f>(G10)/(E10/60)</f>
        <v>167.22222222222223</v>
      </c>
      <c r="R10" s="16"/>
      <c r="S10" s="339">
        <f>SUM('[4]Daily glue June'!$H$19)</f>
        <v>3.0764540337711064E-2</v>
      </c>
      <c r="T10" s="6"/>
    </row>
    <row r="11" spans="2:20" ht="15.75">
      <c r="B11" s="92">
        <v>46195</v>
      </c>
      <c r="C11" s="88">
        <v>4</v>
      </c>
      <c r="D11" s="30" t="s">
        <v>48</v>
      </c>
      <c r="E11" s="402">
        <v>1430</v>
      </c>
      <c r="F11" s="39">
        <f>[3]Jun!$N68</f>
        <v>818</v>
      </c>
      <c r="G11" s="18">
        <v>4380</v>
      </c>
      <c r="H11" s="54">
        <f t="shared" si="2"/>
        <v>45.355961455486842</v>
      </c>
      <c r="I11" s="55"/>
      <c r="J11" s="54">
        <f>SUM(94.5,96,103.2)</f>
        <v>293.7</v>
      </c>
      <c r="K11" s="54">
        <f>(G11)*0.066</f>
        <v>289.08000000000004</v>
      </c>
      <c r="L11" s="54">
        <f t="shared" si="0"/>
        <v>4.6199999999999477</v>
      </c>
      <c r="M11" s="55">
        <f>[3]Jun!$AD11</f>
        <v>397</v>
      </c>
      <c r="N11" s="55">
        <f>3+1</f>
        <v>4</v>
      </c>
      <c r="O11" s="55"/>
      <c r="P11" s="51">
        <f t="shared" si="3"/>
        <v>1.5730337078651508</v>
      </c>
      <c r="Q11" s="55">
        <f t="shared" ref="Q11:Q56" si="4">(G11)/(E11/60)</f>
        <v>183.77622377622379</v>
      </c>
      <c r="R11" s="16"/>
      <c r="S11" s="339">
        <f>SUM('[4]Daily glue June'!$H$20:$H$21)</f>
        <v>4.8482946661407046E-2</v>
      </c>
      <c r="T11" s="6"/>
    </row>
    <row r="12" spans="2:20" ht="15.75">
      <c r="B12" s="92">
        <v>46195</v>
      </c>
      <c r="C12" s="88">
        <v>4</v>
      </c>
      <c r="D12" s="30" t="s">
        <v>45</v>
      </c>
      <c r="E12" s="404"/>
      <c r="F12" s="39">
        <f>[3]Jun!$N69</f>
        <v>353</v>
      </c>
      <c r="G12" s="18">
        <v>2839</v>
      </c>
      <c r="H12" s="54">
        <f t="shared" ref="H12:H40" si="5">(G12)*24/(F12/60)/17000*100</f>
        <v>68.124645892351282</v>
      </c>
      <c r="I12" s="55"/>
      <c r="J12" s="54">
        <f>SUM(93,100,95)-81.9</f>
        <v>206.1</v>
      </c>
      <c r="K12" s="54">
        <f>(G12)*0.066+(70*0.19)</f>
        <v>200.67400000000001</v>
      </c>
      <c r="L12" s="54">
        <f t="shared" si="0"/>
        <v>5.4259999999999877</v>
      </c>
      <c r="M12" s="55">
        <f>[3]Jun!$AD12</f>
        <v>152</v>
      </c>
      <c r="N12" s="55"/>
      <c r="O12" s="55">
        <v>70</v>
      </c>
      <c r="P12" s="51">
        <f t="shared" ref="P12:P28" si="6">(J12-K12)/J12*100</f>
        <v>2.6327025715671946</v>
      </c>
      <c r="Q12" s="55">
        <f>(G12)/(E11/60)</f>
        <v>119.11888111888112</v>
      </c>
      <c r="R12" s="16"/>
      <c r="S12" s="343"/>
      <c r="T12" s="6"/>
    </row>
    <row r="13" spans="2:20" ht="15.75">
      <c r="B13" s="92">
        <v>46196</v>
      </c>
      <c r="C13" s="88">
        <v>5</v>
      </c>
      <c r="D13" s="30" t="s">
        <v>45</v>
      </c>
      <c r="E13" s="402">
        <v>1430</v>
      </c>
      <c r="F13" s="39">
        <f>[3]Jun!$N70</f>
        <v>379</v>
      </c>
      <c r="G13" s="18">
        <v>2565</v>
      </c>
      <c r="H13" s="54">
        <f>(G13)*24/(F13/60)/17000*100</f>
        <v>57.327331988204257</v>
      </c>
      <c r="I13" s="55"/>
      <c r="J13" s="54">
        <f>SUM(91.8,81.9)</f>
        <v>173.7</v>
      </c>
      <c r="K13" s="54">
        <f t="shared" ref="K13:K56" si="7">(G13)*0.066</f>
        <v>169.29000000000002</v>
      </c>
      <c r="L13" s="54">
        <f t="shared" si="0"/>
        <v>4.4099999999999682</v>
      </c>
      <c r="M13" s="55">
        <f>[3]Jun!$AD13</f>
        <v>107</v>
      </c>
      <c r="N13" s="55">
        <v>2</v>
      </c>
      <c r="O13" s="55"/>
      <c r="P13" s="51">
        <f t="shared" si="6"/>
        <v>2.5388601036269249</v>
      </c>
      <c r="Q13" s="55">
        <f t="shared" ref="Q13:Q26" si="8">(G13)/(E13/60)</f>
        <v>107.62237762237763</v>
      </c>
      <c r="R13" s="16"/>
      <c r="S13" s="339">
        <f>'[4]Daily glue June'!$H$22</f>
        <v>2.5370036101083033E-2</v>
      </c>
      <c r="T13" s="6"/>
    </row>
    <row r="14" spans="2:20" ht="15.75">
      <c r="B14" s="92">
        <v>46196</v>
      </c>
      <c r="C14" s="88">
        <v>5</v>
      </c>
      <c r="D14" s="30" t="s">
        <v>27</v>
      </c>
      <c r="E14" s="403"/>
      <c r="F14" s="39">
        <f>[3]Jun!$N71</f>
        <v>148</v>
      </c>
      <c r="G14" s="18">
        <v>1308</v>
      </c>
      <c r="H14" s="54">
        <f t="shared" si="5"/>
        <v>74.861685214626391</v>
      </c>
      <c r="I14" s="55"/>
      <c r="J14" s="54">
        <v>88</v>
      </c>
      <c r="K14" s="54">
        <f t="shared" si="7"/>
        <v>86.328000000000003</v>
      </c>
      <c r="L14" s="54">
        <f t="shared" si="0"/>
        <v>1.671999999999997</v>
      </c>
      <c r="M14" s="55">
        <f>[3]Jun!$AD14</f>
        <v>78</v>
      </c>
      <c r="N14" s="55">
        <v>3</v>
      </c>
      <c r="O14" s="55"/>
      <c r="P14" s="51">
        <f t="shared" si="6"/>
        <v>1.8999999999999966</v>
      </c>
      <c r="Q14" s="55">
        <f>(G14)/(E13/60)</f>
        <v>54.881118881118887</v>
      </c>
      <c r="R14" s="16"/>
      <c r="S14" s="441">
        <f>SUM('[4]Daily glue June'!$H$23)</f>
        <v>2.3000920527769253E-2</v>
      </c>
      <c r="T14" s="6"/>
    </row>
    <row r="15" spans="2:20" ht="15.75">
      <c r="B15" s="92">
        <v>46196</v>
      </c>
      <c r="C15" s="88">
        <v>5</v>
      </c>
      <c r="D15" s="30" t="s">
        <v>44</v>
      </c>
      <c r="E15" s="404"/>
      <c r="F15" s="39">
        <f>[3]Jun!$N72</f>
        <v>622</v>
      </c>
      <c r="G15" s="18">
        <v>1591</v>
      </c>
      <c r="H15" s="54">
        <f t="shared" si="5"/>
        <v>21.666729714393796</v>
      </c>
      <c r="I15" s="55"/>
      <c r="J15" s="54">
        <f>SUM(95.6,94.4,82)-89-77.9</f>
        <v>105.1</v>
      </c>
      <c r="K15" s="54">
        <f t="shared" si="7"/>
        <v>105.006</v>
      </c>
      <c r="L15" s="54">
        <f t="shared" si="0"/>
        <v>9.3999999999994088E-2</v>
      </c>
      <c r="M15" s="55">
        <f>[3]Jun!$AD15</f>
        <v>499</v>
      </c>
      <c r="N15" s="55">
        <v>16</v>
      </c>
      <c r="O15" s="55"/>
      <c r="P15" s="51">
        <f t="shared" si="6"/>
        <v>8.9438629876302661E-2</v>
      </c>
      <c r="Q15" s="55">
        <f>(G15)/(E13/60)</f>
        <v>66.75524475524476</v>
      </c>
      <c r="R15" s="16"/>
      <c r="S15" s="441"/>
      <c r="T15" s="6"/>
    </row>
    <row r="16" spans="2:20" ht="15.75">
      <c r="B16" s="92">
        <v>46197</v>
      </c>
      <c r="C16" s="88">
        <v>6</v>
      </c>
      <c r="D16" s="30" t="s">
        <v>44</v>
      </c>
      <c r="E16" s="402">
        <v>1422</v>
      </c>
      <c r="F16" s="39">
        <f>[3]Jun!$N73</f>
        <v>559</v>
      </c>
      <c r="G16" s="18">
        <v>3871</v>
      </c>
      <c r="H16" s="54">
        <f t="shared" si="5"/>
        <v>58.657687046195939</v>
      </c>
      <c r="I16" s="55">
        <v>52</v>
      </c>
      <c r="J16" s="54">
        <f>SUM(87,89,77.9,2)</f>
        <v>255.9</v>
      </c>
      <c r="K16" s="54">
        <f t="shared" si="7"/>
        <v>255.48600000000002</v>
      </c>
      <c r="L16" s="54">
        <f t="shared" si="0"/>
        <v>0.41399999999998727</v>
      </c>
      <c r="M16" s="55">
        <f>[3]Jun!$AD16</f>
        <v>133</v>
      </c>
      <c r="N16" s="55">
        <f>7+1</f>
        <v>8</v>
      </c>
      <c r="O16" s="55"/>
      <c r="P16" s="51">
        <f t="shared" si="6"/>
        <v>0.16178194607267968</v>
      </c>
      <c r="Q16" s="55">
        <f>(G16)/(E16/60)</f>
        <v>163.33333333333334</v>
      </c>
      <c r="R16" s="16"/>
      <c r="S16" s="339">
        <f>SUM('[4]Daily glue June'!$H$26:$H$27)</f>
        <v>4.2788537075559088E-2</v>
      </c>
      <c r="T16" s="6"/>
    </row>
    <row r="17" spans="2:22" ht="15.75">
      <c r="B17" s="92">
        <v>46197</v>
      </c>
      <c r="C17" s="88">
        <v>6</v>
      </c>
      <c r="D17" s="30" t="s">
        <v>45</v>
      </c>
      <c r="E17" s="404"/>
      <c r="F17" s="39">
        <f>[3]Jun!$N74</f>
        <v>601</v>
      </c>
      <c r="G17" s="18">
        <v>4314</v>
      </c>
      <c r="H17" s="54">
        <f t="shared" si="5"/>
        <v>60.802192424390711</v>
      </c>
      <c r="I17" s="55"/>
      <c r="J17" s="54">
        <f>SUM(85.2,97.5,101.8,98.2)-77.2</f>
        <v>305.5</v>
      </c>
      <c r="K17" s="54">
        <f>(G17)*0.066+(77*0.19)</f>
        <v>299.35399999999998</v>
      </c>
      <c r="L17" s="54">
        <f t="shared" si="0"/>
        <v>6.146000000000015</v>
      </c>
      <c r="M17" s="55">
        <f>[3]Jun!$AD17</f>
        <v>382</v>
      </c>
      <c r="N17" s="55">
        <v>3</v>
      </c>
      <c r="O17" s="55">
        <v>77</v>
      </c>
      <c r="P17" s="51">
        <f t="shared" si="6"/>
        <v>2.0117839607201358</v>
      </c>
      <c r="Q17" s="55">
        <f>(G17)/(E16/60)</f>
        <v>182.02531645569621</v>
      </c>
      <c r="R17" s="16"/>
      <c r="S17" s="339">
        <f>'[4]Daily glue June'!$H$28</f>
        <v>2.5554545454545455E-2</v>
      </c>
      <c r="T17" s="6"/>
    </row>
    <row r="18" spans="2:22" ht="15.75">
      <c r="B18" s="92">
        <v>46198</v>
      </c>
      <c r="C18" s="88">
        <v>7</v>
      </c>
      <c r="D18" s="30" t="s">
        <v>45</v>
      </c>
      <c r="E18" s="402">
        <v>1428</v>
      </c>
      <c r="F18" s="39">
        <f>[3]Jun!$N75</f>
        <v>113</v>
      </c>
      <c r="G18" s="18">
        <v>1145</v>
      </c>
      <c r="H18" s="54">
        <f t="shared" si="5"/>
        <v>85.830296720458094</v>
      </c>
      <c r="I18" s="55"/>
      <c r="J18" s="54">
        <v>77.2</v>
      </c>
      <c r="K18" s="54">
        <f t="shared" si="7"/>
        <v>75.570000000000007</v>
      </c>
      <c r="L18" s="54">
        <f t="shared" si="0"/>
        <v>1.6299999999999955</v>
      </c>
      <c r="M18" s="55">
        <f>[3]Jun!$AD18</f>
        <v>30</v>
      </c>
      <c r="N18" s="55">
        <v>1</v>
      </c>
      <c r="O18" s="55"/>
      <c r="P18" s="51">
        <f t="shared" si="6"/>
        <v>2.1113989637305637</v>
      </c>
      <c r="Q18" s="55">
        <f t="shared" si="8"/>
        <v>48.109243697478988</v>
      </c>
      <c r="R18" s="16"/>
      <c r="S18" s="339"/>
      <c r="T18" s="6"/>
    </row>
    <row r="19" spans="2:22" ht="15.75">
      <c r="B19" s="92">
        <v>46198</v>
      </c>
      <c r="C19" s="88">
        <v>7</v>
      </c>
      <c r="D19" s="30" t="s">
        <v>27</v>
      </c>
      <c r="E19" s="403"/>
      <c r="F19" s="39">
        <f>[3]Jun!$N76</f>
        <v>695</v>
      </c>
      <c r="G19" s="18">
        <v>5162</v>
      </c>
      <c r="H19" s="54">
        <f t="shared" si="5"/>
        <v>62.913922979263639</v>
      </c>
      <c r="I19" s="55"/>
      <c r="J19" s="54">
        <f>SUM(86.4,84.8,90.5,85.8)</f>
        <v>347.5</v>
      </c>
      <c r="K19" s="54">
        <f t="shared" si="7"/>
        <v>340.69200000000001</v>
      </c>
      <c r="L19" s="54">
        <f t="shared" si="0"/>
        <v>6.8079999999999927</v>
      </c>
      <c r="M19" s="55">
        <f>[3]Jun!$AD19</f>
        <v>168</v>
      </c>
      <c r="N19" s="55">
        <f>21+27</f>
        <v>48</v>
      </c>
      <c r="O19" s="55"/>
      <c r="P19" s="51">
        <f t="shared" si="6"/>
        <v>1.9591366906474801</v>
      </c>
      <c r="Q19" s="55">
        <f>(G19)/(E18/60)</f>
        <v>216.890756302521</v>
      </c>
      <c r="R19" s="16"/>
      <c r="S19" s="339">
        <f>'[4]Daily glue June'!$H$30</f>
        <v>2.3957386363636365E-2</v>
      </c>
      <c r="T19" s="6"/>
    </row>
    <row r="20" spans="2:22" ht="15.75">
      <c r="B20" s="92">
        <v>46198</v>
      </c>
      <c r="C20" s="88">
        <v>7</v>
      </c>
      <c r="D20" s="30" t="s">
        <v>135</v>
      </c>
      <c r="E20" s="403"/>
      <c r="F20" s="39">
        <f>[3]Jun!$N77</f>
        <v>234</v>
      </c>
      <c r="G20" s="18">
        <v>1783</v>
      </c>
      <c r="H20" s="54">
        <f t="shared" si="5"/>
        <v>64.542986425339379</v>
      </c>
      <c r="I20" s="55"/>
      <c r="J20" s="428">
        <f>SUM(97,91,94.6)-57.3-24-10</f>
        <v>191.3</v>
      </c>
      <c r="K20" s="428">
        <f>(G20+G21)*0.066</f>
        <v>185.988</v>
      </c>
      <c r="L20" s="54">
        <f t="shared" si="0"/>
        <v>5.3120000000000118</v>
      </c>
      <c r="M20" s="55">
        <f>[3]Jun!$AD20</f>
        <v>93</v>
      </c>
      <c r="N20" s="55"/>
      <c r="O20" s="55"/>
      <c r="P20" s="428">
        <f t="shared" si="6"/>
        <v>2.776790381599588</v>
      </c>
      <c r="Q20" s="55">
        <f>(G18)/(E18/60)</f>
        <v>48.109243697478988</v>
      </c>
      <c r="R20" s="16"/>
      <c r="S20" s="435">
        <f>'[4]Daily glue June'!$H$29</f>
        <v>2.1797939514788964E-2</v>
      </c>
      <c r="T20" s="6"/>
    </row>
    <row r="21" spans="2:22" ht="15" customHeight="1">
      <c r="B21" s="92">
        <v>46198</v>
      </c>
      <c r="C21" s="88">
        <v>7</v>
      </c>
      <c r="D21" s="30" t="s">
        <v>45</v>
      </c>
      <c r="E21" s="404"/>
      <c r="F21" s="39">
        <f>[3]Jun!$N78</f>
        <v>222</v>
      </c>
      <c r="G21" s="18">
        <v>1035</v>
      </c>
      <c r="H21" s="54">
        <f>(G21)*24/(F21/60)/17000*100</f>
        <v>39.491255961844196</v>
      </c>
      <c r="I21" s="55"/>
      <c r="J21" s="428"/>
      <c r="K21" s="428"/>
      <c r="L21" s="54">
        <f t="shared" si="0"/>
        <v>0</v>
      </c>
      <c r="M21" s="55">
        <f>[3]Jun!$AD21</f>
        <v>121</v>
      </c>
      <c r="N21" s="50"/>
      <c r="O21" s="55"/>
      <c r="P21" s="428"/>
      <c r="Q21" s="55">
        <f>(G21)/(E18/60)</f>
        <v>43.487394957983192</v>
      </c>
      <c r="R21" s="16"/>
      <c r="S21" s="435"/>
      <c r="T21" s="6"/>
      <c r="V21" s="363"/>
    </row>
    <row r="22" spans="2:22" ht="15.75">
      <c r="B22" s="92">
        <v>46199</v>
      </c>
      <c r="C22" s="88">
        <v>8</v>
      </c>
      <c r="D22" s="30" t="s">
        <v>45</v>
      </c>
      <c r="E22" s="402">
        <v>1235</v>
      </c>
      <c r="F22" s="39">
        <f>[3]Jun!$N79</f>
        <v>393</v>
      </c>
      <c r="G22" s="18">
        <v>2766</v>
      </c>
      <c r="H22" s="54">
        <f t="shared" si="5"/>
        <v>59.617422541535703</v>
      </c>
      <c r="I22" s="55"/>
      <c r="J22" s="54">
        <f>SUM(100,57.3,30,107)-100-9</f>
        <v>185.3</v>
      </c>
      <c r="K22" s="54">
        <f t="shared" si="7"/>
        <v>182.55600000000001</v>
      </c>
      <c r="L22" s="54">
        <f t="shared" si="0"/>
        <v>2.7439999999999998</v>
      </c>
      <c r="M22" s="55">
        <f>[3]Jun!$AD22</f>
        <v>125</v>
      </c>
      <c r="N22" s="55">
        <v>6</v>
      </c>
      <c r="O22" s="55"/>
      <c r="P22" s="51">
        <f t="shared" si="6"/>
        <v>1.4808418780356178</v>
      </c>
      <c r="Q22" s="55">
        <f t="shared" si="8"/>
        <v>134.38056680161944</v>
      </c>
      <c r="R22" s="16"/>
      <c r="S22" s="339">
        <f>SUM('[4]Daily glue June'!$H$31:$H$32)</f>
        <v>4.0139568990361515E-2</v>
      </c>
      <c r="T22" s="6"/>
      <c r="U22" s="144"/>
      <c r="V22" s="144"/>
    </row>
    <row r="23" spans="2:22" s="254" customFormat="1" ht="15.75">
      <c r="B23" s="190">
        <v>46199</v>
      </c>
      <c r="C23" s="191">
        <v>8</v>
      </c>
      <c r="D23" s="192" t="s">
        <v>136</v>
      </c>
      <c r="E23" s="404"/>
      <c r="F23" s="365"/>
      <c r="G23" s="185">
        <v>0</v>
      </c>
      <c r="H23" s="184" t="e">
        <f t="shared" si="5"/>
        <v>#DIV/0!</v>
      </c>
      <c r="I23" s="187"/>
      <c r="J23" s="184"/>
      <c r="K23" s="184">
        <f t="shared" si="7"/>
        <v>0</v>
      </c>
      <c r="L23" s="184">
        <f t="shared" si="0"/>
        <v>0</v>
      </c>
      <c r="M23" s="187">
        <f>[3]Jun!$AD23</f>
        <v>810</v>
      </c>
      <c r="N23" s="187"/>
      <c r="O23" s="187"/>
      <c r="P23" s="366" t="e">
        <f t="shared" si="6"/>
        <v>#DIV/0!</v>
      </c>
      <c r="Q23" s="187" t="e">
        <f t="shared" si="8"/>
        <v>#DIV/0!</v>
      </c>
      <c r="R23" s="218"/>
      <c r="S23" s="343"/>
      <c r="T23" s="253"/>
    </row>
    <row r="24" spans="2:22" ht="15.75">
      <c r="B24" s="92">
        <v>46200</v>
      </c>
      <c r="C24" s="88">
        <v>9</v>
      </c>
      <c r="D24" s="30" t="s">
        <v>45</v>
      </c>
      <c r="E24" s="402">
        <v>842</v>
      </c>
      <c r="F24" s="39">
        <f>[3]Jun!$N81</f>
        <v>145</v>
      </c>
      <c r="G24" s="18">
        <v>1581</v>
      </c>
      <c r="H24" s="54">
        <f t="shared" si="5"/>
        <v>92.358620689655183</v>
      </c>
      <c r="I24" s="55"/>
      <c r="J24" s="54">
        <f>SUM(100,9)</f>
        <v>109</v>
      </c>
      <c r="K24" s="54">
        <f t="shared" si="7"/>
        <v>104.346</v>
      </c>
      <c r="L24" s="54">
        <f t="shared" si="0"/>
        <v>4.6539999999999964</v>
      </c>
      <c r="M24" s="55">
        <f>[3]Jun!$AD24</f>
        <v>474</v>
      </c>
      <c r="N24" s="55">
        <f>32+1</f>
        <v>33</v>
      </c>
      <c r="O24" s="55"/>
      <c r="P24" s="51">
        <f t="shared" si="6"/>
        <v>4.2697247706421981</v>
      </c>
      <c r="Q24" s="55">
        <f t="shared" si="8"/>
        <v>112.6603325415677</v>
      </c>
      <c r="R24" s="16"/>
      <c r="S24" s="339">
        <f>'[4]Daily glue June'!$H$34</f>
        <v>1.7036363636363634E-2</v>
      </c>
      <c r="T24" s="6"/>
      <c r="V24" s="144"/>
    </row>
    <row r="25" spans="2:22" ht="15.75">
      <c r="B25" s="92">
        <v>46200</v>
      </c>
      <c r="C25" s="88">
        <v>9</v>
      </c>
      <c r="D25" s="30" t="s">
        <v>27</v>
      </c>
      <c r="E25" s="404"/>
      <c r="F25" s="39">
        <f>[3]Jun!$N82</f>
        <v>262</v>
      </c>
      <c r="G25" s="18">
        <v>2082</v>
      </c>
      <c r="H25" s="54">
        <f t="shared" si="5"/>
        <v>67.312079030085329</v>
      </c>
      <c r="I25" s="55"/>
      <c r="J25" s="54">
        <f>SUM(96,98.2)-54.2</f>
        <v>140</v>
      </c>
      <c r="K25" s="54">
        <f t="shared" si="7"/>
        <v>137.41200000000001</v>
      </c>
      <c r="L25" s="54">
        <f t="shared" si="0"/>
        <v>2.5879999999999939</v>
      </c>
      <c r="M25" s="55">
        <f>[3]Jun!$AD25</f>
        <v>54</v>
      </c>
      <c r="N25" s="55">
        <v>2</v>
      </c>
      <c r="O25" s="55"/>
      <c r="P25" s="51">
        <f t="shared" si="6"/>
        <v>1.8485714285714241</v>
      </c>
      <c r="Q25" s="55">
        <f>(G25)/(E24/60)</f>
        <v>148.36104513064134</v>
      </c>
      <c r="R25" s="16"/>
      <c r="S25" s="339">
        <f>'[4]Daily glue June'!$H$35</f>
        <v>2.1069707677481526E-2</v>
      </c>
      <c r="T25" s="6"/>
    </row>
    <row r="26" spans="2:22" ht="15.75">
      <c r="B26" s="92">
        <v>46202</v>
      </c>
      <c r="C26" s="88">
        <v>10</v>
      </c>
      <c r="D26" s="30" t="s">
        <v>27</v>
      </c>
      <c r="E26" s="402">
        <v>1346</v>
      </c>
      <c r="F26" s="39">
        <f>[3]Jun!$N83</f>
        <v>310</v>
      </c>
      <c r="G26" s="18">
        <v>2286</v>
      </c>
      <c r="H26" s="54">
        <f t="shared" si="5"/>
        <v>62.463757115749516</v>
      </c>
      <c r="I26" s="55"/>
      <c r="J26" s="54">
        <f>SUM(54.2,98)</f>
        <v>152.19999999999999</v>
      </c>
      <c r="K26" s="54">
        <f t="shared" si="7"/>
        <v>150.876</v>
      </c>
      <c r="L26" s="54">
        <f t="shared" si="0"/>
        <v>1.3239999999999839</v>
      </c>
      <c r="M26" s="55">
        <f>[3]Jun!$AD26</f>
        <v>141</v>
      </c>
      <c r="N26" s="55">
        <v>2</v>
      </c>
      <c r="O26" s="55"/>
      <c r="P26" s="51">
        <f t="shared" si="6"/>
        <v>0.86990801576871479</v>
      </c>
      <c r="Q26" s="55">
        <f t="shared" si="8"/>
        <v>101.90193164933135</v>
      </c>
      <c r="R26" s="16"/>
      <c r="S26" s="339">
        <f>'[4]Daily glue June'!$H$36</f>
        <v>2.984076433121019E-2</v>
      </c>
      <c r="T26" s="6"/>
    </row>
    <row r="27" spans="2:22" ht="15.75">
      <c r="B27" s="92">
        <v>46202</v>
      </c>
      <c r="C27" s="88">
        <v>10</v>
      </c>
      <c r="D27" s="30" t="s">
        <v>136</v>
      </c>
      <c r="E27" s="403"/>
      <c r="F27" s="39">
        <f>[3]Jun!$N84</f>
        <v>211</v>
      </c>
      <c r="G27" s="18">
        <v>1756</v>
      </c>
      <c r="H27" s="54">
        <f t="shared" si="5"/>
        <v>70.494563702258148</v>
      </c>
      <c r="I27" s="55"/>
      <c r="J27" s="367">
        <f>1800*0.066</f>
        <v>118.80000000000001</v>
      </c>
      <c r="K27" s="54">
        <f t="shared" si="7"/>
        <v>115.896</v>
      </c>
      <c r="L27" s="54">
        <f t="shared" si="0"/>
        <v>2.9040000000000106</v>
      </c>
      <c r="M27" s="55">
        <f>[3]Jun!$AD27</f>
        <v>254</v>
      </c>
      <c r="N27" s="55">
        <v>1</v>
      </c>
      <c r="O27" s="55"/>
      <c r="P27" s="51">
        <f t="shared" si="6"/>
        <v>2.4444444444444531</v>
      </c>
      <c r="Q27" s="55">
        <f>(G27)/(E26/60)</f>
        <v>78.276374442793468</v>
      </c>
      <c r="R27" s="16"/>
      <c r="S27" s="339">
        <f>'[4]Daily glue June'!$H$37</f>
        <v>1.8300781249999998E-2</v>
      </c>
      <c r="T27" s="6"/>
      <c r="V27" s="144"/>
    </row>
    <row r="28" spans="2:22" ht="15.75">
      <c r="B28" s="92">
        <v>46202</v>
      </c>
      <c r="C28" s="88">
        <v>10</v>
      </c>
      <c r="D28" s="30" t="s">
        <v>137</v>
      </c>
      <c r="E28" s="404"/>
      <c r="F28" s="39">
        <f>[3]Jun!$N85</f>
        <v>211</v>
      </c>
      <c r="G28" s="18">
        <v>1479</v>
      </c>
      <c r="H28" s="54">
        <f>(G28)*24/(F28/60)/17000*100</f>
        <v>59.374407582938396</v>
      </c>
      <c r="I28" s="55"/>
      <c r="J28" s="54">
        <v>100.7</v>
      </c>
      <c r="K28" s="54">
        <f t="shared" si="7"/>
        <v>97.614000000000004</v>
      </c>
      <c r="L28" s="54">
        <f t="shared" si="0"/>
        <v>3.0859999999999985</v>
      </c>
      <c r="M28" s="55">
        <f>[3]Jun!$AD28</f>
        <v>257</v>
      </c>
      <c r="N28" s="55">
        <v>11</v>
      </c>
      <c r="O28" s="55"/>
      <c r="P28" s="51">
        <f t="shared" si="6"/>
        <v>3.0645481628599787</v>
      </c>
      <c r="Q28" s="55">
        <f>(G28)/(E26/60)</f>
        <v>65.928677563150075</v>
      </c>
      <c r="R28" s="16"/>
      <c r="S28" s="339">
        <f>'[4]Daily glue June'!$H$38</f>
        <v>3.0461638491547462E-2</v>
      </c>
      <c r="T28" s="6"/>
      <c r="V28" s="144"/>
    </row>
    <row r="29" spans="2:22" ht="15.75">
      <c r="B29" s="92">
        <v>46203</v>
      </c>
      <c r="C29" s="88">
        <v>11</v>
      </c>
      <c r="D29" s="30" t="s">
        <v>27</v>
      </c>
      <c r="E29" s="402">
        <v>1385</v>
      </c>
      <c r="F29" s="39">
        <f>[3]Jun!$N86</f>
        <v>194</v>
      </c>
      <c r="G29" s="18">
        <v>1436</v>
      </c>
      <c r="H29" s="54">
        <f t="shared" si="5"/>
        <v>62.699818071558511</v>
      </c>
      <c r="I29" s="55"/>
      <c r="J29" s="54">
        <f>SUM(96.5)</f>
        <v>96.5</v>
      </c>
      <c r="K29" s="54">
        <f t="shared" si="7"/>
        <v>94.77600000000001</v>
      </c>
      <c r="L29" s="54">
        <f t="shared" si="0"/>
        <v>1.7239999999999895</v>
      </c>
      <c r="M29" s="55">
        <f>[3]Jun!$AD29</f>
        <v>400</v>
      </c>
      <c r="N29" s="55">
        <v>5</v>
      </c>
      <c r="O29" s="55"/>
      <c r="P29" s="51">
        <f t="shared" si="3"/>
        <v>1.7865284974093156</v>
      </c>
      <c r="Q29" s="55">
        <f t="shared" si="4"/>
        <v>62.209386281588451</v>
      </c>
      <c r="R29" s="16"/>
      <c r="S29" s="339">
        <f>'[4]Daily glue June'!$H$40</f>
        <v>2.1087771942985747E-2</v>
      </c>
      <c r="T29" s="6"/>
    </row>
    <row r="30" spans="2:22" ht="15.75">
      <c r="B30" s="92">
        <v>46203</v>
      </c>
      <c r="C30" s="88">
        <v>11</v>
      </c>
      <c r="D30" s="30" t="s">
        <v>45</v>
      </c>
      <c r="E30" s="404"/>
      <c r="F30" s="39">
        <f>[3]Jun!$N87</f>
        <v>750</v>
      </c>
      <c r="G30" s="18">
        <v>5438</v>
      </c>
      <c r="H30" s="54">
        <f t="shared" si="5"/>
        <v>61.417411764705875</v>
      </c>
      <c r="I30" s="55"/>
      <c r="J30" s="54">
        <f>SUM(64,99.7,107.2,97)</f>
        <v>367.9</v>
      </c>
      <c r="K30" s="54">
        <f t="shared" si="7"/>
        <v>358.90800000000002</v>
      </c>
      <c r="L30" s="54">
        <f t="shared" si="0"/>
        <v>8.9919999999999618</v>
      </c>
      <c r="M30" s="55">
        <f>[3]Jun!$AD30</f>
        <v>207</v>
      </c>
      <c r="N30" s="55">
        <f>1+2</f>
        <v>3</v>
      </c>
      <c r="O30" s="55"/>
      <c r="P30" s="51">
        <f t="shared" si="3"/>
        <v>2.444142430008144</v>
      </c>
      <c r="Q30" s="55">
        <f>(G30)/(E29/60)</f>
        <v>235.58122743682313</v>
      </c>
      <c r="R30" s="16"/>
      <c r="S30" s="339">
        <f>'[4]Daily glue June'!$H$41</f>
        <v>2.0822222222222221E-2</v>
      </c>
      <c r="T30" s="6"/>
    </row>
    <row r="31" spans="2:22" ht="15.75">
      <c r="B31" s="92"/>
      <c r="C31" s="88"/>
      <c r="D31" s="30"/>
      <c r="E31" s="48"/>
      <c r="F31" s="39">
        <f>[3]Jun!$N88</f>
        <v>0</v>
      </c>
      <c r="G31" s="18"/>
      <c r="H31" s="54" t="e">
        <f t="shared" si="5"/>
        <v>#DIV/0!</v>
      </c>
      <c r="I31" s="55"/>
      <c r="J31" s="54"/>
      <c r="K31" s="54">
        <f t="shared" si="7"/>
        <v>0</v>
      </c>
      <c r="L31" s="54">
        <f t="shared" si="0"/>
        <v>0</v>
      </c>
      <c r="M31" s="55">
        <f>[3]Jun!$AD31</f>
        <v>0</v>
      </c>
      <c r="N31" s="55"/>
      <c r="O31" s="55"/>
      <c r="P31" s="51" t="e">
        <f t="shared" si="3"/>
        <v>#DIV/0!</v>
      </c>
      <c r="Q31" s="55" t="e">
        <f t="shared" si="4"/>
        <v>#DIV/0!</v>
      </c>
      <c r="R31" s="16"/>
      <c r="S31" s="339"/>
      <c r="T31" s="6"/>
    </row>
    <row r="32" spans="2:22" ht="16.5" thickBot="1">
      <c r="B32" s="92"/>
      <c r="C32" s="88"/>
      <c r="D32" s="30"/>
      <c r="E32" s="48"/>
      <c r="F32" s="39">
        <f>[3]Jun!$N89</f>
        <v>0</v>
      </c>
      <c r="G32" s="18"/>
      <c r="H32" s="54" t="e">
        <f t="shared" si="5"/>
        <v>#DIV/0!</v>
      </c>
      <c r="I32" s="55"/>
      <c r="J32" s="54"/>
      <c r="K32" s="54">
        <f t="shared" si="7"/>
        <v>0</v>
      </c>
      <c r="L32" s="54">
        <f t="shared" si="0"/>
        <v>0</v>
      </c>
      <c r="M32" s="55">
        <f>[3]Jun!$AD32</f>
        <v>0</v>
      </c>
      <c r="N32" s="55"/>
      <c r="O32" s="219"/>
      <c r="P32" s="51" t="e">
        <f>(J32-K32)/J32*100</f>
        <v>#DIV/0!</v>
      </c>
      <c r="Q32" s="55" t="e">
        <f t="shared" si="4"/>
        <v>#DIV/0!</v>
      </c>
      <c r="R32" s="16"/>
      <c r="S32" s="339"/>
      <c r="T32" s="6"/>
    </row>
    <row r="33" spans="2:20" ht="15.75" hidden="1">
      <c r="B33" s="92"/>
      <c r="C33" s="88"/>
      <c r="D33" s="30"/>
      <c r="E33" s="48"/>
      <c r="F33" s="39">
        <f>[3]Jun!$N90</f>
        <v>0</v>
      </c>
      <c r="G33" s="18"/>
      <c r="H33" s="54" t="e">
        <f t="shared" si="5"/>
        <v>#DIV/0!</v>
      </c>
      <c r="I33" s="55"/>
      <c r="J33" s="54"/>
      <c r="K33" s="54">
        <f t="shared" si="7"/>
        <v>0</v>
      </c>
      <c r="L33" s="54">
        <f t="shared" si="0"/>
        <v>0</v>
      </c>
      <c r="M33" s="55">
        <f>[3]Jun!$AD33</f>
        <v>0</v>
      </c>
      <c r="N33" s="55"/>
      <c r="O33" s="55"/>
      <c r="P33" s="51" t="e">
        <f t="shared" si="3"/>
        <v>#DIV/0!</v>
      </c>
      <c r="Q33" s="55" t="e">
        <f t="shared" si="4"/>
        <v>#DIV/0!</v>
      </c>
      <c r="R33" s="16"/>
      <c r="S33" s="339"/>
      <c r="T33" s="6"/>
    </row>
    <row r="34" spans="2:20" ht="15.75" hidden="1">
      <c r="B34" s="92"/>
      <c r="C34" s="88"/>
      <c r="D34" s="30"/>
      <c r="E34" s="48"/>
      <c r="F34" s="39">
        <f>[3]Jun!$N91</f>
        <v>0</v>
      </c>
      <c r="G34" s="18"/>
      <c r="H34" s="54" t="e">
        <f t="shared" si="5"/>
        <v>#DIV/0!</v>
      </c>
      <c r="I34" s="55"/>
      <c r="J34" s="54"/>
      <c r="K34" s="54">
        <f t="shared" si="7"/>
        <v>0</v>
      </c>
      <c r="L34" s="54">
        <f t="shared" si="0"/>
        <v>0</v>
      </c>
      <c r="M34" s="55">
        <f>[3]Jun!$AD34</f>
        <v>0</v>
      </c>
      <c r="N34" s="55"/>
      <c r="O34" s="55"/>
      <c r="P34" s="51" t="e">
        <f t="shared" si="3"/>
        <v>#DIV/0!</v>
      </c>
      <c r="Q34" s="55" t="e">
        <f t="shared" si="4"/>
        <v>#DIV/0!</v>
      </c>
      <c r="R34" s="16"/>
      <c r="S34" s="339"/>
      <c r="T34" s="6"/>
    </row>
    <row r="35" spans="2:20" ht="15.75" hidden="1">
      <c r="B35" s="92"/>
      <c r="C35" s="88"/>
      <c r="D35" s="30"/>
      <c r="E35" s="48"/>
      <c r="F35" s="39">
        <f>[3]Jun!$N92</f>
        <v>0</v>
      </c>
      <c r="G35" s="18"/>
      <c r="H35" s="54" t="e">
        <f t="shared" si="5"/>
        <v>#DIV/0!</v>
      </c>
      <c r="I35" s="55"/>
      <c r="J35" s="54"/>
      <c r="K35" s="54">
        <f t="shared" si="7"/>
        <v>0</v>
      </c>
      <c r="L35" s="54">
        <f t="shared" si="0"/>
        <v>0</v>
      </c>
      <c r="M35" s="55">
        <f>[3]Jun!$AD35</f>
        <v>0</v>
      </c>
      <c r="N35" s="55"/>
      <c r="O35" s="55"/>
      <c r="P35" s="51" t="e">
        <f t="shared" si="3"/>
        <v>#DIV/0!</v>
      </c>
      <c r="Q35" s="55" t="e">
        <f t="shared" si="4"/>
        <v>#DIV/0!</v>
      </c>
      <c r="R35" s="16"/>
      <c r="S35" s="339"/>
      <c r="T35" s="6"/>
    </row>
    <row r="36" spans="2:20" ht="15.75" hidden="1">
      <c r="B36" s="92"/>
      <c r="C36" s="88"/>
      <c r="D36" s="30"/>
      <c r="E36" s="48"/>
      <c r="F36" s="39">
        <f>[3]Jun!$N93</f>
        <v>0</v>
      </c>
      <c r="G36" s="18"/>
      <c r="H36" s="54" t="e">
        <f t="shared" si="5"/>
        <v>#DIV/0!</v>
      </c>
      <c r="I36" s="55"/>
      <c r="J36" s="54"/>
      <c r="K36" s="54">
        <f t="shared" si="7"/>
        <v>0</v>
      </c>
      <c r="L36" s="54">
        <f t="shared" si="0"/>
        <v>0</v>
      </c>
      <c r="M36" s="55">
        <f>[3]Jun!$AD36</f>
        <v>0</v>
      </c>
      <c r="N36" s="55"/>
      <c r="O36" s="173"/>
      <c r="P36" s="51" t="e">
        <f t="shared" si="3"/>
        <v>#DIV/0!</v>
      </c>
      <c r="Q36" s="55" t="e">
        <f t="shared" si="4"/>
        <v>#DIV/0!</v>
      </c>
      <c r="R36" s="16"/>
      <c r="S36" s="339"/>
      <c r="T36" s="6"/>
    </row>
    <row r="37" spans="2:20" ht="15.75" hidden="1">
      <c r="B37" s="92"/>
      <c r="C37" s="88"/>
      <c r="D37" s="30"/>
      <c r="E37" s="48"/>
      <c r="F37" s="39">
        <f>[3]Jun!$N94</f>
        <v>0</v>
      </c>
      <c r="G37" s="18"/>
      <c r="H37" s="54" t="e">
        <f t="shared" si="5"/>
        <v>#DIV/0!</v>
      </c>
      <c r="I37" s="55"/>
      <c r="J37" s="54"/>
      <c r="K37" s="54">
        <f t="shared" si="7"/>
        <v>0</v>
      </c>
      <c r="L37" s="54">
        <f>J37-K37</f>
        <v>0</v>
      </c>
      <c r="M37" s="55">
        <f>[3]Jun!$AD37</f>
        <v>0</v>
      </c>
      <c r="N37" s="55"/>
      <c r="O37" s="173"/>
      <c r="P37" s="51" t="e">
        <f t="shared" si="3"/>
        <v>#DIV/0!</v>
      </c>
      <c r="Q37" s="55" t="e">
        <f t="shared" si="4"/>
        <v>#DIV/0!</v>
      </c>
      <c r="R37" s="16"/>
      <c r="S37" s="339"/>
      <c r="T37" s="6"/>
    </row>
    <row r="38" spans="2:20" ht="15.75" hidden="1">
      <c r="B38" s="92"/>
      <c r="C38" s="88"/>
      <c r="D38" s="30"/>
      <c r="E38" s="48"/>
      <c r="F38" s="39">
        <f>[3]Jun!$N95</f>
        <v>0</v>
      </c>
      <c r="G38" s="18"/>
      <c r="H38" s="54" t="e">
        <f t="shared" si="5"/>
        <v>#DIV/0!</v>
      </c>
      <c r="I38" s="55"/>
      <c r="J38" s="54"/>
      <c r="K38" s="54">
        <f t="shared" si="7"/>
        <v>0</v>
      </c>
      <c r="L38" s="54">
        <f>J38-K38</f>
        <v>0</v>
      </c>
      <c r="M38" s="55">
        <f>[3]Jun!$AD38</f>
        <v>0</v>
      </c>
      <c r="N38" s="55"/>
      <c r="O38" s="55"/>
      <c r="P38" s="51" t="e">
        <f t="shared" si="3"/>
        <v>#DIV/0!</v>
      </c>
      <c r="Q38" s="55" t="e">
        <f t="shared" si="4"/>
        <v>#DIV/0!</v>
      </c>
      <c r="R38" s="16"/>
      <c r="S38" s="339"/>
      <c r="T38" s="6"/>
    </row>
    <row r="39" spans="2:20" ht="15.75" hidden="1">
      <c r="B39" s="92"/>
      <c r="C39" s="88"/>
      <c r="D39" s="30"/>
      <c r="E39" s="48"/>
      <c r="F39" s="39">
        <f>[3]Jun!$N96</f>
        <v>0</v>
      </c>
      <c r="G39" s="18"/>
      <c r="H39" s="54" t="e">
        <f t="shared" si="5"/>
        <v>#DIV/0!</v>
      </c>
      <c r="I39" s="55"/>
      <c r="J39" s="54"/>
      <c r="K39" s="54">
        <f t="shared" si="7"/>
        <v>0</v>
      </c>
      <c r="L39" s="54">
        <f t="shared" ref="L39:L52" si="9">J39-K39</f>
        <v>0</v>
      </c>
      <c r="M39" s="55">
        <f>[3]Jun!$AD39</f>
        <v>0</v>
      </c>
      <c r="N39" s="55"/>
      <c r="O39" s="55"/>
      <c r="P39" s="51" t="e">
        <f t="shared" si="3"/>
        <v>#DIV/0!</v>
      </c>
      <c r="Q39" s="55" t="e">
        <f t="shared" si="4"/>
        <v>#DIV/0!</v>
      </c>
      <c r="R39" s="16"/>
      <c r="S39" s="339"/>
      <c r="T39" s="6"/>
    </row>
    <row r="40" spans="2:20" ht="17.25" hidden="1" customHeight="1">
      <c r="B40" s="92"/>
      <c r="C40" s="88"/>
      <c r="D40" s="116"/>
      <c r="E40" s="48"/>
      <c r="F40" s="39">
        <f>[3]Jun!$N97</f>
        <v>0</v>
      </c>
      <c r="G40" s="18"/>
      <c r="H40" s="54" t="e">
        <f t="shared" si="5"/>
        <v>#DIV/0!</v>
      </c>
      <c r="I40" s="55"/>
      <c r="J40" s="54"/>
      <c r="K40" s="54">
        <f t="shared" si="7"/>
        <v>0</v>
      </c>
      <c r="L40" s="54">
        <f t="shared" si="9"/>
        <v>0</v>
      </c>
      <c r="M40" s="55">
        <f>[3]Jun!$AD40</f>
        <v>0</v>
      </c>
      <c r="N40" s="55"/>
      <c r="O40" s="55"/>
      <c r="P40" s="51" t="e">
        <f t="shared" si="3"/>
        <v>#DIV/0!</v>
      </c>
      <c r="Q40" s="55" t="e">
        <f t="shared" si="4"/>
        <v>#DIV/0!</v>
      </c>
      <c r="R40" s="16"/>
      <c r="S40" s="339"/>
    </row>
    <row r="41" spans="2:20" ht="18" hidden="1">
      <c r="B41" s="60"/>
      <c r="C41" s="49"/>
      <c r="D41" s="116"/>
      <c r="E41" s="48"/>
      <c r="F41" s="39">
        <f>[3]Jun!$N98</f>
        <v>0</v>
      </c>
      <c r="G41" s="18"/>
      <c r="H41" s="54" t="e">
        <f>(G41)*24/(F41/60)/17000*100</f>
        <v>#DIV/0!</v>
      </c>
      <c r="J41" s="54"/>
      <c r="K41" s="54">
        <f t="shared" si="7"/>
        <v>0</v>
      </c>
      <c r="L41" s="54">
        <f t="shared" si="9"/>
        <v>0</v>
      </c>
      <c r="M41" s="55">
        <f>[3]Jun!$AD41</f>
        <v>0</v>
      </c>
      <c r="N41" s="55"/>
      <c r="O41" s="55"/>
      <c r="P41" s="51" t="e">
        <f t="shared" si="3"/>
        <v>#DIV/0!</v>
      </c>
      <c r="Q41" s="55" t="e">
        <f t="shared" si="4"/>
        <v>#DIV/0!</v>
      </c>
      <c r="R41" s="16"/>
      <c r="S41" s="339"/>
    </row>
    <row r="42" spans="2:20" ht="18" hidden="1">
      <c r="B42" s="60"/>
      <c r="C42" s="49"/>
      <c r="D42" s="116"/>
      <c r="E42" s="48"/>
      <c r="F42" s="39">
        <f>[3]Jun!$N99</f>
        <v>0</v>
      </c>
      <c r="G42" s="18"/>
      <c r="H42" s="54" t="e">
        <f>(G42)*24/(F42/60)/17000*100</f>
        <v>#DIV/0!</v>
      </c>
      <c r="I42" s="55"/>
      <c r="J42" s="428"/>
      <c r="K42" s="54">
        <f t="shared" si="7"/>
        <v>0</v>
      </c>
      <c r="L42" s="54">
        <f t="shared" si="9"/>
        <v>0</v>
      </c>
      <c r="M42" s="55">
        <f>[3]Jun!$AD42</f>
        <v>0</v>
      </c>
      <c r="N42" s="55"/>
      <c r="O42" s="55"/>
      <c r="P42" s="51" t="e">
        <f t="shared" si="3"/>
        <v>#DIV/0!</v>
      </c>
      <c r="Q42" s="55" t="e">
        <f t="shared" si="4"/>
        <v>#DIV/0!</v>
      </c>
      <c r="R42" s="16"/>
      <c r="S42" s="339"/>
    </row>
    <row r="43" spans="2:20" ht="18" hidden="1">
      <c r="B43" s="60"/>
      <c r="C43" s="49"/>
      <c r="D43" s="116"/>
      <c r="E43" s="48"/>
      <c r="F43" s="39">
        <f>[3]Jun!$N100</f>
        <v>0</v>
      </c>
      <c r="G43" s="18"/>
      <c r="H43" s="54" t="e">
        <f>(G43)*24/(F43/60)/17000*100</f>
        <v>#DIV/0!</v>
      </c>
      <c r="I43" s="55"/>
      <c r="J43" s="428"/>
      <c r="K43" s="54">
        <f t="shared" si="7"/>
        <v>0</v>
      </c>
      <c r="L43" s="54">
        <f t="shared" si="9"/>
        <v>0</v>
      </c>
      <c r="M43" s="55">
        <f>[3]Jun!$AD43</f>
        <v>0</v>
      </c>
      <c r="N43" s="55"/>
      <c r="O43" s="55"/>
      <c r="P43" s="51" t="e">
        <f t="shared" si="3"/>
        <v>#DIV/0!</v>
      </c>
      <c r="Q43" s="55" t="e">
        <f t="shared" si="4"/>
        <v>#DIV/0!</v>
      </c>
      <c r="R43" s="16"/>
      <c r="S43" s="339"/>
    </row>
    <row r="44" spans="2:20" ht="18" hidden="1">
      <c r="B44" s="92"/>
      <c r="C44" s="49"/>
      <c r="D44" s="116"/>
      <c r="E44" s="48"/>
      <c r="F44" s="39">
        <f>[3]Jun!$N101</f>
        <v>0</v>
      </c>
      <c r="G44" s="18"/>
      <c r="H44" s="54" t="e">
        <f>(G44)*24/(F44/60)/17000*100</f>
        <v>#DIV/0!</v>
      </c>
      <c r="I44" s="55"/>
      <c r="J44" s="428"/>
      <c r="K44" s="54">
        <f t="shared" si="7"/>
        <v>0</v>
      </c>
      <c r="L44" s="54">
        <f t="shared" si="9"/>
        <v>0</v>
      </c>
      <c r="M44" s="55">
        <f>[3]Jun!$AD44</f>
        <v>0</v>
      </c>
      <c r="N44" s="55"/>
      <c r="O44" s="55"/>
      <c r="P44" s="51" t="e">
        <f t="shared" si="3"/>
        <v>#DIV/0!</v>
      </c>
      <c r="Q44" s="55" t="e">
        <f t="shared" si="4"/>
        <v>#DIV/0!</v>
      </c>
      <c r="R44" s="16"/>
      <c r="S44" s="339"/>
    </row>
    <row r="45" spans="2:20" ht="17.45" hidden="1" customHeight="1">
      <c r="B45" s="92"/>
      <c r="C45" s="49"/>
      <c r="D45" s="116"/>
      <c r="E45" s="48"/>
      <c r="F45" s="39">
        <f>[3]Jun!$N102</f>
        <v>0</v>
      </c>
      <c r="G45" s="18"/>
      <c r="H45" s="54" t="e">
        <f t="shared" ref="H45:H57" si="10">(G45)*24/(F45/60)/17000*100</f>
        <v>#DIV/0!</v>
      </c>
      <c r="I45" s="55"/>
      <c r="J45" s="428"/>
      <c r="K45" s="54">
        <f t="shared" si="7"/>
        <v>0</v>
      </c>
      <c r="L45" s="54">
        <f t="shared" si="9"/>
        <v>0</v>
      </c>
      <c r="M45" s="55">
        <f>[3]Jun!$AD45</f>
        <v>0</v>
      </c>
      <c r="N45" s="55"/>
      <c r="O45" s="55"/>
      <c r="P45" s="51" t="e">
        <f t="shared" si="3"/>
        <v>#DIV/0!</v>
      </c>
      <c r="Q45" s="55" t="e">
        <f t="shared" si="4"/>
        <v>#DIV/0!</v>
      </c>
      <c r="R45" s="16"/>
      <c r="S45" s="339"/>
    </row>
    <row r="46" spans="2:20" ht="16.5" hidden="1" customHeight="1">
      <c r="B46" s="92"/>
      <c r="C46" s="49"/>
      <c r="D46" s="116"/>
      <c r="E46" s="48"/>
      <c r="F46" s="39">
        <f>[3]Jun!$N103</f>
        <v>0</v>
      </c>
      <c r="G46" s="18"/>
      <c r="H46" s="54" t="e">
        <f t="shared" si="10"/>
        <v>#DIV/0!</v>
      </c>
      <c r="I46" s="55"/>
      <c r="J46" s="428"/>
      <c r="K46" s="54">
        <f t="shared" si="7"/>
        <v>0</v>
      </c>
      <c r="L46" s="54">
        <f t="shared" si="9"/>
        <v>0</v>
      </c>
      <c r="M46" s="55">
        <f>[3]Jun!$AD46</f>
        <v>0</v>
      </c>
      <c r="N46" s="55"/>
      <c r="O46" s="55"/>
      <c r="P46" s="51" t="e">
        <f t="shared" si="3"/>
        <v>#DIV/0!</v>
      </c>
      <c r="Q46" s="55" t="e">
        <f t="shared" si="4"/>
        <v>#DIV/0!</v>
      </c>
      <c r="R46" s="16"/>
      <c r="S46" s="339"/>
    </row>
    <row r="47" spans="2:20" ht="15.75" hidden="1" customHeight="1">
      <c r="B47" s="92"/>
      <c r="C47" s="49"/>
      <c r="D47" s="116"/>
      <c r="E47" s="48"/>
      <c r="F47" s="39">
        <f>[3]Jun!$N104</f>
        <v>0</v>
      </c>
      <c r="G47" s="18"/>
      <c r="H47" s="54" t="e">
        <f t="shared" si="10"/>
        <v>#DIV/0!</v>
      </c>
      <c r="I47" s="55"/>
      <c r="J47" s="54"/>
      <c r="K47" s="54">
        <f t="shared" si="7"/>
        <v>0</v>
      </c>
      <c r="L47" s="54">
        <f t="shared" si="9"/>
        <v>0</v>
      </c>
      <c r="M47" s="55">
        <f>[3]Jun!$AD47</f>
        <v>0</v>
      </c>
      <c r="N47" s="55"/>
      <c r="O47" s="55"/>
      <c r="P47" s="51" t="e">
        <f t="shared" si="3"/>
        <v>#DIV/0!</v>
      </c>
      <c r="Q47" s="55" t="e">
        <f t="shared" si="4"/>
        <v>#DIV/0!</v>
      </c>
      <c r="R47" s="16"/>
      <c r="S47" s="339"/>
    </row>
    <row r="48" spans="2:20" ht="15.75" hidden="1" customHeight="1">
      <c r="B48" s="60"/>
      <c r="C48" s="49"/>
      <c r="D48" s="116"/>
      <c r="E48" s="48"/>
      <c r="F48" s="39">
        <f>[3]Jun!$N105</f>
        <v>0</v>
      </c>
      <c r="G48" s="18"/>
      <c r="H48" s="54" t="e">
        <f t="shared" si="10"/>
        <v>#DIV/0!</v>
      </c>
      <c r="I48" s="55"/>
      <c r="J48" s="54"/>
      <c r="K48" s="54">
        <f t="shared" si="7"/>
        <v>0</v>
      </c>
      <c r="L48" s="54">
        <f t="shared" si="9"/>
        <v>0</v>
      </c>
      <c r="M48" s="55">
        <f>[3]Jun!$AD48</f>
        <v>0</v>
      </c>
      <c r="N48" s="55"/>
      <c r="O48" s="55"/>
      <c r="P48" s="51" t="e">
        <f t="shared" ref="P48:P56" si="11">(J48-K48)/J48*100</f>
        <v>#DIV/0!</v>
      </c>
      <c r="Q48" s="55" t="e">
        <f t="shared" si="4"/>
        <v>#DIV/0!</v>
      </c>
      <c r="R48" s="16"/>
      <c r="S48" s="339"/>
    </row>
    <row r="49" spans="2:19" ht="15.75" hidden="1" customHeight="1">
      <c r="B49" s="60"/>
      <c r="C49" s="49"/>
      <c r="D49" s="116"/>
      <c r="E49" s="48"/>
      <c r="F49" s="39">
        <f>[3]Jun!$N106</f>
        <v>0</v>
      </c>
      <c r="G49" s="18"/>
      <c r="H49" s="54" t="e">
        <f t="shared" si="10"/>
        <v>#DIV/0!</v>
      </c>
      <c r="I49" s="55"/>
      <c r="J49" s="54"/>
      <c r="K49" s="54">
        <f t="shared" si="7"/>
        <v>0</v>
      </c>
      <c r="L49" s="54">
        <f t="shared" si="9"/>
        <v>0</v>
      </c>
      <c r="M49" s="55">
        <f>[3]Jun!$AD49</f>
        <v>0</v>
      </c>
      <c r="N49" s="55"/>
      <c r="O49" s="55"/>
      <c r="P49" s="51" t="e">
        <f t="shared" si="11"/>
        <v>#DIV/0!</v>
      </c>
      <c r="Q49" s="55" t="e">
        <f t="shared" si="4"/>
        <v>#DIV/0!</v>
      </c>
      <c r="R49" s="16"/>
      <c r="S49" s="339"/>
    </row>
    <row r="50" spans="2:19" ht="15.75" hidden="1" customHeight="1">
      <c r="B50" s="60"/>
      <c r="C50" s="49"/>
      <c r="D50" s="30"/>
      <c r="E50" s="48"/>
      <c r="F50" s="39"/>
      <c r="G50" s="18"/>
      <c r="H50" s="54" t="e">
        <f t="shared" si="10"/>
        <v>#DIV/0!</v>
      </c>
      <c r="I50" s="55"/>
      <c r="J50" s="54"/>
      <c r="K50" s="54">
        <f t="shared" si="7"/>
        <v>0</v>
      </c>
      <c r="L50" s="54">
        <f t="shared" si="9"/>
        <v>0</v>
      </c>
      <c r="M50" s="55"/>
      <c r="N50" s="55"/>
      <c r="O50" s="55"/>
      <c r="P50" s="51" t="e">
        <f t="shared" si="11"/>
        <v>#DIV/0!</v>
      </c>
      <c r="Q50" s="55" t="e">
        <f t="shared" si="4"/>
        <v>#DIV/0!</v>
      </c>
      <c r="R50" s="16"/>
      <c r="S50" s="339"/>
    </row>
    <row r="51" spans="2:19" ht="15.75" hidden="1" customHeight="1">
      <c r="B51" s="60"/>
      <c r="C51" s="49"/>
      <c r="D51" s="30"/>
      <c r="E51" s="48"/>
      <c r="F51" s="39"/>
      <c r="G51" s="18"/>
      <c r="H51" s="54" t="e">
        <f t="shared" si="10"/>
        <v>#DIV/0!</v>
      </c>
      <c r="I51" s="55"/>
      <c r="J51" s="54"/>
      <c r="K51" s="54">
        <f t="shared" si="7"/>
        <v>0</v>
      </c>
      <c r="L51" s="54">
        <f t="shared" si="9"/>
        <v>0</v>
      </c>
      <c r="M51" s="55"/>
      <c r="N51" s="55"/>
      <c r="O51" s="55"/>
      <c r="P51" s="51" t="e">
        <f t="shared" si="11"/>
        <v>#DIV/0!</v>
      </c>
      <c r="Q51" s="55" t="e">
        <f t="shared" si="4"/>
        <v>#DIV/0!</v>
      </c>
      <c r="R51" s="16"/>
      <c r="S51" s="339"/>
    </row>
    <row r="52" spans="2:19" ht="15.75" hidden="1">
      <c r="B52" s="60"/>
      <c r="C52" s="49"/>
      <c r="D52" s="30"/>
      <c r="E52" s="48"/>
      <c r="F52" s="39"/>
      <c r="G52" s="18"/>
      <c r="H52" s="54" t="e">
        <f t="shared" si="10"/>
        <v>#DIV/0!</v>
      </c>
      <c r="I52" s="55"/>
      <c r="J52" s="54"/>
      <c r="K52" s="54">
        <f t="shared" si="7"/>
        <v>0</v>
      </c>
      <c r="L52" s="54">
        <f t="shared" si="9"/>
        <v>0</v>
      </c>
      <c r="M52" s="55"/>
      <c r="N52" s="55"/>
      <c r="O52" s="55"/>
      <c r="P52" s="51" t="e">
        <f t="shared" si="11"/>
        <v>#DIV/0!</v>
      </c>
      <c r="Q52" s="55" t="e">
        <f t="shared" si="4"/>
        <v>#DIV/0!</v>
      </c>
      <c r="R52" s="16"/>
      <c r="S52" s="339"/>
    </row>
    <row r="53" spans="2:19" ht="15.75" hidden="1" customHeight="1">
      <c r="B53" s="60"/>
      <c r="C53" s="49"/>
      <c r="D53" s="30"/>
      <c r="E53" s="48"/>
      <c r="F53" s="39"/>
      <c r="G53" s="18"/>
      <c r="H53" s="54" t="e">
        <f t="shared" si="10"/>
        <v>#DIV/0!</v>
      </c>
      <c r="I53" s="55"/>
      <c r="J53" s="54"/>
      <c r="K53" s="54">
        <f t="shared" si="7"/>
        <v>0</v>
      </c>
      <c r="L53" s="54">
        <f t="shared" ref="L53:L57" si="12">J53-K53</f>
        <v>0</v>
      </c>
      <c r="M53" s="55"/>
      <c r="N53" s="55"/>
      <c r="O53" s="55"/>
      <c r="P53" s="51" t="e">
        <f t="shared" si="11"/>
        <v>#DIV/0!</v>
      </c>
      <c r="Q53" s="55" t="e">
        <f t="shared" si="4"/>
        <v>#DIV/0!</v>
      </c>
      <c r="R53" s="16"/>
      <c r="S53" s="339"/>
    </row>
    <row r="54" spans="2:19" ht="15.75" hidden="1" customHeight="1">
      <c r="B54" s="60"/>
      <c r="C54" s="49"/>
      <c r="D54" s="30"/>
      <c r="E54" s="48"/>
      <c r="F54" s="39"/>
      <c r="G54" s="18"/>
      <c r="H54" s="54" t="e">
        <f t="shared" si="10"/>
        <v>#DIV/0!</v>
      </c>
      <c r="I54" s="55"/>
      <c r="J54" s="54"/>
      <c r="K54" s="54">
        <f t="shared" si="7"/>
        <v>0</v>
      </c>
      <c r="L54" s="54">
        <f t="shared" si="12"/>
        <v>0</v>
      </c>
      <c r="M54" s="55"/>
      <c r="N54" s="55"/>
      <c r="O54" s="55"/>
      <c r="P54" s="51" t="e">
        <f t="shared" si="11"/>
        <v>#DIV/0!</v>
      </c>
      <c r="Q54" s="55" t="e">
        <f t="shared" si="4"/>
        <v>#DIV/0!</v>
      </c>
      <c r="R54" s="16"/>
      <c r="S54" s="339"/>
    </row>
    <row r="55" spans="2:19" ht="22.5" hidden="1" customHeight="1">
      <c r="B55" s="60"/>
      <c r="C55" s="49"/>
      <c r="D55" s="30"/>
      <c r="E55" s="48"/>
      <c r="F55" s="39"/>
      <c r="G55" s="18"/>
      <c r="H55" s="54" t="e">
        <f t="shared" si="10"/>
        <v>#DIV/0!</v>
      </c>
      <c r="I55" s="55"/>
      <c r="J55" s="54"/>
      <c r="K55" s="54">
        <f t="shared" si="7"/>
        <v>0</v>
      </c>
      <c r="L55" s="54">
        <f t="shared" si="12"/>
        <v>0</v>
      </c>
      <c r="M55" s="55"/>
      <c r="N55" s="55"/>
      <c r="O55" s="55"/>
      <c r="P55" s="51" t="e">
        <f t="shared" si="11"/>
        <v>#DIV/0!</v>
      </c>
      <c r="Q55" s="55" t="e">
        <f t="shared" si="4"/>
        <v>#DIV/0!</v>
      </c>
      <c r="R55" s="16"/>
      <c r="S55" s="339"/>
    </row>
    <row r="56" spans="2:19" ht="16.5" hidden="1" thickBot="1">
      <c r="B56" s="3"/>
      <c r="C56" s="49"/>
      <c r="D56" s="30"/>
      <c r="E56" s="48"/>
      <c r="F56" s="39"/>
      <c r="G56" s="18"/>
      <c r="H56" s="54" t="e">
        <f t="shared" si="10"/>
        <v>#DIV/0!</v>
      </c>
      <c r="I56" s="55"/>
      <c r="J56" s="54"/>
      <c r="K56" s="54">
        <f t="shared" si="7"/>
        <v>0</v>
      </c>
      <c r="L56" s="54">
        <f t="shared" si="12"/>
        <v>0</v>
      </c>
      <c r="M56" s="55"/>
      <c r="N56" s="55"/>
      <c r="O56" s="55"/>
      <c r="P56" s="51" t="e">
        <f t="shared" si="11"/>
        <v>#DIV/0!</v>
      </c>
      <c r="Q56" s="55" t="e">
        <f t="shared" si="4"/>
        <v>#DIV/0!</v>
      </c>
      <c r="R56" s="16"/>
      <c r="S56" s="339"/>
    </row>
    <row r="57" spans="2:19" ht="17.25" thickTop="1" thickBot="1">
      <c r="B57" s="12"/>
      <c r="C57" s="12"/>
      <c r="D57" s="31"/>
      <c r="E57" s="23">
        <f>SUM(E8:E56)</f>
        <v>12089</v>
      </c>
      <c r="F57" s="23">
        <f>SUM(F8:F56)</f>
        <v>8231</v>
      </c>
      <c r="G57" s="15">
        <f>SUM(G8:G56)</f>
        <v>54388</v>
      </c>
      <c r="H57" s="13">
        <f t="shared" si="10"/>
        <v>55.971127802354083</v>
      </c>
      <c r="I57" s="14">
        <f>SUM(I8:I56)</f>
        <v>52</v>
      </c>
      <c r="J57" s="13">
        <f>SUM(J8:J56)</f>
        <v>3694.4</v>
      </c>
      <c r="K57" s="13">
        <f>SUM(K8:K56)</f>
        <v>3617.538</v>
      </c>
      <c r="L57" s="52">
        <f t="shared" si="12"/>
        <v>76.86200000000008</v>
      </c>
      <c r="M57" s="14">
        <f>SUM(M8:M56)</f>
        <v>5749</v>
      </c>
      <c r="N57" s="36">
        <f>SUM(N8:N56)</f>
        <v>162.5</v>
      </c>
      <c r="O57" s="14">
        <f>SUM(O8:O56)</f>
        <v>207</v>
      </c>
      <c r="P57" s="25">
        <f>(J57-K57)/J57</f>
        <v>2.0805002165439606E-2</v>
      </c>
      <c r="Q57" s="344">
        <f>(G57)/(E57/60)</f>
        <v>269.93796012904295</v>
      </c>
      <c r="R57" s="17">
        <f>(January_2026!G65+February_2026!G62+March_2026!G62+'April_2026 '!G54+May_2026!G63+G57)/((January_2026!E65+February_2026!E62+March_2026!E62+'April_2026 '!E54+May_2026!F63+F57)/60)</f>
        <v>293.74619068350023</v>
      </c>
      <c r="S57" s="364">
        <f>SUM(S8:S56)</f>
        <v>0.50516781011394885</v>
      </c>
    </row>
    <row r="58" spans="2:19" ht="17.25" thickTop="1" thickBot="1">
      <c r="G58" s="1"/>
      <c r="H58" s="1"/>
      <c r="L58" s="19"/>
      <c r="M58" s="19"/>
      <c r="N58" s="41" t="s">
        <v>23</v>
      </c>
      <c r="O58" s="19"/>
      <c r="Q58" s="5"/>
    </row>
    <row r="59" spans="2:19" ht="21" thickTop="1" thickBot="1">
      <c r="G59" s="1"/>
      <c r="H59" s="1"/>
      <c r="K59" s="46" t="s">
        <v>36</v>
      </c>
      <c r="L59" s="15">
        <f>G57+O59</f>
        <v>54957.25</v>
      </c>
      <c r="M59" s="19"/>
      <c r="N59" s="41" t="s">
        <v>31</v>
      </c>
      <c r="O59" s="87">
        <f>O57*2.75</f>
        <v>569.25</v>
      </c>
      <c r="P59" s="40"/>
      <c r="Q59" s="5"/>
    </row>
    <row r="60" spans="2:19" ht="16.5" thickTop="1">
      <c r="G60" s="1"/>
      <c r="H60" s="1"/>
      <c r="L60" s="19"/>
      <c r="M60" s="19"/>
      <c r="N60" s="19"/>
      <c r="O60" s="19"/>
      <c r="Q60" s="5"/>
    </row>
    <row r="61" spans="2:19" s="84" customFormat="1" ht="15.75">
      <c r="B61" s="82"/>
      <c r="C61" s="82"/>
      <c r="D61" s="83"/>
      <c r="E61" s="62"/>
      <c r="F61" s="24"/>
      <c r="G61" s="1"/>
      <c r="H61" s="1"/>
      <c r="I61" s="7"/>
      <c r="J61" s="7"/>
      <c r="K61" s="26"/>
      <c r="L61" s="19"/>
      <c r="M61" s="19"/>
      <c r="N61" s="19" t="s">
        <v>30</v>
      </c>
      <c r="O61" s="19"/>
      <c r="P61" s="26"/>
      <c r="Q61" s="75"/>
      <c r="S61"/>
    </row>
    <row r="62" spans="2:19" ht="16.5" thickBot="1">
      <c r="E62" s="62"/>
      <c r="G62" s="1"/>
      <c r="H62" s="1"/>
      <c r="L62" s="19"/>
      <c r="M62" s="19"/>
      <c r="N62" s="19" t="s">
        <v>27</v>
      </c>
      <c r="O62" s="19"/>
      <c r="Q62" s="5"/>
    </row>
    <row r="63" spans="2:19" ht="17.25" thickTop="1" thickBot="1">
      <c r="G63" s="1"/>
      <c r="H63" s="1"/>
      <c r="L63" s="19">
        <f>35*2.75</f>
        <v>96.25</v>
      </c>
      <c r="M63" s="19"/>
      <c r="N63" s="19"/>
      <c r="O63" s="19"/>
      <c r="Q63" s="5"/>
      <c r="S63" s="14" t="e">
        <f>G63/(F63/60)</f>
        <v>#DIV/0!</v>
      </c>
    </row>
    <row r="64" spans="2:19" ht="16.5" thickTop="1">
      <c r="G64" s="1"/>
      <c r="H64" s="1"/>
      <c r="L64" s="19"/>
      <c r="M64" s="19"/>
      <c r="N64" s="19"/>
      <c r="O64" s="19"/>
      <c r="Q64" s="5"/>
    </row>
    <row r="65" spans="7:17" ht="15.75">
      <c r="G65" s="86" t="s">
        <v>39</v>
      </c>
      <c r="H65" s="85">
        <f>January_2026!K68+February_2026!L65+March_2026!L64+'April_2026 '!L56+May_2026!M65+L59</f>
        <v>644501.25</v>
      </c>
      <c r="I65" s="156">
        <f>January_2026!G65+February_2026!G63+March_2026!G62+'April_2026 '!G54+May_2026!G63+G57</f>
        <v>641380</v>
      </c>
      <c r="L65" s="19"/>
      <c r="M65" s="19"/>
      <c r="N65" s="19"/>
      <c r="O65" s="19"/>
      <c r="Q65" s="5"/>
    </row>
    <row r="66" spans="7:17" ht="15.75">
      <c r="G66" s="1"/>
      <c r="H66" s="148" t="s">
        <v>40</v>
      </c>
      <c r="I66" s="148" t="s">
        <v>41</v>
      </c>
      <c r="L66" s="19"/>
      <c r="M66" s="19"/>
      <c r="N66" s="19"/>
      <c r="O66" s="19"/>
      <c r="Q66" s="5"/>
    </row>
    <row r="67" spans="7:17" ht="15.75">
      <c r="G67" s="1"/>
      <c r="H67" s="1"/>
      <c r="L67" s="19"/>
      <c r="M67" s="19"/>
      <c r="N67" s="19"/>
      <c r="O67" s="19"/>
      <c r="Q67" s="5"/>
    </row>
    <row r="68" spans="7:17" ht="15.75">
      <c r="G68" s="1"/>
      <c r="H68" s="1"/>
      <c r="L68" s="19"/>
      <c r="M68" s="19"/>
      <c r="N68" s="19"/>
      <c r="O68" s="19"/>
      <c r="Q68" s="5"/>
    </row>
    <row r="69" spans="7:17" ht="15.75">
      <c r="G69" s="1"/>
      <c r="H69" s="1"/>
      <c r="L69" s="19"/>
      <c r="M69" s="19"/>
      <c r="N69" s="19"/>
      <c r="O69" s="19"/>
      <c r="Q69" s="5"/>
    </row>
    <row r="70" spans="7:17" ht="15.75">
      <c r="G70" s="1"/>
      <c r="H70" s="1"/>
      <c r="L70" s="19"/>
      <c r="M70" s="19"/>
      <c r="N70" s="19"/>
      <c r="O70" s="19"/>
      <c r="Q70" s="5"/>
    </row>
    <row r="71" spans="7:17" ht="15.75">
      <c r="G71" s="1"/>
      <c r="H71" s="1"/>
      <c r="L71" s="19"/>
      <c r="M71" s="19"/>
      <c r="N71" s="19"/>
      <c r="O71" s="19"/>
      <c r="Q71" s="5"/>
    </row>
    <row r="72" spans="7:17" ht="15.75">
      <c r="G72" s="1"/>
      <c r="H72" s="1"/>
      <c r="L72" s="19"/>
      <c r="M72" s="19"/>
      <c r="N72" s="19"/>
      <c r="O72" s="19"/>
      <c r="Q72" s="5"/>
    </row>
    <row r="73" spans="7:17">
      <c r="G73" s="1"/>
      <c r="H73" s="1"/>
      <c r="Q73" s="5"/>
    </row>
    <row r="74" spans="7:17">
      <c r="G74" s="1"/>
      <c r="H74" s="1"/>
      <c r="Q74" s="5"/>
    </row>
    <row r="75" spans="7:17">
      <c r="G75" s="1"/>
      <c r="H75" s="1"/>
      <c r="Q75" s="5"/>
    </row>
    <row r="76" spans="7:17">
      <c r="G76" s="1"/>
      <c r="H76" s="1"/>
      <c r="Q76" s="5"/>
    </row>
    <row r="77" spans="7:17">
      <c r="G77" s="1"/>
      <c r="H77" s="1"/>
      <c r="Q77" s="5"/>
    </row>
    <row r="78" spans="7:17">
      <c r="G78" s="1"/>
      <c r="H78" s="1"/>
      <c r="Q78" s="5"/>
    </row>
    <row r="79" spans="7:17">
      <c r="G79" s="1"/>
      <c r="H79" s="1"/>
      <c r="Q79" s="5"/>
    </row>
    <row r="80" spans="7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  <row r="118" spans="7:17">
      <c r="G118" s="1"/>
      <c r="H118" s="1"/>
      <c r="Q118" s="5"/>
    </row>
    <row r="119" spans="7:17">
      <c r="G119" s="1"/>
      <c r="H119" s="1"/>
      <c r="Q119" s="5"/>
    </row>
    <row r="120" spans="7:17">
      <c r="G120" s="1"/>
      <c r="H120" s="1"/>
      <c r="Q120" s="5"/>
    </row>
  </sheetData>
  <autoFilter ref="B5:Q59" xr:uid="{03ACAE01-2ED9-4C55-AF02-3179AF7BDDD0}"/>
  <mergeCells count="24">
    <mergeCell ref="J42:J44"/>
    <mergeCell ref="J45:J46"/>
    <mergeCell ref="S14:S15"/>
    <mergeCell ref="R6:R7"/>
    <mergeCell ref="E16:E17"/>
    <mergeCell ref="E11:E12"/>
    <mergeCell ref="E13:E15"/>
    <mergeCell ref="E18:E21"/>
    <mergeCell ref="K20:K21"/>
    <mergeCell ref="J20:J21"/>
    <mergeCell ref="S20:S21"/>
    <mergeCell ref="P20:P21"/>
    <mergeCell ref="E22:E23"/>
    <mergeCell ref="E24:E25"/>
    <mergeCell ref="E26:E28"/>
    <mergeCell ref="E29:E30"/>
    <mergeCell ref="B1:Q1"/>
    <mergeCell ref="B3:Q3"/>
    <mergeCell ref="B4:Q4"/>
    <mergeCell ref="I5:I7"/>
    <mergeCell ref="L5:L7"/>
    <mergeCell ref="M5:M7"/>
    <mergeCell ref="N5:N7"/>
    <mergeCell ref="O5:O7"/>
  </mergeCells>
  <conditionalFormatting sqref="I8:I40 I42:I56">
    <cfRule type="cellIs" dxfId="59" priority="25" stopIfTrue="1" operator="lessThan">
      <formula>50</formula>
    </cfRule>
  </conditionalFormatting>
  <conditionalFormatting sqref="P8:P20 P22:P47">
    <cfRule type="cellIs" dxfId="58" priority="5" operator="greaterThan">
      <formula>1.8</formula>
    </cfRule>
  </conditionalFormatting>
  <conditionalFormatting sqref="P48:P56">
    <cfRule type="cellIs" dxfId="57" priority="13" stopIfTrue="1" operator="greaterThan">
      <formula>1.1</formula>
    </cfRule>
  </conditionalFormatting>
  <pageMargins left="0.25" right="0.25" top="0.75" bottom="0.75" header="0.3" footer="0.3"/>
  <pageSetup scale="58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indexed="11"/>
    <pageSetUpPr fitToPage="1"/>
  </sheetPr>
  <dimension ref="A1:X123"/>
  <sheetViews>
    <sheetView topLeftCell="A4" zoomScale="110" zoomScaleNormal="110" zoomScaleSheetLayoutView="80" workbookViewId="0">
      <pane xSplit="2" ySplit="4" topLeftCell="C41" activePane="bottomRight" state="frozen"/>
      <selection activeCell="A4" sqref="A4"/>
      <selection pane="topRight" activeCell="B4" sqref="B4"/>
      <selection pane="bottomLeft" activeCell="A8" sqref="A8"/>
      <selection pane="bottomRight" activeCell="Q60" sqref="Q60"/>
    </sheetView>
  </sheetViews>
  <sheetFormatPr defaultRowHeight="12.75"/>
  <cols>
    <col min="1" max="1" width="2.42578125" customWidth="1"/>
    <col min="2" max="2" width="9.140625" style="199" customWidth="1"/>
    <col min="3" max="3" width="7" style="199" customWidth="1"/>
    <col min="4" max="4" width="35.140625" style="204" customWidth="1"/>
    <col min="5" max="5" width="8.85546875" style="1" customWidth="1"/>
    <col min="6" max="6" width="7.5703125" style="24" customWidth="1"/>
    <col min="7" max="8" width="13.5703125" customWidth="1"/>
    <col min="9" max="9" width="8.8554687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200" customWidth="1"/>
    <col min="15" max="15" width="9.42578125" style="200" customWidth="1"/>
    <col min="16" max="16" width="12.42578125" style="26" customWidth="1"/>
    <col min="17" max="17" width="15" style="6" customWidth="1"/>
    <col min="18" max="19" width="11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2:20" ht="27">
      <c r="B1" s="384" t="s">
        <v>0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</row>
    <row r="3" spans="2:20" ht="22.5">
      <c r="B3" s="385" t="s">
        <v>1</v>
      </c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</row>
    <row r="4" spans="2:20" ht="21" thickBot="1">
      <c r="B4" s="386">
        <v>46204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</row>
    <row r="5" spans="2:20" ht="17.25" customHeight="1" thickTop="1" thickBot="1">
      <c r="B5" s="2" t="s">
        <v>2</v>
      </c>
      <c r="C5" s="2" t="s">
        <v>3</v>
      </c>
      <c r="D5" s="27" t="s">
        <v>4</v>
      </c>
      <c r="E5" s="2" t="s">
        <v>37</v>
      </c>
      <c r="F5" s="20" t="s">
        <v>12</v>
      </c>
      <c r="G5" s="2" t="s">
        <v>5</v>
      </c>
      <c r="H5" s="2" t="s">
        <v>13</v>
      </c>
      <c r="I5" s="387" t="s">
        <v>26</v>
      </c>
      <c r="J5" s="2" t="s">
        <v>18</v>
      </c>
      <c r="K5" s="2" t="s">
        <v>6</v>
      </c>
      <c r="L5" s="390" t="s">
        <v>22</v>
      </c>
      <c r="M5" s="393" t="s">
        <v>24</v>
      </c>
      <c r="N5" s="393" t="s">
        <v>25</v>
      </c>
      <c r="O5" s="393" t="s">
        <v>23</v>
      </c>
      <c r="P5" s="20" t="s">
        <v>6</v>
      </c>
      <c r="Q5" s="4" t="s">
        <v>9</v>
      </c>
      <c r="R5" s="2" t="s">
        <v>20</v>
      </c>
      <c r="S5" s="336" t="s">
        <v>89</v>
      </c>
    </row>
    <row r="6" spans="2:20" ht="16.5" customHeight="1" thickTop="1">
      <c r="B6" s="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88"/>
      <c r="J6" s="8" t="s">
        <v>17</v>
      </c>
      <c r="K6" s="8" t="s">
        <v>17</v>
      </c>
      <c r="L6" s="391"/>
      <c r="M6" s="394"/>
      <c r="N6" s="394"/>
      <c r="O6" s="394"/>
      <c r="P6" s="21" t="s">
        <v>19</v>
      </c>
      <c r="Q6" s="9" t="s">
        <v>10</v>
      </c>
      <c r="R6" s="382" t="s">
        <v>21</v>
      </c>
      <c r="S6" s="337" t="s">
        <v>88</v>
      </c>
    </row>
    <row r="7" spans="2:20" ht="16.5" thickBot="1">
      <c r="B7" s="10"/>
      <c r="C7" s="10"/>
      <c r="D7" s="29"/>
      <c r="E7" s="8"/>
      <c r="F7" s="22" t="s">
        <v>15</v>
      </c>
      <c r="G7" s="10"/>
      <c r="H7" s="10" t="s">
        <v>16</v>
      </c>
      <c r="I7" s="389"/>
      <c r="J7" s="10"/>
      <c r="K7" s="10"/>
      <c r="L7" s="392"/>
      <c r="M7" s="395"/>
      <c r="N7" s="395"/>
      <c r="O7" s="395"/>
      <c r="P7" s="22"/>
      <c r="Q7" s="11"/>
      <c r="R7" s="383"/>
      <c r="S7" s="338" t="s">
        <v>90</v>
      </c>
    </row>
    <row r="8" spans="2:20" ht="15.75">
      <c r="B8" s="92">
        <v>46204</v>
      </c>
      <c r="C8" s="88">
        <v>1</v>
      </c>
      <c r="D8" s="30" t="s">
        <v>45</v>
      </c>
      <c r="E8" s="402">
        <v>1400</v>
      </c>
      <c r="F8" s="39">
        <f>[3]Jul!$N69</f>
        <v>633</v>
      </c>
      <c r="G8" s="18">
        <v>5638</v>
      </c>
      <c r="H8" s="54">
        <f t="shared" ref="H8:H59" si="0">(G8)*24/(F8/60)/17000*100</f>
        <v>75.445776414831329</v>
      </c>
      <c r="I8" s="186"/>
      <c r="J8" s="377">
        <f>SUM(77.8,74.5,85.9,71.8,68.6)</f>
        <v>378.6</v>
      </c>
      <c r="K8" s="54">
        <f t="shared" ref="K8" si="1">(G8)*0.066</f>
        <v>372.108</v>
      </c>
      <c r="L8" s="54">
        <f t="shared" ref="L8:L10" si="2">J8-K8</f>
        <v>6.4920000000000186</v>
      </c>
      <c r="M8" s="55">
        <f>[3]Jul!$AD8</f>
        <v>194</v>
      </c>
      <c r="N8" s="55">
        <f>2+1</f>
        <v>3</v>
      </c>
      <c r="O8" s="55"/>
      <c r="P8" s="51">
        <f>(J8-K8)/J8*100</f>
        <v>1.7147385103011143</v>
      </c>
      <c r="Q8" s="38">
        <f>G8/(E8/60)</f>
        <v>241.62857142857143</v>
      </c>
      <c r="R8" s="33"/>
      <c r="S8" s="339">
        <f>'[4]Daily glue July'!$H$3</f>
        <v>1.68626274745051E-2</v>
      </c>
    </row>
    <row r="9" spans="2:20" ht="15.75">
      <c r="B9" s="92">
        <v>46204</v>
      </c>
      <c r="C9" s="88">
        <v>1</v>
      </c>
      <c r="D9" s="30" t="s">
        <v>53</v>
      </c>
      <c r="E9" s="404"/>
      <c r="F9" s="39">
        <f>[3]Jul!$N70</f>
        <v>217</v>
      </c>
      <c r="G9" s="18">
        <v>1409</v>
      </c>
      <c r="H9" s="54">
        <f t="shared" si="0"/>
        <v>55.00027107617241</v>
      </c>
      <c r="I9" s="69"/>
      <c r="J9" s="54">
        <f>SUM(95.4,85.1)-79.8</f>
        <v>100.7</v>
      </c>
      <c r="K9" s="54">
        <f>(G9)*0.0708</f>
        <v>99.757199999999997</v>
      </c>
      <c r="L9" s="54">
        <f t="shared" si="2"/>
        <v>0.94280000000000541</v>
      </c>
      <c r="M9" s="55">
        <f>[3]Jul!$AD9</f>
        <v>487</v>
      </c>
      <c r="N9" s="55">
        <v>31</v>
      </c>
      <c r="O9" s="55"/>
      <c r="P9" s="51">
        <f t="shared" ref="P9:P13" si="3">(J9-K9)/J9*100</f>
        <v>0.93624627606753263</v>
      </c>
      <c r="Q9" s="38">
        <f>G9/(E8/60)</f>
        <v>60.385714285714286</v>
      </c>
      <c r="R9" s="33"/>
      <c r="S9" s="339">
        <f>'[4]Daily glue July'!$H$4</f>
        <v>2.459317585301837E-2</v>
      </c>
      <c r="T9" s="6"/>
    </row>
    <row r="10" spans="2:20" ht="15.75">
      <c r="B10" s="92">
        <v>46205</v>
      </c>
      <c r="C10" s="88">
        <v>2</v>
      </c>
      <c r="D10" s="30" t="s">
        <v>53</v>
      </c>
      <c r="E10" s="402">
        <v>1431</v>
      </c>
      <c r="F10" s="39">
        <f>[3]Jul!$N71</f>
        <v>360</v>
      </c>
      <c r="G10" s="18">
        <v>2378</v>
      </c>
      <c r="H10" s="54">
        <f t="shared" si="0"/>
        <v>55.952941176470581</v>
      </c>
      <c r="I10" s="69"/>
      <c r="J10" s="54">
        <f>SUM(79.8,91)</f>
        <v>170.8</v>
      </c>
      <c r="K10" s="54">
        <f>(G10)*0.0708</f>
        <v>168.36240000000001</v>
      </c>
      <c r="L10" s="54">
        <f t="shared" si="2"/>
        <v>2.4376000000000033</v>
      </c>
      <c r="M10" s="55">
        <f>[3]Jul!$AD10</f>
        <v>128</v>
      </c>
      <c r="N10" s="55">
        <f>1+13</f>
        <v>14</v>
      </c>
      <c r="O10" s="55"/>
      <c r="P10" s="51">
        <f t="shared" si="3"/>
        <v>1.427166276346606</v>
      </c>
      <c r="Q10" s="38">
        <f>G10/(E10/60)</f>
        <v>99.706498951781967</v>
      </c>
      <c r="R10" s="33"/>
      <c r="S10" s="339">
        <f>'[4]Daily glue July'!$H$5</f>
        <v>1.9366779406238255E-2</v>
      </c>
      <c r="T10" s="6"/>
    </row>
    <row r="11" spans="2:20" ht="15.75">
      <c r="B11" s="92">
        <v>46205</v>
      </c>
      <c r="C11" s="177">
        <v>2</v>
      </c>
      <c r="D11" s="30" t="s">
        <v>54</v>
      </c>
      <c r="E11" s="403"/>
      <c r="F11" s="39">
        <f>[3]Jul!$N72</f>
        <v>158</v>
      </c>
      <c r="G11" s="185">
        <v>1396</v>
      </c>
      <c r="H11" s="54">
        <f t="shared" si="0"/>
        <v>74.841399851079672</v>
      </c>
      <c r="I11" s="69">
        <v>3</v>
      </c>
      <c r="J11" s="54">
        <v>100</v>
      </c>
      <c r="K11" s="54">
        <f>(G11)*0.0708</f>
        <v>98.836799999999997</v>
      </c>
      <c r="L11" s="54">
        <f t="shared" ref="L11:L53" si="4">J11-K11</f>
        <v>1.1632000000000033</v>
      </c>
      <c r="M11" s="55">
        <f>[3]Jul!$AD11</f>
        <v>78</v>
      </c>
      <c r="N11" s="55">
        <v>9</v>
      </c>
      <c r="O11" s="55"/>
      <c r="P11" s="51">
        <f t="shared" si="3"/>
        <v>1.1632000000000033</v>
      </c>
      <c r="Q11" s="38">
        <f>G11/(E10/60)</f>
        <v>58.532494758909849</v>
      </c>
      <c r="R11" s="33"/>
      <c r="S11" s="343"/>
      <c r="T11" s="6"/>
    </row>
    <row r="12" spans="2:20" ht="15.75">
      <c r="B12" s="92">
        <v>46205</v>
      </c>
      <c r="C12" s="88">
        <v>2</v>
      </c>
      <c r="D12" s="30" t="s">
        <v>45</v>
      </c>
      <c r="E12" s="404"/>
      <c r="F12" s="39">
        <f>[3]Jul!$N73</f>
        <v>502</v>
      </c>
      <c r="G12" s="18">
        <v>3640</v>
      </c>
      <c r="H12" s="54">
        <f t="shared" si="0"/>
        <v>61.420201546754157</v>
      </c>
      <c r="I12" s="69"/>
      <c r="J12" s="289">
        <f>SUM(98.4,96.2,100,107)-75.6-79.8</f>
        <v>246.2</v>
      </c>
      <c r="K12" s="54">
        <f t="shared" ref="K12:K49" si="5">(G12)*0.066</f>
        <v>240.24</v>
      </c>
      <c r="L12" s="54">
        <f t="shared" si="4"/>
        <v>5.9599999999999795</v>
      </c>
      <c r="M12" s="55">
        <f>[3]Jul!$AD12</f>
        <v>448</v>
      </c>
      <c r="N12" s="55">
        <v>3</v>
      </c>
      <c r="O12" s="55"/>
      <c r="P12" s="51">
        <f t="shared" si="3"/>
        <v>2.420796100731105</v>
      </c>
      <c r="Q12" s="38">
        <f>G12/(E10/60)</f>
        <v>152.62054507337524</v>
      </c>
      <c r="R12" s="33"/>
      <c r="S12" s="339">
        <f>'[4]Daily glue July'!$H$7</f>
        <v>2.9396078431372548E-2</v>
      </c>
      <c r="T12" s="6"/>
    </row>
    <row r="13" spans="2:20" ht="15.75">
      <c r="B13" s="92">
        <v>46206</v>
      </c>
      <c r="C13" s="177">
        <v>3</v>
      </c>
      <c r="D13" s="30" t="s">
        <v>45</v>
      </c>
      <c r="E13" s="402">
        <v>1180</v>
      </c>
      <c r="F13" s="39">
        <f>[3]Jul!$N74</f>
        <v>392</v>
      </c>
      <c r="G13" s="185">
        <v>3445</v>
      </c>
      <c r="H13" s="54">
        <f t="shared" si="0"/>
        <v>74.44177671068428</v>
      </c>
      <c r="I13" s="69"/>
      <c r="J13" s="289">
        <f>SUM(75.6,79.8,76)</f>
        <v>231.39999999999998</v>
      </c>
      <c r="K13" s="54">
        <f t="shared" si="5"/>
        <v>227.37</v>
      </c>
      <c r="L13" s="54">
        <f t="shared" si="4"/>
        <v>4.0299999999999727</v>
      </c>
      <c r="M13" s="55">
        <f>[3]Jul!$AD13</f>
        <v>64</v>
      </c>
      <c r="N13" s="55">
        <f>7+1+2</f>
        <v>10</v>
      </c>
      <c r="O13" s="55"/>
      <c r="P13" s="54">
        <f t="shared" si="3"/>
        <v>1.7415730337078537</v>
      </c>
      <c r="Q13" s="38">
        <f>G13/(E13/60)</f>
        <v>175.16949152542372</v>
      </c>
      <c r="R13" s="33"/>
      <c r="S13" s="339">
        <f>'[4]Daily glue July'!$H$8</f>
        <v>2.2765984654731453E-2</v>
      </c>
      <c r="T13" s="6"/>
    </row>
    <row r="14" spans="2:20" ht="15.75">
      <c r="B14" s="92">
        <v>46206</v>
      </c>
      <c r="C14" s="88">
        <v>3</v>
      </c>
      <c r="D14" s="30" t="s">
        <v>27</v>
      </c>
      <c r="E14" s="404"/>
      <c r="F14" s="39">
        <f>[3]Jul!$N75</f>
        <v>485</v>
      </c>
      <c r="G14" s="18">
        <v>4011</v>
      </c>
      <c r="H14" s="54">
        <f t="shared" si="0"/>
        <v>70.052637962401448</v>
      </c>
      <c r="I14" s="69">
        <v>49</v>
      </c>
      <c r="J14" s="184">
        <f>SUM(96.8,90,89,98)-106.8</f>
        <v>267</v>
      </c>
      <c r="K14" s="54">
        <f t="shared" si="5"/>
        <v>264.726</v>
      </c>
      <c r="L14" s="54">
        <f t="shared" si="4"/>
        <v>2.2740000000000009</v>
      </c>
      <c r="M14" s="55">
        <f>[3]Jul!$AD14</f>
        <v>367</v>
      </c>
      <c r="N14" s="55">
        <v>1</v>
      </c>
      <c r="O14" s="55"/>
      <c r="P14" s="51">
        <f t="shared" ref="P14:P26" si="6">(J14-K14)/J14*100</f>
        <v>0.85168539325842729</v>
      </c>
      <c r="Q14" s="38">
        <f t="shared" ref="Q14:Q19" si="7">G14/(E13/60)</f>
        <v>203.94915254237287</v>
      </c>
      <c r="R14" s="33"/>
      <c r="S14" s="368">
        <f>SUM('[4]Daily glue July'!$H$9:$H$10)</f>
        <v>5.2596875161674161E-2</v>
      </c>
      <c r="T14" s="6"/>
    </row>
    <row r="15" spans="2:20" ht="17.25" customHeight="1">
      <c r="B15" s="92">
        <v>46209</v>
      </c>
      <c r="C15" s="177">
        <v>4</v>
      </c>
      <c r="D15" s="30" t="s">
        <v>27</v>
      </c>
      <c r="E15" s="48">
        <v>1380</v>
      </c>
      <c r="F15" s="39">
        <f>[3]Jul!$N76</f>
        <v>1278</v>
      </c>
      <c r="G15" s="18">
        <v>6224</v>
      </c>
      <c r="H15" s="54">
        <f t="shared" si="0"/>
        <v>41.25269262634631</v>
      </c>
      <c r="I15" s="69"/>
      <c r="J15" s="54">
        <f>SUM(106.8,82.8,84,98.8,95.6,95.7)-83.9-61.8</f>
        <v>418.00000000000006</v>
      </c>
      <c r="K15" s="54">
        <f t="shared" si="5"/>
        <v>410.78399999999999</v>
      </c>
      <c r="L15" s="54">
        <f t="shared" si="4"/>
        <v>7.216000000000065</v>
      </c>
      <c r="M15" s="55">
        <f>[3]Jul!$AD15</f>
        <v>665</v>
      </c>
      <c r="N15" s="55">
        <f>5+10+3</f>
        <v>18</v>
      </c>
      <c r="O15" s="55"/>
      <c r="P15" s="54">
        <f t="shared" si="6"/>
        <v>1.7263157894736993</v>
      </c>
      <c r="Q15" s="38">
        <f>G15/(E15/60)</f>
        <v>270.60869565217394</v>
      </c>
      <c r="R15" s="33"/>
      <c r="S15" s="368">
        <f>SUM('[4]Daily glue July'!$H$12:$H$13)</f>
        <v>3.676134639008475E-2</v>
      </c>
      <c r="T15" s="6"/>
    </row>
    <row r="16" spans="2:20" ht="15.6" customHeight="1">
      <c r="B16" s="92">
        <v>46210</v>
      </c>
      <c r="C16" s="177">
        <v>5</v>
      </c>
      <c r="D16" s="30" t="s">
        <v>27</v>
      </c>
      <c r="E16" s="402">
        <v>1440</v>
      </c>
      <c r="F16" s="39">
        <f>[3]Jul!$N77</f>
        <v>370</v>
      </c>
      <c r="G16" s="18">
        <v>2168</v>
      </c>
      <c r="H16" s="54">
        <f t="shared" si="0"/>
        <v>49.633068362480124</v>
      </c>
      <c r="I16" s="69"/>
      <c r="J16" s="54">
        <f>SUM(83.9,61.8)</f>
        <v>145.69999999999999</v>
      </c>
      <c r="K16" s="54">
        <f t="shared" si="5"/>
        <v>143.08799999999999</v>
      </c>
      <c r="L16" s="54">
        <f t="shared" si="4"/>
        <v>2.6119999999999948</v>
      </c>
      <c r="M16" s="55">
        <f>[3]Jul!$AD16</f>
        <v>268</v>
      </c>
      <c r="N16" s="55">
        <f>2+10</f>
        <v>12</v>
      </c>
      <c r="O16" s="55"/>
      <c r="P16" s="51">
        <f t="shared" si="6"/>
        <v>1.7927247769389123</v>
      </c>
      <c r="Q16" s="38">
        <f>G16/(E16/60)</f>
        <v>90.333333333333329</v>
      </c>
      <c r="R16" s="33"/>
      <c r="S16" s="339">
        <f>SUM('[4]Daily glue July'!$H$14:$H$15)</f>
        <v>4.7199062706085385E-2</v>
      </c>
      <c r="T16" s="6"/>
    </row>
    <row r="17" spans="2:21" ht="15.75" customHeight="1">
      <c r="B17" s="92">
        <v>46210</v>
      </c>
      <c r="C17" s="177">
        <v>5</v>
      </c>
      <c r="D17" s="30" t="s">
        <v>45</v>
      </c>
      <c r="E17" s="404"/>
      <c r="F17" s="39">
        <f>[3]Jul!$N78</f>
        <v>153</v>
      </c>
      <c r="G17" s="18">
        <v>1012</v>
      </c>
      <c r="H17" s="54">
        <f t="shared" si="0"/>
        <v>56.027681660899667</v>
      </c>
      <c r="I17" s="69"/>
      <c r="J17" s="54">
        <f>SUM(91.4,86.3)-7.3-71.5-28</f>
        <v>70.899999999999977</v>
      </c>
      <c r="K17" s="54">
        <f t="shared" si="5"/>
        <v>66.792000000000002</v>
      </c>
      <c r="L17" s="54">
        <f t="shared" si="4"/>
        <v>4.1079999999999757</v>
      </c>
      <c r="M17" s="55">
        <f>[3]Jul!$AD17</f>
        <v>760</v>
      </c>
      <c r="N17" s="55"/>
      <c r="O17" s="55"/>
      <c r="P17" s="54">
        <f t="shared" si="6"/>
        <v>5.7940761636106872</v>
      </c>
      <c r="Q17" s="38">
        <f t="shared" si="7"/>
        <v>42.166666666666664</v>
      </c>
      <c r="R17" s="33"/>
      <c r="S17" s="339">
        <f>'[4]Daily glue July'!$H$16</f>
        <v>2.5741758241758238E-2</v>
      </c>
      <c r="T17" s="6"/>
    </row>
    <row r="18" spans="2:21" ht="15.75" customHeight="1">
      <c r="B18" s="92">
        <v>46211</v>
      </c>
      <c r="C18" s="177">
        <v>6</v>
      </c>
      <c r="D18" s="30" t="s">
        <v>45</v>
      </c>
      <c r="E18" s="402">
        <v>1426</v>
      </c>
      <c r="F18" s="39">
        <f>[3]Jul!$N79</f>
        <v>729</v>
      </c>
      <c r="G18" s="185">
        <v>3469</v>
      </c>
      <c r="H18" s="54">
        <f t="shared" si="0"/>
        <v>40.307915758896151</v>
      </c>
      <c r="I18" s="69"/>
      <c r="J18" s="54">
        <f>SUM(7.3,71.5,100.4,96.1)-28-14</f>
        <v>233.29999999999995</v>
      </c>
      <c r="K18" s="54">
        <f t="shared" si="5"/>
        <v>228.95400000000001</v>
      </c>
      <c r="L18" s="54">
        <f t="shared" si="4"/>
        <v>4.3459999999999468</v>
      </c>
      <c r="M18" s="55">
        <f>[3]Jul!$AD18</f>
        <v>395</v>
      </c>
      <c r="N18" s="55">
        <f>4+3</f>
        <v>7</v>
      </c>
      <c r="O18" s="55"/>
      <c r="P18" s="51">
        <f t="shared" si="6"/>
        <v>1.8628375482211519</v>
      </c>
      <c r="Q18" s="38">
        <f>G18/(E18/60)</f>
        <v>145.96072931276299</v>
      </c>
      <c r="R18" s="33"/>
      <c r="S18" s="339">
        <f>'[4]Daily glue July'!$H$17</f>
        <v>6.519016697588126E-3</v>
      </c>
      <c r="T18" s="6"/>
    </row>
    <row r="19" spans="2:21" ht="18.75" customHeight="1">
      <c r="B19" s="92">
        <v>46211</v>
      </c>
      <c r="C19" s="177">
        <v>8</v>
      </c>
      <c r="D19" s="30" t="s">
        <v>138</v>
      </c>
      <c r="E19" s="403"/>
      <c r="F19" s="39">
        <f>[3]Jul!$N80</f>
        <v>164</v>
      </c>
      <c r="G19" s="185">
        <v>666</v>
      </c>
      <c r="H19" s="54">
        <f t="shared" si="0"/>
        <v>34.398852223816355</v>
      </c>
      <c r="I19" s="69"/>
      <c r="J19" s="428">
        <v>97.6</v>
      </c>
      <c r="K19" s="428">
        <f>(G19+G20)*0.066</f>
        <v>94.710000000000008</v>
      </c>
      <c r="L19" s="428">
        <f t="shared" si="4"/>
        <v>2.8899999999999864</v>
      </c>
      <c r="M19" s="55">
        <f>[3]Jul!$AD19</f>
        <v>85</v>
      </c>
      <c r="N19" s="55"/>
      <c r="O19" s="55"/>
      <c r="P19" s="428">
        <f t="shared" si="6"/>
        <v>2.9610655737704779</v>
      </c>
      <c r="Q19" s="38">
        <f t="shared" si="7"/>
        <v>28.022440392706873</v>
      </c>
      <c r="R19" s="33"/>
      <c r="S19" s="435">
        <f>[4]!Table145678245679[[#This Row],[Glue usage lb/ case]]/2</f>
        <v>9.0618955512572538E-3</v>
      </c>
      <c r="T19" s="6"/>
    </row>
    <row r="20" spans="2:21" ht="18.75" customHeight="1">
      <c r="B20" s="92">
        <v>46211</v>
      </c>
      <c r="C20" s="177">
        <v>8</v>
      </c>
      <c r="D20" s="30" t="s">
        <v>139</v>
      </c>
      <c r="E20" s="403"/>
      <c r="F20" s="39">
        <f>[3]Jul!$N81</f>
        <v>60</v>
      </c>
      <c r="G20" s="185">
        <v>769</v>
      </c>
      <c r="H20" s="54">
        <f t="shared" si="0"/>
        <v>108.56470588235294</v>
      </c>
      <c r="I20" s="69"/>
      <c r="J20" s="428"/>
      <c r="K20" s="428"/>
      <c r="L20" s="428"/>
      <c r="M20" s="55">
        <f>[3]Jul!$AD20</f>
        <v>48</v>
      </c>
      <c r="N20" s="55"/>
      <c r="O20" s="55"/>
      <c r="P20" s="428"/>
      <c r="Q20" s="38">
        <f>G20/(E18/60)</f>
        <v>32.356241234221599</v>
      </c>
      <c r="R20" s="33"/>
      <c r="S20" s="435"/>
      <c r="T20" s="6"/>
    </row>
    <row r="21" spans="2:21" ht="15.75" customHeight="1">
      <c r="B21" s="92">
        <v>46211</v>
      </c>
      <c r="C21" s="177">
        <v>8</v>
      </c>
      <c r="D21" s="30" t="s">
        <v>140</v>
      </c>
      <c r="E21" s="403"/>
      <c r="F21" s="405">
        <f>[3]Jul!$N82</f>
        <v>280</v>
      </c>
      <c r="G21" s="18">
        <v>702</v>
      </c>
      <c r="H21" s="428">
        <f>(G21+G22)*24/(F21/60)/17000*100</f>
        <v>24.322689075630251</v>
      </c>
      <c r="I21" s="69"/>
      <c r="J21" s="428">
        <f>SUM(101.1)-43.5</f>
        <v>57.599999999999994</v>
      </c>
      <c r="K21" s="428">
        <f>(G21+G22)*0.066</f>
        <v>53.064</v>
      </c>
      <c r="L21" s="428">
        <f t="shared" si="4"/>
        <v>4.5359999999999943</v>
      </c>
      <c r="M21" s="55">
        <f>[3]Jul!$AD21</f>
        <v>68</v>
      </c>
      <c r="N21" s="55"/>
      <c r="O21" s="55"/>
      <c r="P21" s="428">
        <f t="shared" si="6"/>
        <v>7.8749999999999902</v>
      </c>
      <c r="Q21" s="38">
        <f>G21/(E18/60)</f>
        <v>29.537166900420758</v>
      </c>
      <c r="R21" s="33"/>
      <c r="S21" s="435">
        <f>'[4]Daily glue July'!$H$19/2</f>
        <v>9.0618955512572538E-3</v>
      </c>
      <c r="T21" s="6"/>
    </row>
    <row r="22" spans="2:21" ht="15.75" customHeight="1">
      <c r="B22" s="92">
        <v>46211</v>
      </c>
      <c r="C22" s="177">
        <v>8</v>
      </c>
      <c r="D22" s="30" t="s">
        <v>141</v>
      </c>
      <c r="E22" s="404"/>
      <c r="F22" s="405"/>
      <c r="G22" s="18">
        <v>102</v>
      </c>
      <c r="H22" s="428"/>
      <c r="I22" s="69"/>
      <c r="J22" s="428"/>
      <c r="K22" s="428"/>
      <c r="L22" s="428"/>
      <c r="M22" s="55">
        <f>[3]Jul!$AD22</f>
        <v>157</v>
      </c>
      <c r="N22" s="55"/>
      <c r="O22" s="55"/>
      <c r="P22" s="428"/>
      <c r="Q22" s="38">
        <f>G22/(E18/60)</f>
        <v>4.2917251051893412</v>
      </c>
      <c r="R22" s="33"/>
      <c r="S22" s="435"/>
      <c r="T22" s="6"/>
    </row>
    <row r="23" spans="2:21" ht="15.75" customHeight="1">
      <c r="B23" s="92">
        <v>46212</v>
      </c>
      <c r="C23" s="177">
        <v>9</v>
      </c>
      <c r="D23" s="30" t="s">
        <v>141</v>
      </c>
      <c r="E23" s="402">
        <v>1430</v>
      </c>
      <c r="F23" s="39">
        <f>[3]Jul!$N84</f>
        <v>650</v>
      </c>
      <c r="G23" s="18">
        <v>2192</v>
      </c>
      <c r="H23" s="54">
        <f t="shared" si="0"/>
        <v>28.565429864253396</v>
      </c>
      <c r="I23" s="69"/>
      <c r="J23" s="54">
        <f>SUM(43.5,104.5)</f>
        <v>148</v>
      </c>
      <c r="K23" s="54">
        <f t="shared" si="5"/>
        <v>144.672</v>
      </c>
      <c r="L23" s="54">
        <f t="shared" si="4"/>
        <v>3.328000000000003</v>
      </c>
      <c r="M23" s="55">
        <f>[3]Jul!$AD23</f>
        <v>388</v>
      </c>
      <c r="N23" s="55">
        <f>2+3</f>
        <v>5</v>
      </c>
      <c r="O23" s="55"/>
      <c r="P23" s="54">
        <f t="shared" si="6"/>
        <v>2.2486486486486505</v>
      </c>
      <c r="Q23" s="38">
        <f>G23/(E23/60)</f>
        <v>91.972027972027973</v>
      </c>
      <c r="R23" s="33"/>
      <c r="S23" s="339">
        <f>'[4]Daily glue July'!$H$20</f>
        <v>6.2411190053285968E-3</v>
      </c>
      <c r="T23" s="6"/>
    </row>
    <row r="24" spans="2:21" ht="15.75" customHeight="1">
      <c r="B24" s="92">
        <v>46212</v>
      </c>
      <c r="C24" s="177">
        <v>9</v>
      </c>
      <c r="D24" s="30" t="s">
        <v>142</v>
      </c>
      <c r="E24" s="403"/>
      <c r="F24" s="39">
        <f>[3]Jul!$N85</f>
        <v>279</v>
      </c>
      <c r="G24" s="18">
        <v>808</v>
      </c>
      <c r="H24" s="54">
        <f t="shared" si="0"/>
        <v>24.531309297912713</v>
      </c>
      <c r="I24" s="69"/>
      <c r="J24" s="428">
        <f>SUM(93,88)</f>
        <v>181</v>
      </c>
      <c r="K24" s="428">
        <f>(G24+G25)*0.066</f>
        <v>178.13400000000001</v>
      </c>
      <c r="L24" s="428">
        <f t="shared" si="4"/>
        <v>2.8659999999999854</v>
      </c>
      <c r="M24" s="55">
        <f>[3]Jul!$AD24</f>
        <v>147</v>
      </c>
      <c r="N24" s="406">
        <f>2+7</f>
        <v>9</v>
      </c>
      <c r="O24" s="55"/>
      <c r="P24" s="428">
        <f t="shared" si="6"/>
        <v>1.5834254143646329</v>
      </c>
      <c r="Q24" s="38">
        <f>G24/(E23/60)</f>
        <v>33.902097902097907</v>
      </c>
      <c r="R24" s="33"/>
      <c r="S24" s="435">
        <f>SUM('[4]Daily glue July'!$H$21:$H$22)</f>
        <v>2.3290448673400802E-2</v>
      </c>
      <c r="T24" s="6"/>
    </row>
    <row r="25" spans="2:21" ht="15.75" customHeight="1">
      <c r="B25" s="92">
        <v>46212</v>
      </c>
      <c r="C25" s="177">
        <v>9</v>
      </c>
      <c r="D25" s="30" t="s">
        <v>143</v>
      </c>
      <c r="E25" s="404"/>
      <c r="F25" s="39">
        <f>[3]Jul!$N86</f>
        <v>214</v>
      </c>
      <c r="G25" s="18">
        <v>1891</v>
      </c>
      <c r="H25" s="54">
        <f t="shared" si="0"/>
        <v>74.849917537108297</v>
      </c>
      <c r="I25" s="69"/>
      <c r="J25" s="428"/>
      <c r="K25" s="428"/>
      <c r="L25" s="428"/>
      <c r="M25" s="55">
        <f>[3]Jul!$AD25</f>
        <v>90</v>
      </c>
      <c r="N25" s="406"/>
      <c r="O25" s="55"/>
      <c r="P25" s="428"/>
      <c r="Q25" s="38">
        <f>G25/(E23/60)</f>
        <v>79.342657342657347</v>
      </c>
      <c r="R25" s="33"/>
      <c r="S25" s="435"/>
      <c r="T25" s="6"/>
    </row>
    <row r="26" spans="2:21" ht="15.75" customHeight="1">
      <c r="B26" s="92">
        <v>46213</v>
      </c>
      <c r="C26" s="177">
        <v>10</v>
      </c>
      <c r="D26" s="30" t="s">
        <v>49</v>
      </c>
      <c r="E26" s="402">
        <v>1182</v>
      </c>
      <c r="F26" s="39">
        <f>[3]Jul!$N87</f>
        <v>537</v>
      </c>
      <c r="G26" s="18">
        <v>2687</v>
      </c>
      <c r="H26" s="54">
        <f>(G26)*24/(F26/60)/17000*100</f>
        <v>42.384488991127185</v>
      </c>
      <c r="I26" s="69"/>
      <c r="J26" s="54">
        <f>SUM(81.9,97.3)</f>
        <v>179.2</v>
      </c>
      <c r="K26" s="54">
        <f t="shared" si="5"/>
        <v>177.34200000000001</v>
      </c>
      <c r="L26" s="54">
        <f t="shared" si="4"/>
        <v>1.8579999999999757</v>
      </c>
      <c r="M26" s="55">
        <f>[3]Jul!$AD26</f>
        <v>441</v>
      </c>
      <c r="N26" s="55">
        <f>2+6</f>
        <v>8</v>
      </c>
      <c r="O26" s="55"/>
      <c r="P26" s="51">
        <f t="shared" si="6"/>
        <v>1.0368303571428437</v>
      </c>
      <c r="Q26" s="38">
        <f>G26/(E26/60)</f>
        <v>136.39593908629442</v>
      </c>
      <c r="R26" s="33"/>
      <c r="S26" s="339">
        <f>'[4]Daily glue July'!$H$23</f>
        <v>7.6677577741407522E-3</v>
      </c>
      <c r="T26" s="6"/>
    </row>
    <row r="27" spans="2:21" ht="17.100000000000001" customHeight="1">
      <c r="B27" s="92">
        <v>46213</v>
      </c>
      <c r="C27" s="177">
        <v>10</v>
      </c>
      <c r="D27" s="30" t="s">
        <v>44</v>
      </c>
      <c r="E27" s="404"/>
      <c r="F27" s="39">
        <f>[3]Jul!$N88</f>
        <v>471</v>
      </c>
      <c r="G27" s="18">
        <v>2615</v>
      </c>
      <c r="H27" s="54">
        <f t="shared" si="0"/>
        <v>47.028849756463096</v>
      </c>
      <c r="I27" s="69">
        <v>32.799999999999997</v>
      </c>
      <c r="J27" s="54">
        <f>SUM(102.8,97.6)-25</f>
        <v>175.39999999999998</v>
      </c>
      <c r="K27" s="54">
        <f t="shared" si="5"/>
        <v>172.59</v>
      </c>
      <c r="L27" s="54">
        <f t="shared" si="4"/>
        <v>2.8099999999999739</v>
      </c>
      <c r="M27" s="55">
        <f>[3]Jul!$AD27</f>
        <v>278</v>
      </c>
      <c r="N27" s="55">
        <v>3</v>
      </c>
      <c r="O27" s="55"/>
      <c r="P27" s="51">
        <f t="shared" ref="P27:P47" si="8">(J27-K27)/J27*100</f>
        <v>1.602052451539324</v>
      </c>
      <c r="Q27" s="38">
        <f t="shared" ref="Q27:Q29" si="9">G27/(E26/60)</f>
        <v>132.74111675126903</v>
      </c>
      <c r="R27" s="33"/>
      <c r="S27" s="339">
        <f>'[4]Daily glue July'!$H$25</f>
        <v>7.1663479923518162E-3</v>
      </c>
      <c r="T27" s="6"/>
    </row>
    <row r="28" spans="2:21" ht="18.75" customHeight="1">
      <c r="B28" s="92">
        <v>46216</v>
      </c>
      <c r="C28" s="177">
        <v>11</v>
      </c>
      <c r="D28" s="30" t="s">
        <v>44</v>
      </c>
      <c r="E28" s="402">
        <v>1335</v>
      </c>
      <c r="F28" s="39">
        <f>[3]Jul!$N89</f>
        <v>929</v>
      </c>
      <c r="G28" s="185">
        <v>4221</v>
      </c>
      <c r="H28" s="54">
        <f t="shared" si="0"/>
        <v>38.486924586842278</v>
      </c>
      <c r="I28" s="69"/>
      <c r="J28" s="184">
        <f>SUM(77.2,100.8,100.2,4)</f>
        <v>282.2</v>
      </c>
      <c r="K28" s="54">
        <f>(G28)*0.066</f>
        <v>278.58600000000001</v>
      </c>
      <c r="L28" s="54">
        <f t="shared" si="4"/>
        <v>3.6139999999999759</v>
      </c>
      <c r="M28" s="55">
        <f>[3]Jul!$AD28</f>
        <v>487</v>
      </c>
      <c r="N28" s="55">
        <f>1+12+31</f>
        <v>44</v>
      </c>
      <c r="O28" s="55"/>
      <c r="P28" s="51">
        <f t="shared" si="8"/>
        <v>1.2806520198440738</v>
      </c>
      <c r="Q28" s="38">
        <f>G28/(E28/60)</f>
        <v>189.70786516853931</v>
      </c>
      <c r="R28" s="33"/>
      <c r="S28" s="339">
        <f>SUM('[4]Daily glue July'!$H$27)</f>
        <v>5.0196428571428571E-3</v>
      </c>
      <c r="T28" s="6"/>
    </row>
    <row r="29" spans="2:21" ht="15.75" customHeight="1">
      <c r="B29" s="92">
        <v>46216</v>
      </c>
      <c r="C29" s="177">
        <v>11</v>
      </c>
      <c r="D29" s="30" t="s">
        <v>27</v>
      </c>
      <c r="E29" s="404"/>
      <c r="F29" s="39">
        <f>[3]Jul!$N90</f>
        <v>176</v>
      </c>
      <c r="G29" s="18">
        <v>1949</v>
      </c>
      <c r="H29" s="54">
        <f t="shared" si="0"/>
        <v>93.802139037433165</v>
      </c>
      <c r="I29" s="69"/>
      <c r="J29" s="54">
        <f>SUM(100.5,100)-70</f>
        <v>130.5</v>
      </c>
      <c r="K29" s="54">
        <f t="shared" si="5"/>
        <v>128.63400000000001</v>
      </c>
      <c r="L29" s="54">
        <f t="shared" si="4"/>
        <v>1.8659999999999854</v>
      </c>
      <c r="M29" s="55">
        <f>[3]Jul!$AD29</f>
        <v>186</v>
      </c>
      <c r="N29" s="55">
        <v>3</v>
      </c>
      <c r="O29" s="55"/>
      <c r="P29" s="51">
        <f t="shared" si="8"/>
        <v>1.4298850574712534</v>
      </c>
      <c r="Q29" s="38">
        <f t="shared" si="9"/>
        <v>87.595505617977523</v>
      </c>
      <c r="R29" s="33"/>
      <c r="S29" s="343"/>
      <c r="T29" s="6"/>
    </row>
    <row r="30" spans="2:21" ht="15.75" customHeight="1">
      <c r="B30" s="92">
        <v>46217</v>
      </c>
      <c r="C30" s="177">
        <v>12</v>
      </c>
      <c r="D30" s="30" t="s">
        <v>27</v>
      </c>
      <c r="E30" s="48">
        <v>1472</v>
      </c>
      <c r="F30" s="39">
        <f>[3]Jul!$N91</f>
        <v>1302</v>
      </c>
      <c r="G30" s="18">
        <v>9145</v>
      </c>
      <c r="H30" s="54">
        <f t="shared" si="0"/>
        <v>59.495798319327733</v>
      </c>
      <c r="I30" s="69"/>
      <c r="J30" s="54">
        <f>SUM(70,90.5,101.1,104,93.5,35.5,45.3,98,78)-18-88</f>
        <v>609.9</v>
      </c>
      <c r="K30" s="54">
        <f>(G30)*0.066</f>
        <v>603.57000000000005</v>
      </c>
      <c r="L30" s="54">
        <f t="shared" si="4"/>
        <v>6.3299999999999272</v>
      </c>
      <c r="M30" s="55">
        <f>[3]Jul!$AD30</f>
        <v>434</v>
      </c>
      <c r="N30" s="55">
        <f>2+5+5+1</f>
        <v>13</v>
      </c>
      <c r="O30" s="55"/>
      <c r="P30" s="51">
        <f t="shared" si="8"/>
        <v>1.0378750614854775</v>
      </c>
      <c r="Q30" s="38">
        <f>G30/(E30/60)</f>
        <v>372.758152173913</v>
      </c>
      <c r="R30" s="33"/>
      <c r="S30" s="339">
        <f>SUM('[4]Daily glue July'!$H$29:$H$30)</f>
        <v>1.0523658873377974E-2</v>
      </c>
      <c r="T30" s="6"/>
    </row>
    <row r="31" spans="2:21" ht="15.75" customHeight="1">
      <c r="B31" s="92">
        <v>46218</v>
      </c>
      <c r="C31" s="177">
        <v>13</v>
      </c>
      <c r="D31" s="30" t="s">
        <v>144</v>
      </c>
      <c r="E31" s="402">
        <v>1440</v>
      </c>
      <c r="F31" s="39">
        <f>[3]Jul!$N92</f>
        <v>566</v>
      </c>
      <c r="G31" s="18">
        <v>2896</v>
      </c>
      <c r="H31" s="54">
        <f t="shared" si="0"/>
        <v>43.340677613801702</v>
      </c>
      <c r="I31" s="69"/>
      <c r="J31" s="378">
        <f>SUM(65.5,98,28.2)</f>
        <v>191.7</v>
      </c>
      <c r="K31" s="54">
        <f t="shared" si="5"/>
        <v>191.136</v>
      </c>
      <c r="L31" s="54">
        <f t="shared" si="4"/>
        <v>0.56399999999999295</v>
      </c>
      <c r="M31" s="55">
        <f>[3]Jul!$AD31</f>
        <v>285</v>
      </c>
      <c r="N31" s="55">
        <f>10+9</f>
        <v>19</v>
      </c>
      <c r="O31" s="55"/>
      <c r="P31" s="51">
        <f t="shared" si="8"/>
        <v>0.29420970266040319</v>
      </c>
      <c r="Q31" s="38">
        <f>G31/(E31/60)</f>
        <v>120.66666666666667</v>
      </c>
      <c r="R31" s="33"/>
      <c r="S31" s="339">
        <f>'[4]Daily glue July'!$H$34</f>
        <v>7.0134730538922154E-3</v>
      </c>
      <c r="T31" s="6"/>
      <c r="U31" s="144" t="s">
        <v>69</v>
      </c>
    </row>
    <row r="32" spans="2:21" ht="15.75" customHeight="1">
      <c r="B32" s="92">
        <v>46218</v>
      </c>
      <c r="C32" s="177">
        <v>13</v>
      </c>
      <c r="D32" s="30" t="s">
        <v>27</v>
      </c>
      <c r="E32" s="404"/>
      <c r="F32" s="39">
        <f>[3]Jul!$N93</f>
        <v>660</v>
      </c>
      <c r="G32" s="18">
        <v>2978</v>
      </c>
      <c r="H32" s="54">
        <f t="shared" si="0"/>
        <v>38.220320855614972</v>
      </c>
      <c r="I32" s="69"/>
      <c r="J32" s="54">
        <f>SUM(88,99,105)-90</f>
        <v>202</v>
      </c>
      <c r="K32" s="54">
        <f t="shared" si="5"/>
        <v>196.548</v>
      </c>
      <c r="L32" s="54">
        <f t="shared" si="4"/>
        <v>5.4519999999999982</v>
      </c>
      <c r="M32" s="55">
        <f>[3]Jul!$AD32</f>
        <v>322</v>
      </c>
      <c r="N32" s="55">
        <v>5</v>
      </c>
      <c r="O32" s="55"/>
      <c r="P32" s="51">
        <f t="shared" si="8"/>
        <v>2.6990099009900979</v>
      </c>
      <c r="Q32" s="38">
        <f>G32/(E31/60)</f>
        <v>124.08333333333333</v>
      </c>
      <c r="R32" s="33"/>
      <c r="S32" s="339">
        <f>SUM('[4]Daily glue July'!$H$32:$H$33)</f>
        <v>2.5595670358192293E-2</v>
      </c>
      <c r="T32" s="6"/>
    </row>
    <row r="33" spans="2:20" ht="15.75" customHeight="1">
      <c r="B33" s="92">
        <v>46219</v>
      </c>
      <c r="C33" s="177">
        <v>14</v>
      </c>
      <c r="D33" s="30" t="s">
        <v>27</v>
      </c>
      <c r="E33" s="402">
        <v>1425</v>
      </c>
      <c r="F33" s="39">
        <f>[3]Jul!$N94</f>
        <v>176</v>
      </c>
      <c r="G33" s="185">
        <v>1316</v>
      </c>
      <c r="H33" s="54">
        <f t="shared" si="0"/>
        <v>63.336898395721931</v>
      </c>
      <c r="I33" s="69"/>
      <c r="J33" s="54">
        <f>SUM(90)</f>
        <v>90</v>
      </c>
      <c r="K33" s="54">
        <f t="shared" si="5"/>
        <v>86.856000000000009</v>
      </c>
      <c r="L33" s="54">
        <f t="shared" si="4"/>
        <v>3.1439999999999912</v>
      </c>
      <c r="M33" s="55">
        <f>[3]Jul!$AD33</f>
        <v>58</v>
      </c>
      <c r="N33" s="55"/>
      <c r="O33" s="55"/>
      <c r="P33" s="51">
        <f t="shared" si="8"/>
        <v>3.4933333333333234</v>
      </c>
      <c r="Q33" s="38">
        <f>G33/(E33/60)</f>
        <v>55.410526315789475</v>
      </c>
      <c r="R33" s="33"/>
      <c r="S33" s="339">
        <f>'[4]Daily glue July'!$H$35</f>
        <v>6.686489058039962E-3</v>
      </c>
      <c r="T33" s="6"/>
    </row>
    <row r="34" spans="2:20" ht="15.75" customHeight="1">
      <c r="B34" s="92">
        <v>46219</v>
      </c>
      <c r="C34" s="177">
        <v>14</v>
      </c>
      <c r="D34" s="30" t="s">
        <v>144</v>
      </c>
      <c r="E34" s="403"/>
      <c r="F34" s="39">
        <f>[3]Jul!$N95</f>
        <v>606</v>
      </c>
      <c r="G34" s="55">
        <v>1858</v>
      </c>
      <c r="H34" s="54">
        <f t="shared" si="0"/>
        <v>25.970879440885263</v>
      </c>
      <c r="I34" s="69">
        <v>31</v>
      </c>
      <c r="J34" s="428">
        <f>SUM(99,88.8,90,98,47.1)-7.2-72.9</f>
        <v>342.80000000000007</v>
      </c>
      <c r="K34" s="428">
        <f>(G34+G35+G36)*0.066</f>
        <v>338.25</v>
      </c>
      <c r="L34" s="54">
        <f t="shared" si="4"/>
        <v>4.5500000000000682</v>
      </c>
      <c r="M34" s="55">
        <f>[3]Jul!$AD34</f>
        <v>393</v>
      </c>
      <c r="N34" s="55">
        <v>4</v>
      </c>
      <c r="O34" s="55"/>
      <c r="P34" s="428">
        <f t="shared" si="8"/>
        <v>1.3273045507584795</v>
      </c>
      <c r="Q34" s="38">
        <f>G34/(E33/60)</f>
        <v>78.231578947368419</v>
      </c>
      <c r="R34" s="33"/>
      <c r="S34" s="339">
        <f>'[4]Daily glue July'!$H$36</f>
        <v>5.7768187422934641E-3</v>
      </c>
      <c r="T34" s="6"/>
    </row>
    <row r="35" spans="2:20" ht="16.5" customHeight="1">
      <c r="B35" s="92">
        <v>46219</v>
      </c>
      <c r="C35" s="177">
        <v>14</v>
      </c>
      <c r="D35" s="30" t="s">
        <v>145</v>
      </c>
      <c r="E35" s="403"/>
      <c r="F35" s="39">
        <f>[3]Jul!$N96</f>
        <v>244</v>
      </c>
      <c r="G35" s="187">
        <v>1176</v>
      </c>
      <c r="H35" s="54">
        <f t="shared" si="0"/>
        <v>40.825458052073294</v>
      </c>
      <c r="I35" s="69"/>
      <c r="J35" s="428"/>
      <c r="K35" s="428"/>
      <c r="L35" s="54">
        <f t="shared" si="4"/>
        <v>0</v>
      </c>
      <c r="M35" s="55">
        <f>[3]Jul!$AD35</f>
        <v>107</v>
      </c>
      <c r="N35" s="55">
        <v>1</v>
      </c>
      <c r="O35" s="55"/>
      <c r="P35" s="428"/>
      <c r="Q35" s="38">
        <f>G35/(E33/60)</f>
        <v>49.515789473684208</v>
      </c>
      <c r="R35" s="33"/>
      <c r="S35" s="343"/>
      <c r="T35" s="6"/>
    </row>
    <row r="36" spans="2:20" ht="15.75">
      <c r="B36" s="92">
        <v>46219</v>
      </c>
      <c r="C36" s="177">
        <v>14</v>
      </c>
      <c r="D36" s="30" t="s">
        <v>45</v>
      </c>
      <c r="E36" s="404"/>
      <c r="F36" s="39">
        <f>[3]Jul!$N97</f>
        <v>257</v>
      </c>
      <c r="G36" s="55">
        <v>2091</v>
      </c>
      <c r="H36" s="54">
        <f t="shared" si="0"/>
        <v>68.918287937743202</v>
      </c>
      <c r="I36" s="69"/>
      <c r="J36" s="428"/>
      <c r="K36" s="428"/>
      <c r="L36" s="54">
        <f t="shared" si="4"/>
        <v>0</v>
      </c>
      <c r="M36" s="55">
        <f>[3]Jul!$AD36</f>
        <v>92</v>
      </c>
      <c r="N36" s="55">
        <v>1</v>
      </c>
      <c r="O36" s="55"/>
      <c r="P36" s="428"/>
      <c r="Q36" s="38">
        <f>G36/(E33/60)</f>
        <v>88.042105263157893</v>
      </c>
      <c r="R36" s="33"/>
      <c r="S36" s="343"/>
    </row>
    <row r="37" spans="2:20" ht="15.75">
      <c r="B37" s="92">
        <v>46220</v>
      </c>
      <c r="C37" s="177">
        <v>15</v>
      </c>
      <c r="D37" s="30" t="s">
        <v>146</v>
      </c>
      <c r="E37" s="402">
        <v>1238</v>
      </c>
      <c r="F37" s="39">
        <f>[3]Jul!$N98</f>
        <v>203</v>
      </c>
      <c r="G37" s="55">
        <v>1090</v>
      </c>
      <c r="H37" s="54">
        <f t="shared" si="0"/>
        <v>45.482468849608807</v>
      </c>
      <c r="I37" s="69"/>
      <c r="J37" s="54">
        <f>SUM(72.9)</f>
        <v>72.900000000000006</v>
      </c>
      <c r="K37" s="54">
        <f t="shared" si="5"/>
        <v>71.94</v>
      </c>
      <c r="L37" s="54">
        <f t="shared" si="4"/>
        <v>0.96000000000000796</v>
      </c>
      <c r="M37" s="55">
        <f>[3]Jul!$AD37</f>
        <v>94</v>
      </c>
      <c r="N37" s="55">
        <v>3</v>
      </c>
      <c r="O37" s="55"/>
      <c r="P37" s="51">
        <f t="shared" si="8"/>
        <v>1.3168724279835498</v>
      </c>
      <c r="Q37" s="38">
        <f>G37/(E37/60)</f>
        <v>52.827140549273025</v>
      </c>
      <c r="R37" s="16"/>
      <c r="S37" s="339">
        <f>SUM('[4]Daily glue July'!$H$35:$H$36)</f>
        <v>1.2463307800333426E-2</v>
      </c>
    </row>
    <row r="38" spans="2:20" s="234" customFormat="1" ht="15.75">
      <c r="B38" s="228">
        <v>46220</v>
      </c>
      <c r="C38" s="369">
        <v>15</v>
      </c>
      <c r="D38" s="250" t="s">
        <v>59</v>
      </c>
      <c r="E38" s="404"/>
      <c r="F38" s="39">
        <f>[3]Jul!$N99</f>
        <v>0</v>
      </c>
      <c r="G38" s="232">
        <v>0</v>
      </c>
      <c r="H38" s="227" t="e">
        <f t="shared" si="0"/>
        <v>#DIV/0!</v>
      </c>
      <c r="I38" s="370"/>
      <c r="J38" s="227"/>
      <c r="K38" s="227">
        <f t="shared" si="5"/>
        <v>0</v>
      </c>
      <c r="L38" s="227">
        <f t="shared" si="4"/>
        <v>0</v>
      </c>
      <c r="M38" s="232">
        <f>[3]Jul!$AD38</f>
        <v>1092</v>
      </c>
      <c r="N38" s="232"/>
      <c r="O38" s="232"/>
      <c r="P38" s="371" t="e">
        <f t="shared" si="8"/>
        <v>#DIV/0!</v>
      </c>
      <c r="Q38" s="372" t="e">
        <f t="shared" ref="Q38:Q41" si="10">G38/(F38/60)</f>
        <v>#DIV/0!</v>
      </c>
      <c r="R38" s="373"/>
      <c r="S38" s="342"/>
    </row>
    <row r="39" spans="2:20" ht="15.75">
      <c r="B39" s="92">
        <v>46223</v>
      </c>
      <c r="C39" s="177">
        <v>16</v>
      </c>
      <c r="D39" s="30" t="s">
        <v>48</v>
      </c>
      <c r="E39" s="402">
        <v>1380</v>
      </c>
      <c r="F39" s="39">
        <f>[3]Jul!$N100</f>
        <v>1022</v>
      </c>
      <c r="G39" s="55">
        <v>6165</v>
      </c>
      <c r="H39" s="54">
        <f t="shared" si="0"/>
        <v>51.097041556348564</v>
      </c>
      <c r="I39" s="69"/>
      <c r="J39" s="184">
        <f>SUM(100.3,98,103.4,99.3,16.1,8)-15</f>
        <v>410.10000000000008</v>
      </c>
      <c r="K39" s="54">
        <f>(G39)*0.066</f>
        <v>406.89000000000004</v>
      </c>
      <c r="L39" s="54">
        <f t="shared" si="4"/>
        <v>3.2100000000000364</v>
      </c>
      <c r="M39" s="55">
        <f>[3]Jul!$AD39</f>
        <v>530</v>
      </c>
      <c r="N39" s="55">
        <f>12+3+8</f>
        <v>23</v>
      </c>
      <c r="O39" s="55"/>
      <c r="P39" s="366">
        <f t="shared" si="8"/>
        <v>0.78273591806877241</v>
      </c>
      <c r="Q39" s="38">
        <f>G39/(E39/60)</f>
        <v>268.04347826086956</v>
      </c>
      <c r="R39" s="33"/>
      <c r="S39" s="339">
        <f>SUM('[4]Daily glue July'!$H$41:$H$43)</f>
        <v>1.2759360076529145E-2</v>
      </c>
    </row>
    <row r="40" spans="2:20" s="234" customFormat="1" ht="15.75">
      <c r="B40" s="228">
        <v>46223</v>
      </c>
      <c r="C40" s="369">
        <v>16</v>
      </c>
      <c r="D40" s="250" t="s">
        <v>59</v>
      </c>
      <c r="E40" s="404"/>
      <c r="F40" s="39">
        <f>[3]Jul!$N101</f>
        <v>0</v>
      </c>
      <c r="G40" s="232">
        <v>40</v>
      </c>
      <c r="H40" s="227" t="e">
        <f t="shared" si="0"/>
        <v>#DIV/0!</v>
      </c>
      <c r="I40" s="370"/>
      <c r="J40" s="227">
        <f>42*0.066</f>
        <v>2.7720000000000002</v>
      </c>
      <c r="K40" s="227">
        <f t="shared" si="5"/>
        <v>2.64</v>
      </c>
      <c r="L40" s="227">
        <f t="shared" si="4"/>
        <v>0.13200000000000012</v>
      </c>
      <c r="M40" s="232">
        <f>[3]Jul!$AD40</f>
        <v>145</v>
      </c>
      <c r="N40" s="232"/>
      <c r="O40" s="232"/>
      <c r="P40" s="371">
        <f t="shared" si="8"/>
        <v>4.7619047619047654</v>
      </c>
      <c r="Q40" s="372" t="e">
        <f t="shared" si="10"/>
        <v>#DIV/0!</v>
      </c>
      <c r="R40" s="373"/>
      <c r="S40" s="342"/>
    </row>
    <row r="41" spans="2:20" ht="16.5" customHeight="1">
      <c r="B41" s="92">
        <v>46224</v>
      </c>
      <c r="C41" s="177">
        <v>17</v>
      </c>
      <c r="D41" s="30" t="s">
        <v>59</v>
      </c>
      <c r="E41" s="402">
        <v>1440</v>
      </c>
      <c r="F41" s="39">
        <f>[3]Jul!$N102</f>
        <v>0</v>
      </c>
      <c r="G41" s="55"/>
      <c r="H41" s="54" t="e">
        <f t="shared" si="0"/>
        <v>#DIV/0!</v>
      </c>
      <c r="I41" s="69"/>
      <c r="J41" s="54"/>
      <c r="K41" s="54">
        <f>(G41)*0.066</f>
        <v>0</v>
      </c>
      <c r="L41" s="54">
        <f t="shared" si="4"/>
        <v>0</v>
      </c>
      <c r="M41" s="55">
        <f>[3]Jul!$AD41</f>
        <v>141</v>
      </c>
      <c r="N41" s="55"/>
      <c r="O41" s="55"/>
      <c r="P41" s="51" t="e">
        <f t="shared" si="8"/>
        <v>#DIV/0!</v>
      </c>
      <c r="Q41" s="38" t="e">
        <f t="shared" si="10"/>
        <v>#DIV/0!</v>
      </c>
      <c r="R41" s="33"/>
      <c r="S41" s="339"/>
    </row>
    <row r="42" spans="2:20" ht="16.5" customHeight="1">
      <c r="B42" s="92">
        <v>46224</v>
      </c>
      <c r="C42" s="177">
        <v>17</v>
      </c>
      <c r="D42" s="30" t="s">
        <v>45</v>
      </c>
      <c r="E42" s="403"/>
      <c r="F42" s="39">
        <f>[3]Jul!$N103</f>
        <v>754</v>
      </c>
      <c r="G42" s="55">
        <v>6077</v>
      </c>
      <c r="H42" s="54">
        <f t="shared" ref="H42:H44" si="11">(G42)*24/(F42/60)/17000*100</f>
        <v>68.270244968013728</v>
      </c>
      <c r="I42" s="69"/>
      <c r="J42" s="54">
        <f>SUM(100,100.6,109,101.6)</f>
        <v>411.20000000000005</v>
      </c>
      <c r="K42" s="54">
        <f>(G42)*0.066</f>
        <v>401.08199999999999</v>
      </c>
      <c r="L42" s="54">
        <f t="shared" ref="L42:L44" si="12">J42-K42</f>
        <v>10.118000000000052</v>
      </c>
      <c r="M42" s="55">
        <f>[3]Jul!$AD42</f>
        <v>152</v>
      </c>
      <c r="N42" s="55">
        <f>2+1+3</f>
        <v>6</v>
      </c>
      <c r="O42" s="55"/>
      <c r="P42" s="51">
        <f t="shared" ref="P42:P44" si="13">(J42-K42)/J42*100</f>
        <v>2.4606031128404795</v>
      </c>
      <c r="Q42" s="38">
        <f>G42/(E41/60)</f>
        <v>253.20833333333334</v>
      </c>
      <c r="R42" s="33"/>
      <c r="S42" s="339">
        <f>'[4]Daily glue July'!$H$45</f>
        <v>4.6386138613861384E-3</v>
      </c>
    </row>
    <row r="43" spans="2:20" ht="15.75">
      <c r="B43" s="92">
        <v>46224</v>
      </c>
      <c r="C43" s="177">
        <v>17</v>
      </c>
      <c r="D43" s="30" t="s">
        <v>59</v>
      </c>
      <c r="E43" s="404"/>
      <c r="F43" s="39">
        <f>[3]Jul!$N104</f>
        <v>238</v>
      </c>
      <c r="G43" s="55">
        <v>1461</v>
      </c>
      <c r="H43" s="54">
        <f t="shared" si="11"/>
        <v>51.998022738507167</v>
      </c>
      <c r="I43" s="69"/>
      <c r="J43" s="54">
        <f>1500*0.066</f>
        <v>99</v>
      </c>
      <c r="K43" s="54">
        <f t="shared" ref="K43:K44" si="14">(G43)*0.066</f>
        <v>96.426000000000002</v>
      </c>
      <c r="L43" s="54">
        <f t="shared" si="12"/>
        <v>2.5739999999999981</v>
      </c>
      <c r="M43" s="55">
        <f>[3]Jul!$AD43</f>
        <v>258</v>
      </c>
      <c r="N43" s="55">
        <v>11</v>
      </c>
      <c r="O43" s="55"/>
      <c r="P43" s="51">
        <f t="shared" si="13"/>
        <v>2.5999999999999983</v>
      </c>
      <c r="Q43" s="38">
        <f>G43/(E41/60)</f>
        <v>60.875</v>
      </c>
      <c r="R43" s="16"/>
      <c r="S43" s="339">
        <f>'[4]Daily glue July'!$H$46</f>
        <v>5.8452900810979412E-3</v>
      </c>
    </row>
    <row r="44" spans="2:20" ht="15.75">
      <c r="B44" s="92">
        <v>46225</v>
      </c>
      <c r="C44" s="177">
        <v>18</v>
      </c>
      <c r="D44" s="30" t="s">
        <v>59</v>
      </c>
      <c r="E44" s="402">
        <v>1427</v>
      </c>
      <c r="F44" s="39">
        <f>[3]Jul!$N105</f>
        <v>539</v>
      </c>
      <c r="G44" s="55">
        <v>3069</v>
      </c>
      <c r="H44" s="54">
        <f t="shared" si="11"/>
        <v>48.230492196878757</v>
      </c>
      <c r="I44" s="69"/>
      <c r="J44" s="54">
        <f>3258*0.066</f>
        <v>215.02800000000002</v>
      </c>
      <c r="K44" s="54">
        <f t="shared" si="14"/>
        <v>202.554</v>
      </c>
      <c r="L44" s="54">
        <f t="shared" si="12"/>
        <v>12.474000000000018</v>
      </c>
      <c r="M44" s="55">
        <f>[3]Jul!$AD44</f>
        <v>215</v>
      </c>
      <c r="N44" s="55"/>
      <c r="O44" s="55"/>
      <c r="P44" s="51">
        <f t="shared" si="13"/>
        <v>5.8011049723756987</v>
      </c>
      <c r="Q44" s="38">
        <f>G44/(E44/60)</f>
        <v>129.03994393833216</v>
      </c>
      <c r="R44" s="16"/>
      <c r="S44" s="339">
        <f>'[4]Daily glue July'!$H$47</f>
        <v>4.3928738865447719E-3</v>
      </c>
    </row>
    <row r="45" spans="2:20" ht="15.75" customHeight="1">
      <c r="B45" s="92">
        <v>46225</v>
      </c>
      <c r="C45" s="177">
        <v>18</v>
      </c>
      <c r="D45" s="30" t="s">
        <v>147</v>
      </c>
      <c r="E45" s="404"/>
      <c r="F45" s="39">
        <f>[3]Jul!$N106</f>
        <v>0</v>
      </c>
      <c r="G45" s="55">
        <v>0</v>
      </c>
      <c r="H45" s="54" t="e">
        <f t="shared" si="0"/>
        <v>#DIV/0!</v>
      </c>
      <c r="I45" s="69"/>
      <c r="J45" s="54"/>
      <c r="K45" s="54">
        <f t="shared" si="5"/>
        <v>0</v>
      </c>
      <c r="L45" s="54">
        <f t="shared" si="4"/>
        <v>0</v>
      </c>
      <c r="M45" s="55">
        <f>[3]Jul!$AD45</f>
        <v>760</v>
      </c>
      <c r="N45" s="55">
        <f>8+4</f>
        <v>12</v>
      </c>
      <c r="O45" s="55"/>
      <c r="P45" s="51" t="e">
        <f t="shared" si="8"/>
        <v>#DIV/0!</v>
      </c>
      <c r="Q45" s="38">
        <f>G45/(E44/60)</f>
        <v>0</v>
      </c>
      <c r="R45" s="33"/>
      <c r="S45" s="339"/>
    </row>
    <row r="46" spans="2:20" ht="15.75" customHeight="1">
      <c r="B46" s="92">
        <v>46226</v>
      </c>
      <c r="C46" s="177">
        <v>19</v>
      </c>
      <c r="D46" s="30" t="s">
        <v>147</v>
      </c>
      <c r="E46" s="402">
        <v>1440</v>
      </c>
      <c r="F46" s="39">
        <f>[3]Jul!$N107</f>
        <v>194</v>
      </c>
      <c r="G46" s="55">
        <v>2605</v>
      </c>
      <c r="H46" s="54">
        <f t="shared" si="0"/>
        <v>113.74166161309884</v>
      </c>
      <c r="I46" s="69">
        <v>26.14</v>
      </c>
      <c r="J46" s="54">
        <f>SUM(89,89.7)</f>
        <v>178.7</v>
      </c>
      <c r="K46" s="54">
        <f t="shared" si="5"/>
        <v>171.93</v>
      </c>
      <c r="L46" s="54">
        <f t="shared" si="4"/>
        <v>6.7699999999999818</v>
      </c>
      <c r="M46" s="55">
        <f>[3]Jul!$AD46</f>
        <v>748</v>
      </c>
      <c r="N46" s="55">
        <v>3</v>
      </c>
      <c r="O46" s="55"/>
      <c r="P46" s="51">
        <f t="shared" si="8"/>
        <v>3.7884722999440306</v>
      </c>
      <c r="Q46" s="38">
        <f t="shared" ref="Q46:Q53" si="15">G46/(E44/60)</f>
        <v>109.53048353188507</v>
      </c>
      <c r="R46" s="33"/>
      <c r="S46" s="339">
        <f>'[4]Daily glue July'!$H$52</f>
        <v>1.0708571428571428E-2</v>
      </c>
    </row>
    <row r="47" spans="2:20" ht="15.75" customHeight="1">
      <c r="B47" s="92">
        <v>46226</v>
      </c>
      <c r="C47" s="177">
        <v>19</v>
      </c>
      <c r="D47" s="30" t="s">
        <v>148</v>
      </c>
      <c r="E47" s="404"/>
      <c r="F47" s="39">
        <f>[3]Jul!$N108</f>
        <v>297</v>
      </c>
      <c r="G47" s="187">
        <v>1316</v>
      </c>
      <c r="H47" s="54">
        <f t="shared" si="0"/>
        <v>37.532976827094473</v>
      </c>
      <c r="I47" s="69"/>
      <c r="J47" s="54">
        <v>90.8</v>
      </c>
      <c r="K47" s="54">
        <f t="shared" si="5"/>
        <v>86.856000000000009</v>
      </c>
      <c r="L47" s="54">
        <f t="shared" si="4"/>
        <v>3.9439999999999884</v>
      </c>
      <c r="M47" s="55">
        <f>[3]Jul!$AD47</f>
        <v>220</v>
      </c>
      <c r="N47" s="55"/>
      <c r="O47" s="55"/>
      <c r="P47" s="51">
        <f t="shared" si="8"/>
        <v>4.3436123348017492</v>
      </c>
      <c r="Q47" s="38">
        <f>G47/(E46/60)</f>
        <v>54.833333333333336</v>
      </c>
      <c r="R47" s="33"/>
      <c r="S47" s="339"/>
    </row>
    <row r="48" spans="2:20" ht="15.75" customHeight="1">
      <c r="B48" s="92">
        <v>46227</v>
      </c>
      <c r="C48" s="177">
        <v>20</v>
      </c>
      <c r="D48" s="30" t="s">
        <v>148</v>
      </c>
      <c r="E48" s="402">
        <v>1260</v>
      </c>
      <c r="F48" s="39">
        <f>[3]Jul!$N109</f>
        <v>305</v>
      </c>
      <c r="G48" s="55">
        <v>1392</v>
      </c>
      <c r="H48" s="54">
        <f t="shared" si="0"/>
        <v>38.659209257473478</v>
      </c>
      <c r="I48" s="69"/>
      <c r="J48" s="54">
        <f>SUM(95)</f>
        <v>95</v>
      </c>
      <c r="K48" s="54">
        <f t="shared" si="5"/>
        <v>91.872</v>
      </c>
      <c r="L48" s="54">
        <f t="shared" si="4"/>
        <v>3.1280000000000001</v>
      </c>
      <c r="M48" s="55">
        <f>[3]Jul!$AD48</f>
        <v>872</v>
      </c>
      <c r="N48" s="55">
        <f>20+13+12</f>
        <v>45</v>
      </c>
      <c r="O48" s="55"/>
      <c r="P48" s="51">
        <f>(J48-K48)/J48*100</f>
        <v>3.2926315789473684</v>
      </c>
      <c r="Q48" s="38">
        <f>G48/(E46/60)</f>
        <v>58</v>
      </c>
      <c r="R48" s="16"/>
      <c r="S48" s="339">
        <f>'[4]Daily glue July'!$H$55</f>
        <v>1.009698275862069E-2</v>
      </c>
    </row>
    <row r="49" spans="1:24" ht="15.75" customHeight="1">
      <c r="B49" s="92">
        <v>46227</v>
      </c>
      <c r="C49" s="177">
        <v>20</v>
      </c>
      <c r="D49" s="30" t="s">
        <v>45</v>
      </c>
      <c r="E49" s="404"/>
      <c r="F49" s="39">
        <f>[3]Jul!$N110</f>
        <v>0</v>
      </c>
      <c r="G49" s="55">
        <v>0</v>
      </c>
      <c r="H49" s="54" t="e">
        <f t="shared" si="0"/>
        <v>#DIV/0!</v>
      </c>
      <c r="I49" s="69"/>
      <c r="J49" s="54">
        <v>0</v>
      </c>
      <c r="K49" s="54">
        <f t="shared" si="5"/>
        <v>0</v>
      </c>
      <c r="L49" s="54">
        <f t="shared" si="4"/>
        <v>0</v>
      </c>
      <c r="M49" s="55">
        <f>[3]Jul!$AD49</f>
        <v>170</v>
      </c>
      <c r="N49" s="55"/>
      <c r="O49" s="55"/>
      <c r="P49" s="51" t="e">
        <f>(J49-K49)/J49*100</f>
        <v>#DIV/0!</v>
      </c>
      <c r="Q49" s="38">
        <f>G49/(E48/60)</f>
        <v>0</v>
      </c>
      <c r="R49" s="16"/>
      <c r="S49" s="339"/>
    </row>
    <row r="50" spans="1:24" s="234" customFormat="1" ht="15.75" customHeight="1">
      <c r="A50"/>
      <c r="B50" s="92">
        <v>46230</v>
      </c>
      <c r="C50" s="177">
        <v>21</v>
      </c>
      <c r="D50" s="30" t="s">
        <v>45</v>
      </c>
      <c r="E50" s="48">
        <v>1380</v>
      </c>
      <c r="F50" s="39">
        <f>[3]Jul!$N111</f>
        <v>1050</v>
      </c>
      <c r="G50" s="55">
        <v>5545</v>
      </c>
      <c r="H50" s="54">
        <f t="shared" si="0"/>
        <v>44.732773109243695</v>
      </c>
      <c r="I50" s="69">
        <f>15+2</f>
        <v>17</v>
      </c>
      <c r="J50" s="54">
        <f>SUM(99.6,100,99.7,98.5,100)-96.2-1-11-15</f>
        <v>374.6</v>
      </c>
      <c r="K50" s="54">
        <f>(G50)*0.066+(44*0.19)</f>
        <v>374.33000000000004</v>
      </c>
      <c r="L50" s="54">
        <f t="shared" si="4"/>
        <v>0.26999999999998181</v>
      </c>
      <c r="M50" s="55">
        <f>[3]Jul!$AD50</f>
        <v>701</v>
      </c>
      <c r="N50" s="55">
        <f>20+26</f>
        <v>46</v>
      </c>
      <c r="O50" s="55">
        <v>44</v>
      </c>
      <c r="P50" s="51">
        <f t="shared" ref="P50:P59" si="16">(J50-K50)/J50*100</f>
        <v>7.2076882007469784E-2</v>
      </c>
      <c r="Q50" s="38">
        <f>G50/(E50/60)</f>
        <v>241.08695652173913</v>
      </c>
      <c r="R50" s="16"/>
      <c r="S50" s="339">
        <f>'[4]Daily glue July'!$H$56</f>
        <v>2.0915178571428571E-2</v>
      </c>
      <c r="T50"/>
      <c r="U50"/>
      <c r="V50"/>
      <c r="W50"/>
      <c r="X50"/>
    </row>
    <row r="51" spans="1:24" s="234" customFormat="1" ht="15.75" customHeight="1">
      <c r="A51"/>
      <c r="B51" s="92">
        <v>46231</v>
      </c>
      <c r="C51" s="177">
        <v>22</v>
      </c>
      <c r="D51" s="30" t="s">
        <v>45</v>
      </c>
      <c r="E51" s="402">
        <v>1431</v>
      </c>
      <c r="F51" s="39">
        <f>[3]Jul!$N112</f>
        <v>732</v>
      </c>
      <c r="G51" s="55">
        <v>5914</v>
      </c>
      <c r="H51" s="54">
        <f t="shared" si="0"/>
        <v>68.435872709739641</v>
      </c>
      <c r="I51" s="69"/>
      <c r="J51" s="428">
        <f>SUM(96.2,1,102,98,95.5,97.8,90,90)-20.7</f>
        <v>649.79999999999995</v>
      </c>
      <c r="K51" s="428">
        <f>(G51+G52)*0.066</f>
        <v>642.048</v>
      </c>
      <c r="L51" s="54">
        <f t="shared" si="4"/>
        <v>7.7519999999999527</v>
      </c>
      <c r="M51" s="55">
        <f>[3]Jul!$AD51</f>
        <v>137</v>
      </c>
      <c r="N51" s="406">
        <f>7+2+18</f>
        <v>27</v>
      </c>
      <c r="O51" s="55"/>
      <c r="P51" s="428">
        <f t="shared" si="16"/>
        <v>1.1929824561403437</v>
      </c>
      <c r="Q51" s="38">
        <f>G51/(E51/60)</f>
        <v>247.96645702306077</v>
      </c>
      <c r="R51" s="16"/>
      <c r="S51" s="339">
        <f>SUM('[4]Daily glue July'!$H$59:$H$60)</f>
        <v>1.0684273676348815E-2</v>
      </c>
      <c r="T51"/>
      <c r="U51"/>
      <c r="V51"/>
      <c r="W51"/>
      <c r="X51"/>
    </row>
    <row r="52" spans="1:24" ht="15.75" customHeight="1">
      <c r="B52" s="92">
        <v>46231</v>
      </c>
      <c r="C52" s="177">
        <v>22</v>
      </c>
      <c r="D52" s="30" t="s">
        <v>149</v>
      </c>
      <c r="E52" s="404"/>
      <c r="F52" s="39">
        <f>[3]Jul!$N113</f>
        <v>652</v>
      </c>
      <c r="G52" s="55">
        <v>3814</v>
      </c>
      <c r="H52" s="54">
        <f t="shared" si="0"/>
        <v>49.550342836521111</v>
      </c>
      <c r="I52" s="69"/>
      <c r="J52" s="428"/>
      <c r="K52" s="428"/>
      <c r="L52" s="54">
        <f t="shared" si="4"/>
        <v>0</v>
      </c>
      <c r="M52" s="55">
        <f>[3]Jul!$AD52</f>
        <v>165</v>
      </c>
      <c r="N52" s="406"/>
      <c r="O52" s="55"/>
      <c r="P52" s="428"/>
      <c r="Q52" s="38">
        <f>G52/(E51/60)</f>
        <v>159.91614255765199</v>
      </c>
      <c r="R52" s="16"/>
      <c r="S52" s="339">
        <f>'[4]Daily glue July'!$H$61</f>
        <v>1.0411111111111111E-2</v>
      </c>
    </row>
    <row r="53" spans="1:24" ht="15.75" customHeight="1">
      <c r="B53" s="92">
        <v>46232</v>
      </c>
      <c r="C53" s="177">
        <v>23</v>
      </c>
      <c r="D53" s="30" t="s">
        <v>149</v>
      </c>
      <c r="E53" s="402">
        <v>1430</v>
      </c>
      <c r="F53" s="39">
        <f>[3]Jul!$N114</f>
        <v>110</v>
      </c>
      <c r="G53" s="55">
        <v>787</v>
      </c>
      <c r="H53" s="54">
        <f t="shared" si="0"/>
        <v>60.603208556149745</v>
      </c>
      <c r="I53" s="69"/>
      <c r="J53" s="428">
        <f>SUM(20.7,80)</f>
        <v>100.7</v>
      </c>
      <c r="K53" s="428">
        <f>(G53+G54)*0.066</f>
        <v>99.198000000000008</v>
      </c>
      <c r="L53" s="428">
        <f t="shared" si="4"/>
        <v>1.5019999999999953</v>
      </c>
      <c r="M53" s="55">
        <f>[3]Jul!$AD53</f>
        <v>32</v>
      </c>
      <c r="N53" s="406">
        <v>10</v>
      </c>
      <c r="O53" s="55"/>
      <c r="P53" s="428">
        <f t="shared" si="16"/>
        <v>1.4915590863952288</v>
      </c>
      <c r="Q53" s="38">
        <f t="shared" si="15"/>
        <v>32.9979035639413</v>
      </c>
      <c r="R53" s="16"/>
      <c r="S53" s="339">
        <f>'[4]Daily glue July'!$H$62</f>
        <v>6.2341982701264132E-3</v>
      </c>
    </row>
    <row r="54" spans="1:24" ht="15.75">
      <c r="B54" s="92">
        <v>46232</v>
      </c>
      <c r="C54" s="177">
        <v>23</v>
      </c>
      <c r="D54" s="30" t="s">
        <v>62</v>
      </c>
      <c r="E54" s="403"/>
      <c r="F54" s="39">
        <f>[3]Jul!$N115</f>
        <v>135</v>
      </c>
      <c r="G54" s="55">
        <v>716</v>
      </c>
      <c r="H54" s="54">
        <f t="shared" si="0"/>
        <v>44.925490196078428</v>
      </c>
      <c r="I54" s="38"/>
      <c r="J54" s="428"/>
      <c r="K54" s="428"/>
      <c r="L54" s="428"/>
      <c r="M54" s="55">
        <f>[3]Jul!$AD54</f>
        <v>115</v>
      </c>
      <c r="N54" s="406"/>
      <c r="O54" s="54"/>
      <c r="P54" s="428"/>
      <c r="Q54" s="38">
        <f>G54/(E53/60)</f>
        <v>30.041958041958043</v>
      </c>
      <c r="R54" s="16"/>
      <c r="S54" s="339"/>
    </row>
    <row r="55" spans="1:24" ht="15.75">
      <c r="B55" s="222">
        <v>46232</v>
      </c>
      <c r="C55" s="91">
        <v>23</v>
      </c>
      <c r="D55" s="30" t="s">
        <v>53</v>
      </c>
      <c r="E55" s="404"/>
      <c r="F55" s="39">
        <f>[3]Jul!$N116</f>
        <v>411</v>
      </c>
      <c r="G55" s="55">
        <v>4074</v>
      </c>
      <c r="H55" s="54">
        <f t="shared" si="0"/>
        <v>83.963933018462868</v>
      </c>
      <c r="I55" s="38"/>
      <c r="J55" s="54">
        <f>SUM(94,79,96,100)-79.5</f>
        <v>289.5</v>
      </c>
      <c r="K55" s="54">
        <f>(G55)*0.0708</f>
        <v>288.43920000000003</v>
      </c>
      <c r="L55" s="54">
        <f t="shared" ref="L55" si="17">J55-K55</f>
        <v>1.060799999999972</v>
      </c>
      <c r="M55" s="55">
        <f>[3]Jul!$AD55</f>
        <v>639</v>
      </c>
      <c r="N55" s="55">
        <v>5</v>
      </c>
      <c r="O55" s="54"/>
      <c r="P55" s="51">
        <f t="shared" si="16"/>
        <v>0.36642487046631156</v>
      </c>
      <c r="Q55" s="38">
        <f>G55/(E53/60)</f>
        <v>170.93706293706293</v>
      </c>
      <c r="R55" s="16"/>
      <c r="S55" s="339">
        <f>'[4]Daily glue July'!$H$64</f>
        <v>1.1974440894568689E-2</v>
      </c>
    </row>
    <row r="56" spans="1:24" ht="15.75">
      <c r="B56" s="222">
        <v>46233</v>
      </c>
      <c r="C56" s="91">
        <v>24</v>
      </c>
      <c r="D56" s="30" t="s">
        <v>53</v>
      </c>
      <c r="E56" s="402">
        <v>1434</v>
      </c>
      <c r="F56" s="39">
        <f>[3]Jul!$N117</f>
        <v>151</v>
      </c>
      <c r="G56" s="55">
        <v>1196</v>
      </c>
      <c r="H56" s="54">
        <f t="shared" si="0"/>
        <v>67.091546552395783</v>
      </c>
      <c r="I56" s="38"/>
      <c r="J56" s="54">
        <f>79.5+6</f>
        <v>85.5</v>
      </c>
      <c r="K56" s="54">
        <f>(G56)*0.0708</f>
        <v>84.6768</v>
      </c>
      <c r="L56" s="54">
        <f t="shared" ref="L56:L59" si="18">J56-K56</f>
        <v>0.82319999999999993</v>
      </c>
      <c r="M56" s="55">
        <f>[3]Jul!$AD56</f>
        <v>36</v>
      </c>
      <c r="N56" s="55">
        <v>2</v>
      </c>
      <c r="O56" s="54"/>
      <c r="P56" s="51">
        <f t="shared" si="16"/>
        <v>0.96280701754385944</v>
      </c>
      <c r="Q56" s="38">
        <f>G56/(E56/60)</f>
        <v>50.0418410041841</v>
      </c>
      <c r="R56" s="16"/>
      <c r="S56" s="339">
        <f>'[4]Daily glue July'!$H$65</f>
        <v>4.3785046728971955E-3</v>
      </c>
    </row>
    <row r="57" spans="1:24" ht="15.75">
      <c r="B57" s="222">
        <v>46233</v>
      </c>
      <c r="C57" s="91">
        <v>24</v>
      </c>
      <c r="D57" s="30" t="s">
        <v>27</v>
      </c>
      <c r="E57" s="403"/>
      <c r="F57" s="39">
        <f>[3]Jul!$N118</f>
        <v>795</v>
      </c>
      <c r="G57" s="55">
        <v>7317</v>
      </c>
      <c r="H57" s="54">
        <f t="shared" si="0"/>
        <v>77.961376248612652</v>
      </c>
      <c r="I57" s="38"/>
      <c r="J57" s="54">
        <f>SUM(98.7,97,97,98,98)</f>
        <v>488.7</v>
      </c>
      <c r="K57" s="54">
        <f t="shared" ref="K57:K58" si="19">(G57)*0.066</f>
        <v>482.92200000000003</v>
      </c>
      <c r="L57" s="54">
        <f t="shared" si="18"/>
        <v>5.7779999999999632</v>
      </c>
      <c r="M57" s="55">
        <f>[3]Jul!$AD57</f>
        <v>367</v>
      </c>
      <c r="N57" s="55">
        <f>3+2+5</f>
        <v>10</v>
      </c>
      <c r="O57" s="54"/>
      <c r="P57" s="51">
        <f t="shared" si="16"/>
        <v>1.1823204419889428</v>
      </c>
      <c r="Q57" s="38">
        <f>G57/(E56/60)</f>
        <v>306.15062761506277</v>
      </c>
      <c r="R57" s="16"/>
      <c r="S57" s="339">
        <f>'[4]Daily glue July'!$H$67</f>
        <v>5.8709273182957385E-3</v>
      </c>
    </row>
    <row r="58" spans="1:24" ht="15.75">
      <c r="B58" s="222">
        <v>46233</v>
      </c>
      <c r="C58" s="91">
        <v>24</v>
      </c>
      <c r="D58" s="30" t="s">
        <v>146</v>
      </c>
      <c r="E58" s="404"/>
      <c r="F58" s="39">
        <f>[3]Jul!$N119</f>
        <v>81</v>
      </c>
      <c r="G58" s="55">
        <v>595</v>
      </c>
      <c r="H58" s="54">
        <f t="shared" si="0"/>
        <v>62.222222222222221</v>
      </c>
      <c r="I58" s="38"/>
      <c r="J58" s="54">
        <f>SUM(95.6)-56.1</f>
        <v>39.499999999999993</v>
      </c>
      <c r="K58" s="54">
        <f t="shared" si="19"/>
        <v>39.270000000000003</v>
      </c>
      <c r="L58" s="54">
        <f t="shared" si="18"/>
        <v>0.22999999999998977</v>
      </c>
      <c r="M58" s="55">
        <f>[3]Jul!$AD58</f>
        <v>97</v>
      </c>
      <c r="N58" s="55"/>
      <c r="O58" s="54"/>
      <c r="P58" s="51">
        <f t="shared" si="16"/>
        <v>0.58227848101263247</v>
      </c>
      <c r="Q58" s="38">
        <f>G58/(E56/60)</f>
        <v>24.89539748953975</v>
      </c>
      <c r="R58" s="16"/>
      <c r="S58" s="343"/>
    </row>
    <row r="59" spans="1:24" ht="16.5" thickBot="1">
      <c r="B59" s="222">
        <v>46234</v>
      </c>
      <c r="C59" s="91">
        <v>25</v>
      </c>
      <c r="D59" s="30" t="s">
        <v>45</v>
      </c>
      <c r="E59" s="374">
        <v>1250</v>
      </c>
      <c r="F59" s="39">
        <f>[3]Jul!$N120</f>
        <v>945</v>
      </c>
      <c r="G59" s="55">
        <v>7553</v>
      </c>
      <c r="H59" s="54">
        <f t="shared" si="0"/>
        <v>67.701960784313727</v>
      </c>
      <c r="I59" s="38"/>
      <c r="J59" s="184">
        <f>SUM(56.1,77,73.5,97.6,77.4,70,56)</f>
        <v>507.6</v>
      </c>
      <c r="K59" s="54">
        <f>(G59)*0.066</f>
        <v>498.49800000000005</v>
      </c>
      <c r="L59" s="54">
        <f t="shared" si="18"/>
        <v>9.1019999999999754</v>
      </c>
      <c r="M59" s="55">
        <f>[3]Jul!$AD59</f>
        <v>265</v>
      </c>
      <c r="N59" s="55">
        <f>4+7+3</f>
        <v>14</v>
      </c>
      <c r="O59" s="54"/>
      <c r="P59" s="366">
        <f t="shared" si="16"/>
        <v>1.7931442080378204</v>
      </c>
      <c r="Q59" s="38">
        <f>G59/(E59/60)</f>
        <v>362.54400000000004</v>
      </c>
      <c r="R59" s="16"/>
      <c r="S59" s="339">
        <f>'[4]Daily glue July'!$H$70</f>
        <v>8.2120946538124448E-3</v>
      </c>
    </row>
    <row r="60" spans="1:24" ht="17.25" thickTop="1" thickBot="1">
      <c r="B60" s="223"/>
      <c r="C60" s="223"/>
      <c r="D60" s="31"/>
      <c r="E60" s="23">
        <f>SUM(E8:E59)</f>
        <v>31651</v>
      </c>
      <c r="F60" s="23">
        <f>SUM(F8:F59)</f>
        <v>21462</v>
      </c>
      <c r="G60" s="15">
        <f>SUM(G8:G59)</f>
        <v>135578</v>
      </c>
      <c r="H60" s="13">
        <f>(G60)*24/(F60/60)/17000*100</f>
        <v>53.509710733608514</v>
      </c>
      <c r="I60" s="14">
        <f>SUM(I8:I59)</f>
        <v>158.94</v>
      </c>
      <c r="J60" s="13">
        <f>SUM(J8:J59)</f>
        <v>9161.9</v>
      </c>
      <c r="K60" s="13">
        <f>SUM(K8:K59)</f>
        <v>9006.6824000000015</v>
      </c>
      <c r="L60" s="52">
        <f>J60-K60</f>
        <v>155.21759999999813</v>
      </c>
      <c r="M60" s="14">
        <f>SUM(M8:M59)</f>
        <v>15871</v>
      </c>
      <c r="N60" s="14"/>
      <c r="O60" s="14">
        <f>SUM(O8:O59)</f>
        <v>44</v>
      </c>
      <c r="P60" s="25">
        <f>(J60-K60)/J60</f>
        <v>1.6941638743055275E-2</v>
      </c>
      <c r="Q60" s="14">
        <f>G60/(E60/60)</f>
        <v>257.01178477773215</v>
      </c>
      <c r="R60" s="375">
        <f>(January_2026!G63+February_2026!G60+March_2026!G60+'April_2026 '!G52+May_2026!G61+June_2026!G57+G60)/((January_2026!E63+February_2026!E60+March_2026!E60+'April_2026 '!E52+May_2026!F61+June_2026!F57+E60)/60)</f>
        <v>285.79208665563408</v>
      </c>
      <c r="S60" s="376">
        <f>SUM(S8:S59)</f>
        <v>0.54449365156940421</v>
      </c>
    </row>
    <row r="61" spans="1:24" ht="17.25" thickTop="1" thickBot="1">
      <c r="B61" s="1"/>
      <c r="C61" s="1"/>
      <c r="D61" s="32"/>
      <c r="G61" s="1"/>
      <c r="H61" s="1"/>
      <c r="L61" s="19"/>
      <c r="M61" s="19"/>
      <c r="N61" s="41" t="s">
        <v>23</v>
      </c>
      <c r="O61" s="19"/>
      <c r="Q61" s="5"/>
    </row>
    <row r="62" spans="1:24" ht="21" thickTop="1" thickBot="1">
      <c r="B62" s="1"/>
      <c r="C62" s="1"/>
      <c r="D62" s="32"/>
      <c r="G62" s="62"/>
      <c r="H62" s="1"/>
      <c r="K62" s="46" t="s">
        <v>36</v>
      </c>
      <c r="L62" s="15">
        <f>G60+(O60*2.75)</f>
        <v>135699</v>
      </c>
      <c r="M62" s="19"/>
      <c r="N62" s="41" t="s">
        <v>31</v>
      </c>
      <c r="O62" s="87">
        <f>O60*2.75</f>
        <v>121</v>
      </c>
      <c r="P62" s="40"/>
      <c r="Q62" s="5"/>
    </row>
    <row r="63" spans="1:24" ht="16.5" thickTop="1">
      <c r="B63" s="1"/>
      <c r="C63" s="1"/>
      <c r="D63" s="32"/>
      <c r="G63" s="1"/>
      <c r="H63" s="7"/>
      <c r="L63" s="19"/>
      <c r="M63" s="19"/>
      <c r="N63" s="19"/>
      <c r="O63" s="19"/>
      <c r="Q63" s="5"/>
    </row>
    <row r="64" spans="1:24" ht="15.75">
      <c r="B64" s="1"/>
      <c r="C64" s="1"/>
      <c r="D64" s="32"/>
      <c r="G64" s="1"/>
      <c r="H64" s="1"/>
      <c r="L64" s="19"/>
      <c r="M64" s="19"/>
      <c r="N64" s="19"/>
      <c r="O64" s="19"/>
      <c r="Q64" s="5"/>
    </row>
    <row r="65" spans="2:19" ht="15.75">
      <c r="B65" s="1"/>
      <c r="C65" s="1"/>
      <c r="D65" s="32"/>
      <c r="G65" s="1"/>
      <c r="H65" s="1"/>
      <c r="L65" s="19"/>
      <c r="M65" s="19"/>
      <c r="N65" s="19" t="s">
        <v>27</v>
      </c>
      <c r="O65" s="19">
        <f>O10+O27+O36+O44</f>
        <v>0</v>
      </c>
      <c r="Q65" s="70"/>
      <c r="R65" s="19"/>
    </row>
    <row r="66" spans="2:19" ht="15.75">
      <c r="B66" s="1"/>
      <c r="C66" s="1"/>
      <c r="D66" s="32"/>
      <c r="G66" s="90" t="s">
        <v>39</v>
      </c>
      <c r="H66" s="220">
        <f>June_2026!H65+L62</f>
        <v>780200.25</v>
      </c>
      <c r="I66" s="220">
        <f>June_2026!I65+G60</f>
        <v>776958</v>
      </c>
      <c r="L66" s="19"/>
      <c r="M66" s="19"/>
      <c r="N66" s="19" t="s">
        <v>42</v>
      </c>
      <c r="O66" s="19">
        <f>O39</f>
        <v>0</v>
      </c>
      <c r="Q66" s="5"/>
    </row>
    <row r="67" spans="2:19" ht="16.5" thickBot="1">
      <c r="B67" s="1"/>
      <c r="C67" s="1"/>
      <c r="D67" s="32"/>
      <c r="G67" s="1"/>
      <c r="H67" s="221" t="s">
        <v>40</v>
      </c>
      <c r="I67" s="221" t="s">
        <v>41</v>
      </c>
      <c r="L67" s="19"/>
      <c r="M67" s="19"/>
      <c r="N67" s="19" t="s">
        <v>30</v>
      </c>
      <c r="O67" s="19">
        <f>O9+O19+O25</f>
        <v>0</v>
      </c>
      <c r="Q67" s="5"/>
    </row>
    <row r="68" spans="2:19" ht="17.25" thickTop="1" thickBot="1">
      <c r="B68" s="1"/>
      <c r="C68" s="1"/>
      <c r="D68" s="32"/>
      <c r="G68" s="1"/>
      <c r="H68" s="1"/>
      <c r="L68" s="19"/>
      <c r="M68" s="19"/>
      <c r="N68" s="19"/>
      <c r="O68" s="19">
        <f>SUM(O65:O67)</f>
        <v>0</v>
      </c>
      <c r="Q68" s="5"/>
      <c r="S68" s="14" t="e">
        <f>G68/(F68/60)</f>
        <v>#DIV/0!</v>
      </c>
    </row>
    <row r="69" spans="2:19" ht="16.5" thickTop="1">
      <c r="B69" s="1"/>
      <c r="C69" s="1"/>
      <c r="D69" s="32"/>
      <c r="G69" s="1"/>
      <c r="H69" s="1"/>
      <c r="L69" s="19"/>
      <c r="M69" s="19"/>
      <c r="N69" s="19"/>
      <c r="O69" s="19"/>
      <c r="Q69" s="5"/>
    </row>
    <row r="70" spans="2:19" ht="15.75">
      <c r="B70" s="1"/>
      <c r="C70" s="1"/>
      <c r="D70" s="32"/>
      <c r="G70" s="1"/>
      <c r="H70" s="1"/>
      <c r="L70" s="19"/>
      <c r="M70" s="19"/>
      <c r="N70" s="19"/>
      <c r="O70" s="19"/>
      <c r="Q70" s="5"/>
    </row>
    <row r="71" spans="2:19" ht="15.75">
      <c r="B71" s="1"/>
      <c r="C71" s="1"/>
      <c r="D71" s="32"/>
      <c r="G71" s="1"/>
      <c r="H71" s="1"/>
      <c r="L71" s="19"/>
      <c r="M71" s="19"/>
      <c r="N71" s="19"/>
      <c r="O71" s="19"/>
      <c r="Q71" s="5"/>
    </row>
    <row r="72" spans="2:19" ht="15.75">
      <c r="B72" s="1"/>
      <c r="C72" s="1"/>
      <c r="D72" s="32"/>
      <c r="G72" s="1"/>
      <c r="H72" s="1"/>
      <c r="L72" s="19"/>
      <c r="M72" s="19"/>
      <c r="N72" s="19"/>
      <c r="O72" s="19"/>
      <c r="Q72" s="5"/>
    </row>
    <row r="73" spans="2:19" ht="15.75">
      <c r="B73" s="1"/>
      <c r="C73" s="1"/>
      <c r="D73" s="32"/>
      <c r="G73" s="1"/>
      <c r="H73" s="1"/>
      <c r="L73" s="19"/>
      <c r="M73" s="19"/>
      <c r="N73" s="19"/>
      <c r="O73" s="19"/>
      <c r="Q73" s="5"/>
    </row>
    <row r="74" spans="2:19" ht="15.75">
      <c r="B74" s="1"/>
      <c r="C74" s="1"/>
      <c r="D74" s="32"/>
      <c r="G74" s="1"/>
      <c r="H74" s="1"/>
      <c r="L74" s="19"/>
      <c r="M74" s="19"/>
      <c r="N74" s="19"/>
      <c r="O74" s="19"/>
      <c r="Q74" s="5"/>
    </row>
    <row r="75" spans="2:19" ht="15.75">
      <c r="B75" s="1"/>
      <c r="C75" s="1"/>
      <c r="D75" s="32"/>
      <c r="G75" s="1"/>
      <c r="H75" s="1"/>
      <c r="L75" s="19"/>
      <c r="M75" s="19"/>
      <c r="N75" s="19"/>
      <c r="O75" s="19"/>
      <c r="Q75" s="5"/>
    </row>
    <row r="76" spans="2:19">
      <c r="B76" s="1"/>
      <c r="C76" s="1"/>
      <c r="D76" s="32"/>
      <c r="G76" s="1"/>
      <c r="H76" s="1"/>
      <c r="N76" s="7"/>
      <c r="O76" s="7"/>
      <c r="Q76" s="5"/>
    </row>
    <row r="77" spans="2:19">
      <c r="B77" s="1"/>
      <c r="C77" s="1"/>
      <c r="D77" s="32"/>
      <c r="G77" s="1"/>
      <c r="H77" s="1"/>
      <c r="N77" s="7"/>
      <c r="O77" s="7"/>
      <c r="Q77" s="5"/>
    </row>
    <row r="78" spans="2:19">
      <c r="B78" s="1"/>
      <c r="C78" s="1"/>
      <c r="D78" s="32"/>
      <c r="G78" s="1"/>
      <c r="H78" s="1"/>
      <c r="N78" s="7"/>
      <c r="O78" s="7"/>
      <c r="Q78" s="5"/>
    </row>
    <row r="79" spans="2:19">
      <c r="B79" s="1"/>
      <c r="C79" s="1"/>
      <c r="D79" s="32"/>
      <c r="G79" s="1"/>
      <c r="H79" s="1"/>
      <c r="N79" s="7"/>
      <c r="O79" s="7"/>
      <c r="Q79" s="5"/>
    </row>
    <row r="80" spans="2:19">
      <c r="B80" s="1"/>
      <c r="C80" s="1"/>
      <c r="D80" s="32"/>
      <c r="G80" s="1"/>
      <c r="H80" s="1"/>
      <c r="N80" s="7"/>
      <c r="O80" s="7"/>
      <c r="Q80" s="5"/>
    </row>
    <row r="81" spans="2:17">
      <c r="B81" s="1"/>
      <c r="C81" s="1"/>
      <c r="D81" s="32"/>
      <c r="G81" s="1"/>
      <c r="H81" s="1"/>
      <c r="N81" s="7"/>
      <c r="O81" s="7"/>
      <c r="Q81" s="5"/>
    </row>
    <row r="82" spans="2:17">
      <c r="B82" s="1"/>
      <c r="C82" s="1"/>
      <c r="D82" s="32"/>
      <c r="G82" s="1"/>
      <c r="H82" s="1"/>
      <c r="N82" s="7"/>
      <c r="O82" s="7"/>
      <c r="Q82" s="5"/>
    </row>
    <row r="83" spans="2:17">
      <c r="B83" s="1"/>
      <c r="C83" s="1"/>
      <c r="D83" s="32"/>
      <c r="G83" s="1"/>
      <c r="H83" s="1"/>
      <c r="N83" s="7"/>
      <c r="O83" s="7"/>
      <c r="Q83" s="5"/>
    </row>
    <row r="84" spans="2:17">
      <c r="B84" s="1"/>
      <c r="C84" s="1"/>
      <c r="D84" s="32"/>
      <c r="G84" s="1"/>
      <c r="H84" s="1"/>
      <c r="N84" s="7"/>
      <c r="O84" s="7"/>
      <c r="Q84" s="5"/>
    </row>
    <row r="85" spans="2:17">
      <c r="B85" s="1"/>
      <c r="C85" s="1"/>
      <c r="D85" s="32"/>
      <c r="G85" s="1"/>
      <c r="H85" s="1"/>
      <c r="N85" s="7"/>
      <c r="O85" s="7"/>
      <c r="Q85" s="5"/>
    </row>
    <row r="86" spans="2:17">
      <c r="B86" s="1"/>
      <c r="C86" s="1"/>
      <c r="D86" s="32"/>
      <c r="G86" s="1"/>
      <c r="H86" s="1"/>
      <c r="N86" s="7"/>
      <c r="O86" s="7"/>
      <c r="Q86" s="5"/>
    </row>
    <row r="87" spans="2:17">
      <c r="B87" s="1"/>
      <c r="C87" s="1"/>
      <c r="D87" s="32"/>
      <c r="G87" s="1"/>
      <c r="H87" s="1"/>
      <c r="N87" s="7"/>
      <c r="O87" s="7"/>
      <c r="Q87" s="5"/>
    </row>
    <row r="88" spans="2:17">
      <c r="B88" s="1"/>
      <c r="C88" s="1"/>
      <c r="D88" s="32"/>
      <c r="G88" s="1"/>
      <c r="H88" s="1"/>
      <c r="N88" s="7"/>
      <c r="O88" s="7"/>
      <c r="Q88" s="5"/>
    </row>
    <row r="89" spans="2:17">
      <c r="B89" s="1"/>
      <c r="C89" s="1"/>
      <c r="D89" s="32"/>
      <c r="G89" s="1"/>
      <c r="H89" s="1"/>
      <c r="N89" s="7"/>
      <c r="O89" s="7"/>
      <c r="Q89" s="5"/>
    </row>
    <row r="90" spans="2:17">
      <c r="B90" s="1"/>
      <c r="C90" s="1"/>
      <c r="D90" s="32"/>
      <c r="G90" s="1"/>
      <c r="H90" s="1"/>
      <c r="N90" s="7"/>
      <c r="O90" s="7"/>
      <c r="Q90" s="5"/>
    </row>
    <row r="91" spans="2:17">
      <c r="B91" s="1"/>
      <c r="C91" s="1"/>
      <c r="D91" s="32"/>
      <c r="G91" s="1"/>
      <c r="H91" s="1"/>
      <c r="N91" s="7"/>
      <c r="O91" s="7"/>
      <c r="Q91" s="5"/>
    </row>
    <row r="92" spans="2:17">
      <c r="B92" s="1"/>
      <c r="C92" s="1"/>
      <c r="D92" s="32"/>
      <c r="G92" s="1"/>
      <c r="H92" s="1"/>
      <c r="N92" s="7"/>
      <c r="O92" s="7"/>
      <c r="Q92" s="5"/>
    </row>
    <row r="93" spans="2:17">
      <c r="B93" s="1"/>
      <c r="C93" s="1"/>
      <c r="D93" s="32"/>
      <c r="G93" s="1"/>
      <c r="H93" s="1"/>
      <c r="N93" s="7"/>
      <c r="O93" s="7"/>
      <c r="Q93" s="5"/>
    </row>
    <row r="94" spans="2:17">
      <c r="B94" s="1"/>
      <c r="C94" s="1"/>
      <c r="D94" s="32"/>
      <c r="G94" s="1"/>
      <c r="H94" s="1"/>
      <c r="N94" s="7"/>
      <c r="O94" s="7"/>
      <c r="Q94" s="5"/>
    </row>
    <row r="95" spans="2:17">
      <c r="B95" s="1"/>
      <c r="C95" s="1"/>
      <c r="D95" s="32"/>
      <c r="G95" s="1"/>
      <c r="H95" s="1"/>
      <c r="N95" s="7"/>
      <c r="O95" s="7"/>
      <c r="Q95" s="5"/>
    </row>
    <row r="96" spans="2:17">
      <c r="B96" s="1"/>
      <c r="C96" s="1"/>
      <c r="D96" s="32"/>
      <c r="G96" s="1"/>
      <c r="H96" s="1"/>
      <c r="N96" s="7"/>
      <c r="O96" s="7"/>
      <c r="Q96" s="5"/>
    </row>
    <row r="97" spans="2:17">
      <c r="B97" s="1"/>
      <c r="C97" s="1"/>
      <c r="D97" s="32"/>
      <c r="G97" s="1"/>
      <c r="H97" s="1"/>
      <c r="N97" s="7"/>
      <c r="O97" s="7"/>
      <c r="Q97" s="5"/>
    </row>
    <row r="98" spans="2:17">
      <c r="B98" s="1"/>
      <c r="C98" s="1"/>
      <c r="D98" s="32"/>
      <c r="G98" s="1"/>
      <c r="H98" s="1"/>
      <c r="N98" s="7"/>
      <c r="O98" s="7"/>
      <c r="Q98" s="5"/>
    </row>
    <row r="99" spans="2:17">
      <c r="B99" s="1"/>
      <c r="C99" s="1"/>
      <c r="D99" s="32"/>
      <c r="G99" s="1"/>
      <c r="H99" s="1"/>
      <c r="N99" s="7"/>
      <c r="O99" s="7"/>
      <c r="Q99" s="5"/>
    </row>
    <row r="100" spans="2:17">
      <c r="B100" s="1"/>
      <c r="C100" s="1"/>
      <c r="D100" s="32"/>
      <c r="G100" s="1"/>
      <c r="H100" s="1"/>
      <c r="N100" s="7"/>
      <c r="O100" s="7"/>
      <c r="Q100" s="5"/>
    </row>
    <row r="101" spans="2:17">
      <c r="B101" s="1"/>
      <c r="C101" s="1"/>
      <c r="D101" s="32"/>
      <c r="G101" s="1"/>
      <c r="H101" s="1"/>
      <c r="N101" s="7"/>
      <c r="O101" s="7"/>
      <c r="Q101" s="5"/>
    </row>
    <row r="102" spans="2:17">
      <c r="B102" s="1"/>
      <c r="C102" s="1"/>
      <c r="D102" s="32"/>
      <c r="G102" s="1"/>
      <c r="H102" s="1"/>
      <c r="N102" s="7"/>
      <c r="O102" s="7"/>
      <c r="Q102" s="5"/>
    </row>
    <row r="103" spans="2:17">
      <c r="B103" s="1"/>
      <c r="C103" s="1"/>
      <c r="D103" s="32"/>
      <c r="G103" s="1"/>
      <c r="H103" s="1"/>
      <c r="N103" s="7"/>
      <c r="O103" s="7"/>
      <c r="Q103" s="5"/>
    </row>
    <row r="104" spans="2:17">
      <c r="B104" s="1"/>
      <c r="C104" s="1"/>
      <c r="D104" s="32"/>
      <c r="G104" s="1"/>
      <c r="H104" s="1"/>
      <c r="N104" s="7"/>
      <c r="O104" s="7"/>
      <c r="Q104" s="5"/>
    </row>
    <row r="105" spans="2:17">
      <c r="B105" s="1"/>
      <c r="C105" s="1"/>
      <c r="D105" s="32"/>
      <c r="G105" s="1"/>
      <c r="H105" s="1"/>
      <c r="N105" s="7"/>
      <c r="O105" s="7"/>
      <c r="Q105" s="5"/>
    </row>
    <row r="106" spans="2:17">
      <c r="B106" s="1"/>
      <c r="C106" s="1"/>
      <c r="D106" s="32"/>
      <c r="G106" s="1"/>
      <c r="H106" s="1"/>
      <c r="N106" s="7"/>
      <c r="O106" s="7"/>
      <c r="Q106" s="5"/>
    </row>
    <row r="107" spans="2:17">
      <c r="B107" s="1"/>
      <c r="C107" s="1"/>
      <c r="D107" s="32"/>
      <c r="G107" s="1"/>
      <c r="H107" s="1"/>
      <c r="N107" s="7"/>
      <c r="O107" s="7"/>
      <c r="Q107" s="5"/>
    </row>
    <row r="108" spans="2:17">
      <c r="B108" s="1"/>
      <c r="C108" s="1"/>
      <c r="D108" s="32"/>
      <c r="G108" s="1"/>
      <c r="H108" s="1"/>
      <c r="N108" s="7"/>
      <c r="O108" s="7"/>
      <c r="Q108" s="5"/>
    </row>
    <row r="109" spans="2:17">
      <c r="B109" s="1"/>
      <c r="C109" s="1"/>
      <c r="D109" s="32"/>
      <c r="G109" s="1"/>
      <c r="H109" s="1"/>
      <c r="N109" s="7"/>
      <c r="O109" s="7"/>
      <c r="Q109" s="5"/>
    </row>
    <row r="110" spans="2:17">
      <c r="B110" s="1"/>
      <c r="C110" s="1"/>
      <c r="D110" s="32"/>
      <c r="G110" s="1"/>
      <c r="H110" s="1"/>
      <c r="N110" s="7"/>
      <c r="O110" s="7"/>
      <c r="Q110" s="5"/>
    </row>
    <row r="111" spans="2:17">
      <c r="B111" s="1"/>
      <c r="C111" s="1"/>
      <c r="D111" s="32"/>
      <c r="G111" s="1"/>
      <c r="H111" s="1"/>
      <c r="N111" s="7"/>
      <c r="O111" s="7"/>
      <c r="Q111" s="5"/>
    </row>
    <row r="112" spans="2:17">
      <c r="B112" s="1"/>
      <c r="C112" s="1"/>
      <c r="D112" s="32"/>
      <c r="G112" s="1"/>
      <c r="H112" s="1"/>
      <c r="N112" s="7"/>
      <c r="O112" s="7"/>
      <c r="Q112" s="5"/>
    </row>
    <row r="113" spans="2:17">
      <c r="B113" s="1"/>
      <c r="C113" s="1"/>
      <c r="D113" s="32"/>
      <c r="G113" s="1"/>
      <c r="H113" s="1"/>
      <c r="N113" s="7"/>
      <c r="O113" s="7"/>
      <c r="Q113" s="5"/>
    </row>
    <row r="114" spans="2:17">
      <c r="B114" s="1"/>
      <c r="C114" s="1"/>
      <c r="D114" s="32"/>
      <c r="G114" s="1"/>
      <c r="H114" s="1"/>
      <c r="N114" s="7"/>
      <c r="O114" s="7"/>
      <c r="Q114" s="5"/>
    </row>
    <row r="115" spans="2:17">
      <c r="B115" s="1"/>
      <c r="C115" s="1"/>
      <c r="D115" s="32"/>
      <c r="G115" s="1"/>
      <c r="H115" s="1"/>
      <c r="N115" s="7"/>
      <c r="O115" s="7"/>
      <c r="Q115" s="5"/>
    </row>
    <row r="116" spans="2:17">
      <c r="B116" s="1"/>
      <c r="C116" s="1"/>
      <c r="D116" s="32"/>
      <c r="G116" s="1"/>
      <c r="H116" s="1"/>
      <c r="N116" s="7"/>
      <c r="O116" s="7"/>
      <c r="Q116" s="5"/>
    </row>
    <row r="117" spans="2:17">
      <c r="B117" s="1"/>
      <c r="C117" s="1"/>
      <c r="D117" s="32"/>
      <c r="G117" s="1"/>
      <c r="H117" s="1"/>
      <c r="N117" s="7"/>
      <c r="O117" s="7"/>
      <c r="Q117" s="5"/>
    </row>
    <row r="118" spans="2:17">
      <c r="B118" s="1"/>
      <c r="C118" s="1"/>
      <c r="D118" s="32"/>
      <c r="G118" s="1"/>
      <c r="H118" s="1"/>
      <c r="N118" s="7"/>
      <c r="O118" s="7"/>
      <c r="Q118" s="5"/>
    </row>
    <row r="119" spans="2:17">
      <c r="B119" s="1"/>
      <c r="C119" s="1"/>
      <c r="D119" s="32"/>
      <c r="G119" s="1"/>
      <c r="H119" s="1"/>
      <c r="N119" s="7"/>
      <c r="O119" s="7"/>
      <c r="Q119" s="5"/>
    </row>
    <row r="120" spans="2:17">
      <c r="B120" s="1"/>
      <c r="C120" s="1"/>
      <c r="D120" s="32"/>
      <c r="G120" s="1"/>
      <c r="H120" s="1"/>
      <c r="N120" s="7"/>
      <c r="O120" s="7"/>
      <c r="Q120" s="5"/>
    </row>
    <row r="121" spans="2:17">
      <c r="B121" s="1"/>
      <c r="C121" s="1"/>
      <c r="D121" s="32"/>
      <c r="G121" s="1"/>
      <c r="H121" s="1"/>
      <c r="N121" s="7"/>
      <c r="O121" s="7"/>
      <c r="Q121" s="5"/>
    </row>
    <row r="122" spans="2:17">
      <c r="G122" s="1"/>
      <c r="H122" s="1"/>
      <c r="Q122" s="5"/>
    </row>
    <row r="123" spans="2:17">
      <c r="G123" s="1"/>
      <c r="H123" s="1"/>
      <c r="Q123" s="5"/>
    </row>
  </sheetData>
  <autoFilter ref="B5:Q62" xr:uid="{00000000-0001-0000-0600-000000000000}"/>
  <mergeCells count="58">
    <mergeCell ref="E56:E58"/>
    <mergeCell ref="P53:P54"/>
    <mergeCell ref="L53:L54"/>
    <mergeCell ref="E53:E55"/>
    <mergeCell ref="N53:N54"/>
    <mergeCell ref="J53:J54"/>
    <mergeCell ref="K53:K54"/>
    <mergeCell ref="E44:E45"/>
    <mergeCell ref="E41:E43"/>
    <mergeCell ref="L21:L22"/>
    <mergeCell ref="E8:E9"/>
    <mergeCell ref="E39:E40"/>
    <mergeCell ref="E37:E38"/>
    <mergeCell ref="B1:Q1"/>
    <mergeCell ref="B3:Q3"/>
    <mergeCell ref="B4:Q4"/>
    <mergeCell ref="I5:I7"/>
    <mergeCell ref="L5:L7"/>
    <mergeCell ref="M5:M7"/>
    <mergeCell ref="N5:N7"/>
    <mergeCell ref="O5:O7"/>
    <mergeCell ref="S24:S25"/>
    <mergeCell ref="H21:H22"/>
    <mergeCell ref="E23:E25"/>
    <mergeCell ref="K24:K25"/>
    <mergeCell ref="J24:J25"/>
    <mergeCell ref="L24:L25"/>
    <mergeCell ref="P24:P25"/>
    <mergeCell ref="N24:N25"/>
    <mergeCell ref="E18:E22"/>
    <mergeCell ref="F21:F22"/>
    <mergeCell ref="J19:J20"/>
    <mergeCell ref="K19:K20"/>
    <mergeCell ref="S19:S20"/>
    <mergeCell ref="S21:S22"/>
    <mergeCell ref="J21:J22"/>
    <mergeCell ref="K21:K22"/>
    <mergeCell ref="E48:E49"/>
    <mergeCell ref="R6:R7"/>
    <mergeCell ref="E10:E12"/>
    <mergeCell ref="E13:E14"/>
    <mergeCell ref="P19:P20"/>
    <mergeCell ref="E33:E36"/>
    <mergeCell ref="J34:J36"/>
    <mergeCell ref="K34:K36"/>
    <mergeCell ref="P34:P36"/>
    <mergeCell ref="E31:E32"/>
    <mergeCell ref="P21:P22"/>
    <mergeCell ref="E28:E29"/>
    <mergeCell ref="E16:E17"/>
    <mergeCell ref="E26:E27"/>
    <mergeCell ref="L19:L20"/>
    <mergeCell ref="E46:E47"/>
    <mergeCell ref="E51:E52"/>
    <mergeCell ref="J51:J52"/>
    <mergeCell ref="K51:K52"/>
    <mergeCell ref="P51:P52"/>
    <mergeCell ref="N51:N52"/>
  </mergeCells>
  <conditionalFormatting sqref="I8:I59">
    <cfRule type="cellIs" dxfId="56" priority="89" stopIfTrue="1" operator="lessThan">
      <formula>50</formula>
    </cfRule>
  </conditionalFormatting>
  <conditionalFormatting sqref="J8">
    <cfRule type="cellIs" dxfId="55" priority="16" stopIfTrue="1" operator="lessThan">
      <formula>50</formula>
    </cfRule>
  </conditionalFormatting>
  <conditionalFormatting sqref="P8:P19 P21 P23:P24 P26:P34 P37:P51 P53 P55:P59">
    <cfRule type="cellIs" dxfId="54" priority="85" stopIfTrue="1" operator="greaterThan">
      <formula>1.8</formula>
    </cfRule>
  </conditionalFormatting>
  <conditionalFormatting sqref="R8">
    <cfRule type="cellIs" dxfId="53" priority="15" operator="greaterThan">
      <formula>1.8</formula>
    </cfRule>
  </conditionalFormatting>
  <conditionalFormatting sqref="R35">
    <cfRule type="cellIs" dxfId="52" priority="5" operator="greaterThan">
      <formula>1.8</formula>
    </cfRule>
  </conditionalFormatting>
  <conditionalFormatting sqref="R38">
    <cfRule type="cellIs" dxfId="51" priority="4" operator="greaterThan">
      <formula>1.8</formula>
    </cfRule>
  </conditionalFormatting>
  <conditionalFormatting sqref="R40">
    <cfRule type="cellIs" dxfId="50" priority="3" operator="greaterThan">
      <formula>1.8</formula>
    </cfRule>
  </conditionalFormatting>
  <conditionalFormatting sqref="R44">
    <cfRule type="cellIs" dxfId="49" priority="2" operator="greaterThan">
      <formula>1.8</formula>
    </cfRule>
  </conditionalFormatting>
  <conditionalFormatting sqref="R46">
    <cfRule type="cellIs" dxfId="48" priority="1" operator="greaterThan">
      <formula>1.8</formula>
    </cfRule>
  </conditionalFormatting>
  <pageMargins left="0.25" right="0.25" top="0.75" bottom="0.75" header="0.3" footer="0.3"/>
  <pageSetup scale="53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1"/>
    <pageSetUpPr fitToPage="1"/>
  </sheetPr>
  <dimension ref="A1:Y120"/>
  <sheetViews>
    <sheetView topLeftCell="A4" zoomScale="90" zoomScaleNormal="90" zoomScaleSheetLayoutView="80" workbookViewId="0">
      <pane xSplit="2" ySplit="4" topLeftCell="C29" activePane="bottomRight" state="frozen"/>
      <selection activeCell="A4" sqref="A4"/>
      <selection pane="topRight" activeCell="B4" sqref="B4"/>
      <selection pane="bottomLeft" activeCell="A8" sqref="A8"/>
      <selection pane="bottomRight" activeCell="R58" sqref="R58"/>
    </sheetView>
  </sheetViews>
  <sheetFormatPr defaultRowHeight="12.75"/>
  <cols>
    <col min="1" max="1" width="2.42578125" customWidth="1"/>
    <col min="2" max="2" width="9.140625" style="199" customWidth="1"/>
    <col min="3" max="3" width="7" style="199" customWidth="1"/>
    <col min="4" max="4" width="53.85546875" style="204" customWidth="1"/>
    <col min="5" max="5" width="13" style="1" customWidth="1"/>
    <col min="6" max="6" width="7.5703125" style="24" customWidth="1"/>
    <col min="7" max="7" width="13.5703125" style="193" customWidth="1"/>
    <col min="8" max="8" width="13.5703125" customWidth="1"/>
    <col min="9" max="9" width="10.570312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200" customWidth="1"/>
    <col min="16" max="16" width="12.42578125" style="26" customWidth="1"/>
    <col min="17" max="17" width="12.140625" style="75" customWidth="1"/>
    <col min="18" max="19" width="11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2:19" ht="27">
      <c r="B1" s="384" t="s">
        <v>0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</row>
    <row r="3" spans="2:19" ht="22.5">
      <c r="B3" s="385" t="s">
        <v>1</v>
      </c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</row>
    <row r="4" spans="2:19" ht="21" thickBot="1">
      <c r="B4" s="386">
        <v>46235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</row>
    <row r="5" spans="2:19" ht="17.25" thickTop="1" thickBot="1">
      <c r="B5" s="196" t="s">
        <v>2</v>
      </c>
      <c r="C5" s="196" t="s">
        <v>3</v>
      </c>
      <c r="D5" s="201" t="s">
        <v>4</v>
      </c>
      <c r="E5" s="2" t="s">
        <v>37</v>
      </c>
      <c r="F5" s="20" t="s">
        <v>12</v>
      </c>
      <c r="G5" s="196" t="s">
        <v>5</v>
      </c>
      <c r="H5" s="2" t="s">
        <v>13</v>
      </c>
      <c r="I5" s="387" t="s">
        <v>26</v>
      </c>
      <c r="J5" s="2" t="s">
        <v>18</v>
      </c>
      <c r="K5" s="2" t="s">
        <v>6</v>
      </c>
      <c r="L5" s="390" t="s">
        <v>22</v>
      </c>
      <c r="M5" s="393" t="s">
        <v>24</v>
      </c>
      <c r="N5" s="393" t="s">
        <v>25</v>
      </c>
      <c r="O5" s="449" t="s">
        <v>23</v>
      </c>
      <c r="P5" s="20" t="s">
        <v>6</v>
      </c>
      <c r="Q5" s="72" t="s">
        <v>9</v>
      </c>
      <c r="R5" s="2" t="s">
        <v>20</v>
      </c>
      <c r="S5" s="336" t="s">
        <v>89</v>
      </c>
    </row>
    <row r="6" spans="2:19" ht="16.5" customHeight="1" thickTop="1">
      <c r="B6" s="197"/>
      <c r="C6" s="197"/>
      <c r="D6" s="202"/>
      <c r="E6" s="8" t="s">
        <v>11</v>
      </c>
      <c r="F6" s="21" t="s">
        <v>11</v>
      </c>
      <c r="G6" s="197" t="s">
        <v>6</v>
      </c>
      <c r="H6" s="8" t="s">
        <v>14</v>
      </c>
      <c r="I6" s="388"/>
      <c r="J6" s="8" t="s">
        <v>17</v>
      </c>
      <c r="K6" s="8" t="s">
        <v>17</v>
      </c>
      <c r="L6" s="391"/>
      <c r="M6" s="394"/>
      <c r="N6" s="394"/>
      <c r="O6" s="450"/>
      <c r="P6" s="21" t="s">
        <v>19</v>
      </c>
      <c r="Q6" s="73" t="s">
        <v>10</v>
      </c>
      <c r="R6" s="382" t="s">
        <v>21</v>
      </c>
      <c r="S6" s="337" t="s">
        <v>88</v>
      </c>
    </row>
    <row r="7" spans="2:19" ht="16.5" thickBot="1">
      <c r="B7" s="198"/>
      <c r="C7" s="198"/>
      <c r="D7" s="203"/>
      <c r="E7" s="8"/>
      <c r="F7" s="22" t="s">
        <v>15</v>
      </c>
      <c r="G7" s="198"/>
      <c r="H7" s="10" t="s">
        <v>16</v>
      </c>
      <c r="I7" s="389"/>
      <c r="J7" s="10"/>
      <c r="K7" s="10"/>
      <c r="L7" s="392"/>
      <c r="M7" s="395"/>
      <c r="N7" s="395"/>
      <c r="O7" s="451"/>
      <c r="P7" s="22"/>
      <c r="Q7" s="74"/>
      <c r="R7" s="383"/>
      <c r="S7" s="338" t="s">
        <v>90</v>
      </c>
    </row>
    <row r="8" spans="2:19" ht="15.75">
      <c r="B8" s="359">
        <v>46237</v>
      </c>
      <c r="C8" s="360">
        <v>1</v>
      </c>
      <c r="D8" s="361" t="s">
        <v>44</v>
      </c>
      <c r="E8" s="48">
        <v>1350</v>
      </c>
      <c r="F8" s="152">
        <f>[3]Aug!$N75</f>
        <v>1188</v>
      </c>
      <c r="G8" s="18">
        <v>5831</v>
      </c>
      <c r="H8" s="54">
        <f>(G8)*24/(F8/60)/17000*100</f>
        <v>41.575757575757578</v>
      </c>
      <c r="I8" s="69">
        <v>64</v>
      </c>
      <c r="J8" s="166">
        <f>SUM(96,95.8,98,97.2)</f>
        <v>387</v>
      </c>
      <c r="K8" s="54">
        <f>(G8)*0.066</f>
        <v>384.846</v>
      </c>
      <c r="L8" s="54">
        <f>J8-K8</f>
        <v>2.1539999999999964</v>
      </c>
      <c r="M8" s="55">
        <f>[3]Aug!$AD8</f>
        <v>615</v>
      </c>
      <c r="N8" s="55">
        <f>2+12+22</f>
        <v>36</v>
      </c>
      <c r="O8" s="55"/>
      <c r="P8" s="51">
        <f t="shared" ref="P8:P16" si="0">(J8-K8)/J8*100</f>
        <v>0.55658914728682085</v>
      </c>
      <c r="Q8" s="38">
        <f>G8/(E8/60)</f>
        <v>259.15555555555557</v>
      </c>
      <c r="R8" s="16"/>
      <c r="S8" s="339">
        <f>'[4]Daily glue Aug'!$H$4</f>
        <v>9.3512974051896194E-3</v>
      </c>
    </row>
    <row r="9" spans="2:19" ht="15.75">
      <c r="B9" s="222">
        <v>46238</v>
      </c>
      <c r="C9" s="91">
        <v>2</v>
      </c>
      <c r="D9" s="361" t="s">
        <v>45</v>
      </c>
      <c r="E9" s="48">
        <v>1440</v>
      </c>
      <c r="F9" s="152">
        <f>[3]Aug!$N76</f>
        <v>1228</v>
      </c>
      <c r="G9" s="18">
        <v>10243</v>
      </c>
      <c r="H9" s="54">
        <f>(G9)*24/(F9/60)/17000*100</f>
        <v>70.654914734623503</v>
      </c>
      <c r="I9" s="69"/>
      <c r="J9" s="224">
        <f>91+89.9+89.9+91.1+88.8+87.5+93.3+89.8+98.2+65+75-10.3-98.2-75-65.7</f>
        <v>710.3</v>
      </c>
      <c r="K9" s="54">
        <f>(G9)*0.066+(38*0.19)</f>
        <v>683.25800000000004</v>
      </c>
      <c r="L9" s="54">
        <f t="shared" ref="L9:L49" si="1">J9-K9</f>
        <v>27.041999999999916</v>
      </c>
      <c r="M9" s="55">
        <f>[3]Aug!$AD9</f>
        <v>357</v>
      </c>
      <c r="N9" s="55">
        <f>15+1+1+4</f>
        <v>21</v>
      </c>
      <c r="O9" s="55">
        <v>38</v>
      </c>
      <c r="P9" s="51">
        <f>(J9-K9)/J9*100</f>
        <v>3.8071237505279347</v>
      </c>
      <c r="Q9" s="38">
        <f t="shared" ref="Q9:Q56" si="2">G9/(E9/60)</f>
        <v>426.79166666666669</v>
      </c>
      <c r="R9" s="33"/>
      <c r="S9" s="339">
        <f>SUM('[4]Daily glue Aug'!$H$5:$H$7)</f>
        <v>1.7861501139567179E-2</v>
      </c>
    </row>
    <row r="10" spans="2:19" ht="15.75" customHeight="1">
      <c r="B10" s="222">
        <v>46239</v>
      </c>
      <c r="C10" s="91">
        <v>3</v>
      </c>
      <c r="D10" s="361" t="s">
        <v>45</v>
      </c>
      <c r="E10" s="438">
        <v>1440</v>
      </c>
      <c r="F10" s="152">
        <f>[3]Aug!$N77</f>
        <v>314</v>
      </c>
      <c r="G10" s="18">
        <v>2644</v>
      </c>
      <c r="H10" s="54">
        <f t="shared" ref="H10:H26" si="3">(G10)*24/(F10/60)/17000*100</f>
        <v>71.325590108654922</v>
      </c>
      <c r="I10" s="69"/>
      <c r="J10" s="224">
        <f>10.3+98.2+75+65.7-65.7</f>
        <v>183.5</v>
      </c>
      <c r="K10" s="54">
        <f t="shared" ref="K10:K49" si="4">(G10)*0.066</f>
        <v>174.50400000000002</v>
      </c>
      <c r="L10" s="54">
        <f t="shared" si="1"/>
        <v>8.9959999999999809</v>
      </c>
      <c r="M10" s="55">
        <f>[3]Aug!$AD10</f>
        <v>73</v>
      </c>
      <c r="N10" s="55">
        <v>2</v>
      </c>
      <c r="O10" s="55"/>
      <c r="P10" s="51">
        <f t="shared" si="0"/>
        <v>4.9024523160762845</v>
      </c>
      <c r="Q10" s="406">
        <f>(G10+G11+G12)/(E10/60)</f>
        <v>305.5</v>
      </c>
      <c r="R10" s="33"/>
      <c r="S10" s="441">
        <f>SUM('[4]Daily glue Aug'!$H$8:$H$10)</f>
        <v>3.1200890513220256E-2</v>
      </c>
    </row>
    <row r="11" spans="2:19" ht="15.75" customHeight="1">
      <c r="B11" s="92">
        <v>46239</v>
      </c>
      <c r="C11" s="88">
        <v>3</v>
      </c>
      <c r="D11" s="361" t="s">
        <v>27</v>
      </c>
      <c r="E11" s="440"/>
      <c r="F11" s="152">
        <f>[3]Aug!$N78</f>
        <v>614</v>
      </c>
      <c r="G11" s="18">
        <v>4281</v>
      </c>
      <c r="H11" s="54">
        <f t="shared" si="3"/>
        <v>59.059589959762405</v>
      </c>
      <c r="I11" s="69"/>
      <c r="J11" s="54">
        <f>95.3+100.8+99.2</f>
        <v>295.3</v>
      </c>
      <c r="K11" s="54">
        <f>(G11)*0.066+(30*0.19)</f>
        <v>288.24599999999998</v>
      </c>
      <c r="L11" s="54">
        <f t="shared" si="1"/>
        <v>7.0540000000000305</v>
      </c>
      <c r="M11" s="55">
        <f>[3]Aug!$AD11</f>
        <v>453</v>
      </c>
      <c r="N11" s="55">
        <v>60</v>
      </c>
      <c r="O11" s="55">
        <v>30</v>
      </c>
      <c r="P11" s="51">
        <f t="shared" si="0"/>
        <v>2.3887571960718015</v>
      </c>
      <c r="Q11" s="406"/>
      <c r="R11" s="16"/>
      <c r="S11" s="441"/>
    </row>
    <row r="12" spans="2:19" ht="15.75" customHeight="1">
      <c r="B12" s="92">
        <v>46239</v>
      </c>
      <c r="C12" s="88">
        <v>3</v>
      </c>
      <c r="D12" s="361" t="s">
        <v>146</v>
      </c>
      <c r="E12" s="439"/>
      <c r="F12" s="152">
        <f>[3]Aug!$N79</f>
        <v>90</v>
      </c>
      <c r="G12" s="18">
        <v>407</v>
      </c>
      <c r="H12" s="54">
        <f t="shared" si="3"/>
        <v>38.305882352941175</v>
      </c>
      <c r="I12" s="69"/>
      <c r="J12" s="54">
        <f>65.7+34.9+103-80-77</f>
        <v>46.599999999999994</v>
      </c>
      <c r="K12" s="54">
        <f>(G12)*0.066+(100*0.19)</f>
        <v>45.862000000000002</v>
      </c>
      <c r="L12" s="54">
        <f t="shared" si="1"/>
        <v>0.73799999999999244</v>
      </c>
      <c r="M12" s="55">
        <f>[3]Aug!$AD12</f>
        <v>52</v>
      </c>
      <c r="N12" s="55">
        <v>1</v>
      </c>
      <c r="O12" s="55">
        <v>100</v>
      </c>
      <c r="P12" s="51">
        <f t="shared" si="0"/>
        <v>1.5836909871244476</v>
      </c>
      <c r="Q12" s="406"/>
      <c r="R12" s="16"/>
      <c r="S12" s="441"/>
    </row>
    <row r="13" spans="2:19" ht="15.75" customHeight="1">
      <c r="B13" s="92">
        <v>46240</v>
      </c>
      <c r="C13" s="88">
        <v>4</v>
      </c>
      <c r="D13" s="361" t="s">
        <v>146</v>
      </c>
      <c r="E13" s="48">
        <v>1440</v>
      </c>
      <c r="F13" s="152">
        <f>[3]Aug!$N80</f>
        <v>1262</v>
      </c>
      <c r="G13" s="18">
        <v>6934</v>
      </c>
      <c r="H13" s="54">
        <f t="shared" si="3"/>
        <v>46.541251048755477</v>
      </c>
      <c r="I13" s="69"/>
      <c r="J13" s="54">
        <f>80+77+80+83.1+73.8+94.1</f>
        <v>488</v>
      </c>
      <c r="K13" s="54">
        <f>(G13)*0.066+(82*0.19)</f>
        <v>473.22399999999999</v>
      </c>
      <c r="L13" s="54">
        <f t="shared" si="1"/>
        <v>14.77600000000001</v>
      </c>
      <c r="M13" s="55">
        <f>[3]Aug!$AD13</f>
        <v>614</v>
      </c>
      <c r="N13" s="55">
        <v>66</v>
      </c>
      <c r="O13" s="55">
        <v>82</v>
      </c>
      <c r="P13" s="51">
        <f t="shared" si="0"/>
        <v>3.0278688524590187</v>
      </c>
      <c r="Q13" s="38">
        <f t="shared" si="2"/>
        <v>288.91666666666669</v>
      </c>
      <c r="R13" s="16"/>
      <c r="S13" s="339">
        <f>SUM('[4]Daily glue Aug'!$H$11:$H$13)</f>
        <v>1.9949902500658388E-2</v>
      </c>
    </row>
    <row r="14" spans="2:19" ht="15.75" customHeight="1">
      <c r="B14" s="92">
        <v>46241</v>
      </c>
      <c r="C14" s="88">
        <v>5</v>
      </c>
      <c r="D14" s="361" t="s">
        <v>50</v>
      </c>
      <c r="E14" s="438">
        <v>1260</v>
      </c>
      <c r="F14" s="152">
        <f>[3]Aug!$N81</f>
        <v>828</v>
      </c>
      <c r="G14" s="18">
        <v>5846</v>
      </c>
      <c r="H14" s="54">
        <f t="shared" si="3"/>
        <v>59.805626598465466</v>
      </c>
      <c r="I14" s="69"/>
      <c r="J14" s="54">
        <f>95+99.8+102.2+101</f>
        <v>398</v>
      </c>
      <c r="K14" s="54">
        <f t="shared" si="4"/>
        <v>385.83600000000001</v>
      </c>
      <c r="L14" s="54">
        <f t="shared" si="1"/>
        <v>12.163999999999987</v>
      </c>
      <c r="M14" s="55">
        <f>[3]Aug!$AD14</f>
        <v>311</v>
      </c>
      <c r="N14" s="55">
        <f>4+9</f>
        <v>13</v>
      </c>
      <c r="O14" s="55"/>
      <c r="P14" s="51">
        <f t="shared" si="0"/>
        <v>3.0562814070351725</v>
      </c>
      <c r="Q14" s="406">
        <f>(G14+G15)/(E14/60)</f>
        <v>302.04761904761904</v>
      </c>
      <c r="R14" s="33"/>
      <c r="S14" s="441">
        <f>SUM('[4]Daily glue Aug'!$H$14:$H$16)</f>
        <v>1.7628331537680383E-2</v>
      </c>
    </row>
    <row r="15" spans="2:19" ht="15.75" customHeight="1">
      <c r="B15" s="92">
        <v>46241</v>
      </c>
      <c r="C15" s="88">
        <v>5</v>
      </c>
      <c r="D15" s="361" t="s">
        <v>145</v>
      </c>
      <c r="E15" s="439"/>
      <c r="F15" s="152">
        <f>[3]Aug!$N82</f>
        <v>64</v>
      </c>
      <c r="G15" s="18">
        <v>497</v>
      </c>
      <c r="H15" s="54">
        <f t="shared" si="3"/>
        <v>65.779411764705884</v>
      </c>
      <c r="I15" s="69"/>
      <c r="J15" s="54">
        <f>95.8+99.5-76.2-85.4</f>
        <v>33.700000000000003</v>
      </c>
      <c r="K15" s="54">
        <f t="shared" si="4"/>
        <v>32.802</v>
      </c>
      <c r="L15" s="54">
        <f t="shared" si="1"/>
        <v>0.89800000000000324</v>
      </c>
      <c r="M15" s="55">
        <f>[3]Aug!$AD15</f>
        <v>147</v>
      </c>
      <c r="N15" s="55">
        <v>3</v>
      </c>
      <c r="O15" s="55"/>
      <c r="P15" s="51">
        <f t="shared" si="0"/>
        <v>2.6646884272997129</v>
      </c>
      <c r="Q15" s="406"/>
      <c r="R15" s="33"/>
      <c r="S15" s="441"/>
    </row>
    <row r="16" spans="2:19" ht="15.75" customHeight="1">
      <c r="B16" s="92">
        <v>46246</v>
      </c>
      <c r="C16" s="88">
        <v>6</v>
      </c>
      <c r="D16" s="361" t="s">
        <v>150</v>
      </c>
      <c r="E16" s="48">
        <v>1030</v>
      </c>
      <c r="F16" s="152">
        <f>[3]Aug!$N83</f>
        <v>628</v>
      </c>
      <c r="G16" s="18">
        <v>4542</v>
      </c>
      <c r="H16" s="54">
        <f t="shared" si="3"/>
        <v>61.263394529786432</v>
      </c>
      <c r="I16" s="69">
        <v>8</v>
      </c>
      <c r="J16" s="54">
        <f>76.2+85.4+96+100.2-54.9</f>
        <v>302.90000000000003</v>
      </c>
      <c r="K16" s="54">
        <f t="shared" si="4"/>
        <v>299.77199999999999</v>
      </c>
      <c r="L16" s="54">
        <f t="shared" si="1"/>
        <v>3.1280000000000427</v>
      </c>
      <c r="M16" s="55">
        <f>[3]Aug!$AD16</f>
        <v>471</v>
      </c>
      <c r="N16" s="55">
        <f>7+8</f>
        <v>15</v>
      </c>
      <c r="O16" s="55"/>
      <c r="P16" s="51">
        <f t="shared" si="0"/>
        <v>1.0326840541432956</v>
      </c>
      <c r="Q16" s="38">
        <f t="shared" si="2"/>
        <v>264.58252427184465</v>
      </c>
      <c r="R16" s="16"/>
      <c r="S16" s="339">
        <f>SUM('[4]Daily glue Aug'!$H$17:$H$18)</f>
        <v>2.1763760572543915E-2</v>
      </c>
    </row>
    <row r="17" spans="2:22" ht="15.75" customHeight="1">
      <c r="B17" s="92">
        <v>46247</v>
      </c>
      <c r="C17" s="88">
        <v>7</v>
      </c>
      <c r="D17" s="361" t="s">
        <v>145</v>
      </c>
      <c r="E17" s="438">
        <v>1430</v>
      </c>
      <c r="F17" s="152">
        <f>[3]Aug!$N84</f>
        <v>88</v>
      </c>
      <c r="G17" s="18">
        <v>899</v>
      </c>
      <c r="H17" s="54">
        <f t="shared" si="3"/>
        <v>86.534759358288767</v>
      </c>
      <c r="I17" s="69"/>
      <c r="J17" s="428">
        <f>54.9+93+78+105</f>
        <v>330.9</v>
      </c>
      <c r="K17" s="428">
        <f>(G17+G18)*0.066</f>
        <v>329.142</v>
      </c>
      <c r="L17" s="428">
        <f t="shared" si="1"/>
        <v>1.7579999999999814</v>
      </c>
      <c r="M17" s="55">
        <f>[3]Aug!$AD17</f>
        <v>53</v>
      </c>
      <c r="N17" s="55"/>
      <c r="O17" s="55"/>
      <c r="P17" s="428">
        <f>(J17-K17)/J17*100</f>
        <v>0.53127833182229722</v>
      </c>
      <c r="Q17" s="406">
        <f>(G17+G18+G19)/(E17/60)</f>
        <v>342.83916083916085</v>
      </c>
      <c r="R17" s="16"/>
      <c r="S17" s="441">
        <f>SUM('[4]Daily glue Aug'!$H$19:$H$21)</f>
        <v>2.1715098096028E-2</v>
      </c>
    </row>
    <row r="18" spans="2:22" ht="15.75" customHeight="1">
      <c r="B18" s="92">
        <v>46247</v>
      </c>
      <c r="C18" s="88">
        <v>7</v>
      </c>
      <c r="D18" s="361" t="s">
        <v>45</v>
      </c>
      <c r="E18" s="440"/>
      <c r="F18" s="152">
        <f>[3]Aug!$N85</f>
        <v>702</v>
      </c>
      <c r="G18" s="18">
        <v>4088</v>
      </c>
      <c r="H18" s="54">
        <f t="shared" si="3"/>
        <v>49.327300150829565</v>
      </c>
      <c r="I18" s="69"/>
      <c r="J18" s="428"/>
      <c r="K18" s="428"/>
      <c r="L18" s="428"/>
      <c r="M18" s="55">
        <f>[3]Aug!$AD18</f>
        <v>195</v>
      </c>
      <c r="N18" s="55">
        <v>2</v>
      </c>
      <c r="O18" s="55"/>
      <c r="P18" s="428"/>
      <c r="Q18" s="406"/>
      <c r="R18" s="33"/>
      <c r="S18" s="441"/>
      <c r="V18" t="s">
        <v>28</v>
      </c>
    </row>
    <row r="19" spans="2:22" ht="15.75" customHeight="1">
      <c r="B19" s="92">
        <v>46247</v>
      </c>
      <c r="C19" s="88">
        <v>7</v>
      </c>
      <c r="D19" s="361" t="s">
        <v>27</v>
      </c>
      <c r="E19" s="439"/>
      <c r="F19" s="152">
        <f>[3]Aug!$N86</f>
        <v>439</v>
      </c>
      <c r="G19" s="18">
        <v>3184</v>
      </c>
      <c r="H19" s="54">
        <f t="shared" si="3"/>
        <v>61.435883692884907</v>
      </c>
      <c r="I19" s="69"/>
      <c r="J19" s="54">
        <f>93.7+85.6+94.8+94-83-68.9</f>
        <v>216.20000000000002</v>
      </c>
      <c r="K19" s="54">
        <f t="shared" si="4"/>
        <v>210.14400000000001</v>
      </c>
      <c r="L19" s="54">
        <f t="shared" si="1"/>
        <v>6.0560000000000116</v>
      </c>
      <c r="M19" s="55">
        <f>[3]Aug!$AD19</f>
        <v>186</v>
      </c>
      <c r="N19" s="55">
        <v>6</v>
      </c>
      <c r="O19" s="55"/>
      <c r="P19" s="51">
        <f t="shared" ref="P19:P46" si="5">(J19-K19)/J19*100</f>
        <v>2.8011100832562494</v>
      </c>
      <c r="Q19" s="406"/>
      <c r="R19" s="33"/>
      <c r="S19" s="441"/>
      <c r="V19" t="s">
        <v>29</v>
      </c>
    </row>
    <row r="20" spans="2:22" ht="15.75" customHeight="1">
      <c r="B20" s="92">
        <v>46248</v>
      </c>
      <c r="C20" s="88">
        <v>8</v>
      </c>
      <c r="D20" s="361" t="s">
        <v>27</v>
      </c>
      <c r="E20" s="438">
        <v>1260</v>
      </c>
      <c r="F20" s="152">
        <f>[3]Aug!$N87</f>
        <v>887</v>
      </c>
      <c r="G20" s="18">
        <v>6323</v>
      </c>
      <c r="H20" s="54">
        <f t="shared" si="3"/>
        <v>60.382784004244314</v>
      </c>
      <c r="I20" s="69">
        <v>13</v>
      </c>
      <c r="J20" s="54">
        <f>83+68.9+94+94+82</f>
        <v>421.9</v>
      </c>
      <c r="K20" s="54">
        <f t="shared" si="4"/>
        <v>417.31800000000004</v>
      </c>
      <c r="L20" s="54">
        <f t="shared" si="1"/>
        <v>4.5819999999999368</v>
      </c>
      <c r="M20" s="55">
        <f>[3]Aug!$AD20</f>
        <v>310</v>
      </c>
      <c r="N20" s="55">
        <f>1+4+8</f>
        <v>13</v>
      </c>
      <c r="O20" s="55"/>
      <c r="P20" s="51">
        <f t="shared" si="5"/>
        <v>1.0860393458165294</v>
      </c>
      <c r="Q20" s="406">
        <f>(G20+G21)/(E20/60)</f>
        <v>332</v>
      </c>
      <c r="R20" s="33"/>
      <c r="S20" s="441">
        <f>SUM('[4]Daily glue Aug'!$H$22:$H$24)</f>
        <v>1.3722809374755935E-2</v>
      </c>
    </row>
    <row r="21" spans="2:22" ht="15.75" customHeight="1">
      <c r="B21" s="222">
        <v>46248</v>
      </c>
      <c r="C21" s="91">
        <v>8</v>
      </c>
      <c r="D21" s="151" t="s">
        <v>45</v>
      </c>
      <c r="E21" s="439"/>
      <c r="F21" s="152">
        <f>[3]Aug!$N88</f>
        <v>98</v>
      </c>
      <c r="G21" s="18">
        <v>649</v>
      </c>
      <c r="H21" s="54">
        <f t="shared" si="3"/>
        <v>56.096038415366145</v>
      </c>
      <c r="I21" s="69">
        <v>280</v>
      </c>
      <c r="J21" s="54">
        <f>97.8+96.8-71-78.5</f>
        <v>45.099999999999994</v>
      </c>
      <c r="K21" s="54">
        <f t="shared" si="4"/>
        <v>42.834000000000003</v>
      </c>
      <c r="L21" s="54">
        <f t="shared" si="1"/>
        <v>2.2659999999999911</v>
      </c>
      <c r="M21" s="55">
        <f>[3]Aug!$AD21</f>
        <v>25</v>
      </c>
      <c r="N21" s="55">
        <v>2</v>
      </c>
      <c r="O21" s="55"/>
      <c r="P21" s="51">
        <f t="shared" si="5"/>
        <v>5.0243902439024195</v>
      </c>
      <c r="Q21" s="406"/>
      <c r="R21" s="33"/>
      <c r="S21" s="441"/>
    </row>
    <row r="22" spans="2:22" ht="15.75" customHeight="1">
      <c r="B22" s="222">
        <v>46251</v>
      </c>
      <c r="C22" s="91">
        <v>9</v>
      </c>
      <c r="D22" s="151" t="s">
        <v>151</v>
      </c>
      <c r="E22" s="438">
        <v>1380</v>
      </c>
      <c r="F22" s="152">
        <f>[3]Aug!$N89</f>
        <v>1093</v>
      </c>
      <c r="G22" s="18">
        <v>5292</v>
      </c>
      <c r="H22" s="54">
        <f t="shared" si="3"/>
        <v>41.012216780582314</v>
      </c>
      <c r="I22" s="69"/>
      <c r="J22" s="428">
        <f>71+78.5+82+88+96-13-32</f>
        <v>370.5</v>
      </c>
      <c r="K22" s="428">
        <f>(G22+G23)*0.066</f>
        <v>369.46800000000002</v>
      </c>
      <c r="L22" s="428">
        <f t="shared" si="1"/>
        <v>1.0319999999999823</v>
      </c>
      <c r="M22" s="55">
        <f>[3]Aug!$AD22</f>
        <v>487</v>
      </c>
      <c r="N22" s="55">
        <f>5+1+11</f>
        <v>17</v>
      </c>
      <c r="O22" s="55"/>
      <c r="P22" s="428">
        <f>(J22-K22)/J22*100</f>
        <v>0.2785425101214527</v>
      </c>
      <c r="Q22" s="406">
        <f>(G22+G23)/(E22/60)</f>
        <v>243.39130434782609</v>
      </c>
      <c r="R22" s="33"/>
      <c r="S22" s="441">
        <f>SUM('[4]Daily glue Aug'!$H$25:$H$27)</f>
        <v>4.1077894961549899E-2</v>
      </c>
    </row>
    <row r="23" spans="2:22" ht="15.75" customHeight="1">
      <c r="B23" s="92">
        <v>46251</v>
      </c>
      <c r="C23" s="88">
        <v>9</v>
      </c>
      <c r="D23" s="151" t="s">
        <v>145</v>
      </c>
      <c r="E23" s="439"/>
      <c r="F23" s="152">
        <f>[3]Aug!$N90</f>
        <v>80</v>
      </c>
      <c r="G23" s="18">
        <v>306</v>
      </c>
      <c r="H23" s="54">
        <f t="shared" si="3"/>
        <v>32.4</v>
      </c>
      <c r="I23" s="69"/>
      <c r="J23" s="428"/>
      <c r="K23" s="428"/>
      <c r="L23" s="428"/>
      <c r="M23" s="55">
        <f>[3]Aug!$AD23</f>
        <v>96</v>
      </c>
      <c r="N23" s="55">
        <v>0</v>
      </c>
      <c r="O23" s="55"/>
      <c r="P23" s="428"/>
      <c r="Q23" s="406"/>
      <c r="R23" s="33"/>
      <c r="S23" s="441"/>
    </row>
    <row r="24" spans="2:22" ht="15" customHeight="1">
      <c r="B24" s="92">
        <v>46252</v>
      </c>
      <c r="C24" s="88">
        <v>10</v>
      </c>
      <c r="D24" s="151" t="s">
        <v>145</v>
      </c>
      <c r="E24" s="438">
        <v>1440</v>
      </c>
      <c r="F24" s="152">
        <f>[3]Aug!$N91</f>
        <v>195</v>
      </c>
      <c r="G24" s="18">
        <v>825</v>
      </c>
      <c r="H24" s="54">
        <f t="shared" si="3"/>
        <v>35.837104072398191</v>
      </c>
      <c r="I24" s="69"/>
      <c r="J24" s="428">
        <f>13+32+99+99.7+93.5+98+83.7+98.6+97-70</f>
        <v>644.5</v>
      </c>
      <c r="K24" s="428">
        <f>(G24+G25)*0.066</f>
        <v>628.18799999999999</v>
      </c>
      <c r="L24" s="428">
        <f t="shared" ref="L24" si="6">J24-K24</f>
        <v>16.312000000000012</v>
      </c>
      <c r="M24" s="55">
        <f>[3]Aug!$AD24</f>
        <v>171</v>
      </c>
      <c r="N24" s="55">
        <v>11</v>
      </c>
      <c r="O24" s="55"/>
      <c r="P24" s="428">
        <f>(J24-K24)/J24*100</f>
        <v>2.5309542280837878</v>
      </c>
      <c r="Q24" s="406">
        <f>(G24+G25)/(E24/60)</f>
        <v>396.58333333333331</v>
      </c>
      <c r="R24" s="16"/>
      <c r="S24" s="441">
        <f>SUM('[4]Daily glue Aug'!$H$28:$H$30)</f>
        <v>1.9139967612047233E-2</v>
      </c>
    </row>
    <row r="25" spans="2:22" ht="15.75" customHeight="1">
      <c r="B25" s="92">
        <v>46252</v>
      </c>
      <c r="C25" s="88">
        <v>10</v>
      </c>
      <c r="D25" s="151" t="s">
        <v>45</v>
      </c>
      <c r="E25" s="439"/>
      <c r="F25" s="152">
        <f>[3]Aug!$N92</f>
        <v>1130</v>
      </c>
      <c r="G25" s="18">
        <v>8693</v>
      </c>
      <c r="H25" s="54">
        <f t="shared" si="3"/>
        <v>65.163560645497142</v>
      </c>
      <c r="I25" s="69"/>
      <c r="J25" s="428"/>
      <c r="K25" s="428"/>
      <c r="L25" s="428"/>
      <c r="M25" s="55">
        <f>[3]Aug!$AD25</f>
        <v>170</v>
      </c>
      <c r="N25" s="55">
        <v>3</v>
      </c>
      <c r="O25" s="55"/>
      <c r="P25" s="428"/>
      <c r="Q25" s="406"/>
      <c r="R25" s="16"/>
      <c r="S25" s="441"/>
    </row>
    <row r="26" spans="2:22" ht="15.75" customHeight="1">
      <c r="B26" s="92">
        <v>46253</v>
      </c>
      <c r="C26" s="88">
        <v>11</v>
      </c>
      <c r="D26" s="151" t="s">
        <v>45</v>
      </c>
      <c r="E26" s="438">
        <v>1440</v>
      </c>
      <c r="F26" s="152">
        <f>[3]Aug!$N93</f>
        <v>744</v>
      </c>
      <c r="G26" s="18">
        <v>6634</v>
      </c>
      <c r="H26" s="54">
        <f t="shared" si="3"/>
        <v>75.529411764705884</v>
      </c>
      <c r="I26" s="69"/>
      <c r="J26" s="54">
        <f>70+90.8+92+96+98</f>
        <v>446.8</v>
      </c>
      <c r="K26" s="54">
        <f t="shared" si="4"/>
        <v>437.84399999999999</v>
      </c>
      <c r="L26" s="54">
        <f t="shared" si="1"/>
        <v>8.9560000000000173</v>
      </c>
      <c r="M26" s="55">
        <f>[3]Aug!$AD26</f>
        <v>178</v>
      </c>
      <c r="N26" s="55">
        <v>6</v>
      </c>
      <c r="O26" s="55"/>
      <c r="P26" s="51">
        <f t="shared" si="5"/>
        <v>2.0044762757385892</v>
      </c>
      <c r="Q26" s="406">
        <f>(G26+G27)/(E26/60)</f>
        <v>360.45833333333331</v>
      </c>
      <c r="R26" s="16"/>
      <c r="S26" s="441">
        <f>SUM('[4]Daily glue Aug'!$H$31:$H$33)</f>
        <v>1.3731127556308512E-2</v>
      </c>
    </row>
    <row r="27" spans="2:22" ht="15.75" customHeight="1">
      <c r="B27" s="92">
        <v>46253</v>
      </c>
      <c r="C27" s="88">
        <v>11</v>
      </c>
      <c r="D27" s="151" t="s">
        <v>55</v>
      </c>
      <c r="E27" s="439"/>
      <c r="F27" s="152">
        <f>[3]Aug!$N94</f>
        <v>255</v>
      </c>
      <c r="G27" s="18">
        <v>2017</v>
      </c>
      <c r="H27" s="54">
        <f>(G27)*24/(F27/60)/17000*100</f>
        <v>67.000692041522498</v>
      </c>
      <c r="I27" s="69"/>
      <c r="J27" s="428">
        <f>((1800*2)*0.066)</f>
        <v>237.60000000000002</v>
      </c>
      <c r="K27" s="428">
        <f>(G27+G28)*0.066</f>
        <v>232.65</v>
      </c>
      <c r="L27" s="428">
        <f t="shared" si="1"/>
        <v>4.9500000000000171</v>
      </c>
      <c r="M27" s="55">
        <f>[3]Aug!$AD27</f>
        <v>288</v>
      </c>
      <c r="N27" s="55">
        <v>32</v>
      </c>
      <c r="O27" s="55"/>
      <c r="P27" s="428">
        <f t="shared" si="5"/>
        <v>2.0833333333333401</v>
      </c>
      <c r="Q27" s="406"/>
      <c r="R27" s="16"/>
      <c r="S27" s="441"/>
    </row>
    <row r="28" spans="2:22" ht="15.75" customHeight="1">
      <c r="B28" s="92">
        <v>46254</v>
      </c>
      <c r="C28" s="88">
        <v>12</v>
      </c>
      <c r="D28" s="151" t="s">
        <v>55</v>
      </c>
      <c r="E28" s="438">
        <v>1240</v>
      </c>
      <c r="F28" s="152">
        <f>[3]Aug!$N95</f>
        <v>210</v>
      </c>
      <c r="G28" s="18">
        <v>1508</v>
      </c>
      <c r="H28" s="54">
        <f t="shared" ref="H28:H55" si="7">(G28)*24/(F28/60)/17000*100</f>
        <v>60.826890756302518</v>
      </c>
      <c r="I28" s="69"/>
      <c r="J28" s="428"/>
      <c r="K28" s="428"/>
      <c r="L28" s="428"/>
      <c r="M28" s="55">
        <f>[3]Aug!$AD28</f>
        <v>48</v>
      </c>
      <c r="N28" s="55">
        <v>3</v>
      </c>
      <c r="O28" s="55"/>
      <c r="P28" s="428"/>
      <c r="Q28" s="406">
        <f>(G28+G29)/(E28/60)</f>
        <v>421.45161290322579</v>
      </c>
      <c r="R28" s="16"/>
      <c r="S28" s="441">
        <f>SUM('[4]Daily glue Aug'!$H$34:$H$36)</f>
        <v>1.7701871977164281E-2</v>
      </c>
    </row>
    <row r="29" spans="2:22" ht="15.75" customHeight="1">
      <c r="B29" s="222">
        <v>46254</v>
      </c>
      <c r="C29" s="91">
        <v>12</v>
      </c>
      <c r="D29" s="151" t="s">
        <v>27</v>
      </c>
      <c r="E29" s="439"/>
      <c r="F29" s="152">
        <f>[3]Aug!$N96</f>
        <v>820</v>
      </c>
      <c r="G29" s="18">
        <v>7202</v>
      </c>
      <c r="H29" s="54">
        <f t="shared" si="7"/>
        <v>74.396556671449062</v>
      </c>
      <c r="I29" s="69"/>
      <c r="J29" s="54">
        <f>97.8+97+103+97+85</f>
        <v>479.8</v>
      </c>
      <c r="K29" s="54">
        <f t="shared" si="4"/>
        <v>475.33200000000005</v>
      </c>
      <c r="L29" s="54">
        <f t="shared" si="1"/>
        <v>4.4679999999999609</v>
      </c>
      <c r="M29" s="55">
        <f>[3]Aug!$AD29</f>
        <v>295</v>
      </c>
      <c r="N29" s="55">
        <v>4</v>
      </c>
      <c r="O29" s="55"/>
      <c r="P29" s="51">
        <f t="shared" si="5"/>
        <v>0.93122134222591924</v>
      </c>
      <c r="Q29" s="406"/>
      <c r="R29" s="33"/>
      <c r="S29" s="441"/>
    </row>
    <row r="30" spans="2:22" s="234" customFormat="1" ht="15.75" customHeight="1">
      <c r="B30" s="228">
        <v>46255</v>
      </c>
      <c r="C30" s="229"/>
      <c r="D30" s="247" t="s">
        <v>152</v>
      </c>
      <c r="E30" s="230"/>
      <c r="F30" s="248">
        <f>[3]Aug!$N97</f>
        <v>0</v>
      </c>
      <c r="G30" s="249"/>
      <c r="H30" s="227" t="e">
        <f>(G30)*24/(F30/60)/17000*100</f>
        <v>#DIV/0!</v>
      </c>
      <c r="I30" s="370"/>
      <c r="J30" s="227"/>
      <c r="K30" s="227">
        <f t="shared" si="4"/>
        <v>0</v>
      </c>
      <c r="L30" s="227">
        <f t="shared" si="1"/>
        <v>0</v>
      </c>
      <c r="M30" s="232">
        <f>[3]Aug!$AD30</f>
        <v>0</v>
      </c>
      <c r="N30" s="232"/>
      <c r="O30" s="232"/>
      <c r="P30" s="371" t="e">
        <f t="shared" si="5"/>
        <v>#DIV/0!</v>
      </c>
      <c r="Q30" s="372" t="e">
        <f t="shared" si="2"/>
        <v>#DIV/0!</v>
      </c>
      <c r="R30" s="373"/>
      <c r="S30" s="342"/>
    </row>
    <row r="31" spans="2:22" ht="15.75" customHeight="1">
      <c r="B31" s="92">
        <v>46258</v>
      </c>
      <c r="C31" s="88">
        <v>13</v>
      </c>
      <c r="D31" s="151" t="s">
        <v>146</v>
      </c>
      <c r="E31" s="438">
        <v>1380</v>
      </c>
      <c r="F31" s="152">
        <f>[3]Aug!$N98</f>
        <v>869</v>
      </c>
      <c r="G31" s="18">
        <v>5470</v>
      </c>
      <c r="H31" s="54">
        <f>(G31)*24/(F31/60)/17000*100</f>
        <v>53.318892574290935</v>
      </c>
      <c r="I31" s="69"/>
      <c r="J31" s="54">
        <f>SUM(86.7,94,94,92.4)</f>
        <v>367.1</v>
      </c>
      <c r="K31" s="54">
        <f t="shared" si="4"/>
        <v>361.02000000000004</v>
      </c>
      <c r="L31" s="54">
        <f t="shared" si="1"/>
        <v>6.0799999999999841</v>
      </c>
      <c r="M31" s="55">
        <f>[3]Aug!$AD31</f>
        <v>482</v>
      </c>
      <c r="N31" s="55">
        <f>8+30+11</f>
        <v>49</v>
      </c>
      <c r="O31" s="55"/>
      <c r="P31" s="51">
        <f t="shared" si="5"/>
        <v>1.6562244619994508</v>
      </c>
      <c r="Q31" s="38">
        <f>G31/(E31/60)</f>
        <v>237.82608695652175</v>
      </c>
      <c r="R31" s="16"/>
      <c r="S31" s="339">
        <f>SUM('[4]Daily glue Aug'!$H$39:$H$41)</f>
        <v>2.8544333067047397E-2</v>
      </c>
    </row>
    <row r="32" spans="2:22" ht="15.75" customHeight="1">
      <c r="B32" s="92">
        <v>46258</v>
      </c>
      <c r="C32" s="88">
        <v>13</v>
      </c>
      <c r="D32" s="151" t="s">
        <v>50</v>
      </c>
      <c r="E32" s="439"/>
      <c r="F32" s="152">
        <f>[3]Aug!$N99</f>
        <v>110</v>
      </c>
      <c r="G32" s="18">
        <v>274</v>
      </c>
      <c r="H32" s="54">
        <f t="shared" si="7"/>
        <v>21.099465240641713</v>
      </c>
      <c r="I32" s="69"/>
      <c r="J32" s="54">
        <f>SUM(97.8,95.4)-80.9-93.2</f>
        <v>19.09999999999998</v>
      </c>
      <c r="K32" s="54">
        <f t="shared" si="4"/>
        <v>18.084</v>
      </c>
      <c r="L32" s="54">
        <f t="shared" si="1"/>
        <v>1.0159999999999805</v>
      </c>
      <c r="M32" s="55">
        <f>[3]Aug!$AD32</f>
        <v>191</v>
      </c>
      <c r="N32" s="55">
        <v>0</v>
      </c>
      <c r="O32" s="55"/>
      <c r="P32" s="51">
        <f t="shared" si="5"/>
        <v>5.3193717277485941</v>
      </c>
      <c r="Q32" s="38">
        <f>G32/(E31/60)</f>
        <v>11.913043478260869</v>
      </c>
      <c r="R32" s="16"/>
      <c r="S32" s="343"/>
    </row>
    <row r="33" spans="1:25" ht="15.75" customHeight="1">
      <c r="B33" s="92">
        <v>46259</v>
      </c>
      <c r="C33" s="88">
        <v>14</v>
      </c>
      <c r="D33" s="151" t="s">
        <v>50</v>
      </c>
      <c r="E33" s="438">
        <v>1440</v>
      </c>
      <c r="F33" s="152">
        <f>[3]Aug!$N100</f>
        <v>1075</v>
      </c>
      <c r="G33" s="18">
        <v>6773</v>
      </c>
      <c r="H33" s="54">
        <f t="shared" si="7"/>
        <v>53.36864569083447</v>
      </c>
      <c r="I33" s="69"/>
      <c r="J33" s="54">
        <f>SUM(92,80.9,93.2,97.3,94)</f>
        <v>457.40000000000003</v>
      </c>
      <c r="K33" s="54">
        <f t="shared" si="4"/>
        <v>447.01800000000003</v>
      </c>
      <c r="L33" s="54">
        <f t="shared" si="1"/>
        <v>10.382000000000005</v>
      </c>
      <c r="M33" s="55">
        <f>[3]Aug!$AD33</f>
        <v>336</v>
      </c>
      <c r="N33" s="55">
        <f>3+3</f>
        <v>6</v>
      </c>
      <c r="O33" s="55"/>
      <c r="P33" s="51">
        <f t="shared" si="5"/>
        <v>2.2697857455181469</v>
      </c>
      <c r="Q33" s="38">
        <f t="shared" si="2"/>
        <v>282.20833333333331</v>
      </c>
      <c r="R33" s="16"/>
      <c r="S33" s="339">
        <f>SUM('[4]Daily glue Aug'!$H$42:$H$43)</f>
        <v>1.1789070750700709E-2</v>
      </c>
    </row>
    <row r="34" spans="1:25" ht="15.75" customHeight="1">
      <c r="B34" s="222">
        <v>46259</v>
      </c>
      <c r="C34" s="91">
        <v>14</v>
      </c>
      <c r="D34" s="151" t="s">
        <v>44</v>
      </c>
      <c r="E34" s="439"/>
      <c r="F34" s="152">
        <f>[3]Aug!$N101</f>
        <v>48</v>
      </c>
      <c r="G34" s="18">
        <v>466</v>
      </c>
      <c r="H34" s="54">
        <f t="shared" si="7"/>
        <v>82.235294117647058</v>
      </c>
      <c r="I34" s="69"/>
      <c r="J34" s="54">
        <f>SUM(89.4)-58.5</f>
        <v>30.900000000000006</v>
      </c>
      <c r="K34" s="54">
        <f t="shared" si="4"/>
        <v>30.756</v>
      </c>
      <c r="L34" s="54">
        <f t="shared" si="1"/>
        <v>0.14400000000000546</v>
      </c>
      <c r="M34" s="55">
        <f>[3]Aug!$AD34</f>
        <v>243</v>
      </c>
      <c r="N34" s="55">
        <v>0</v>
      </c>
      <c r="O34" s="55"/>
      <c r="P34" s="51">
        <f t="shared" si="5"/>
        <v>0.46601941747574571</v>
      </c>
      <c r="Q34" s="38">
        <f>G34/(E33/60)</f>
        <v>19.416666666666668</v>
      </c>
      <c r="R34" s="33"/>
      <c r="S34" s="343"/>
    </row>
    <row r="35" spans="1:25" ht="15.75" customHeight="1">
      <c r="B35" s="222">
        <v>46260</v>
      </c>
      <c r="C35" s="91">
        <v>15</v>
      </c>
      <c r="D35" s="151" t="s">
        <v>44</v>
      </c>
      <c r="E35" s="438">
        <v>1440</v>
      </c>
      <c r="F35" s="152">
        <f>[3]Aug!$N102</f>
        <v>951</v>
      </c>
      <c r="G35" s="18">
        <v>5146</v>
      </c>
      <c r="H35" s="54">
        <f t="shared" si="7"/>
        <v>45.83559101874188</v>
      </c>
      <c r="I35" s="69"/>
      <c r="J35" s="54">
        <f>SUM(58.5,92,93,94,3)</f>
        <v>340.5</v>
      </c>
      <c r="K35" s="54">
        <f t="shared" si="4"/>
        <v>339.63600000000002</v>
      </c>
      <c r="L35" s="54">
        <f t="shared" si="1"/>
        <v>0.8639999999999759</v>
      </c>
      <c r="M35" s="55">
        <f>[3]Aug!$AD35</f>
        <v>452</v>
      </c>
      <c r="N35" s="55">
        <f>5+4+43</f>
        <v>52</v>
      </c>
      <c r="O35" s="55"/>
      <c r="P35" s="51">
        <f t="shared" si="5"/>
        <v>0.2537444933920634</v>
      </c>
      <c r="Q35" s="38">
        <f t="shared" si="2"/>
        <v>214.41666666666666</v>
      </c>
      <c r="R35" s="33"/>
      <c r="S35" s="339">
        <f>SUM('[4]Daily glue Aug'!$H$45:$H$46)</f>
        <v>1.9426068476879842E-2</v>
      </c>
    </row>
    <row r="36" spans="1:25" ht="15.75" customHeight="1">
      <c r="B36" s="222">
        <v>46260</v>
      </c>
      <c r="C36" s="91">
        <v>15</v>
      </c>
      <c r="D36" s="151" t="s">
        <v>45</v>
      </c>
      <c r="E36" s="439"/>
      <c r="F36" s="152">
        <f>[3]Aug!$N103</f>
        <v>148</v>
      </c>
      <c r="G36" s="18">
        <v>1143</v>
      </c>
      <c r="H36" s="54">
        <f t="shared" si="7"/>
        <v>65.418124006359292</v>
      </c>
      <c r="I36" s="69"/>
      <c r="J36" s="54">
        <f>SUM(95,94)-47.1-63.7</f>
        <v>78.2</v>
      </c>
      <c r="K36" s="54">
        <f t="shared" si="4"/>
        <v>75.438000000000002</v>
      </c>
      <c r="L36" s="54">
        <f t="shared" si="1"/>
        <v>2.7620000000000005</v>
      </c>
      <c r="M36" s="55">
        <f>[3]Aug!$AD36</f>
        <v>112</v>
      </c>
      <c r="N36" s="55">
        <v>2</v>
      </c>
      <c r="O36" s="55"/>
      <c r="P36" s="51">
        <f t="shared" si="5"/>
        <v>3.5319693094629159</v>
      </c>
      <c r="Q36" s="38">
        <f>G36/(E35/60)</f>
        <v>47.625</v>
      </c>
      <c r="R36" s="16"/>
      <c r="S36" s="339">
        <f>'[4]Daily glue Aug'!$H$48</f>
        <v>4.9752212389380527E-3</v>
      </c>
    </row>
    <row r="37" spans="1:25" s="234" customFormat="1" ht="15.75" customHeight="1">
      <c r="A37"/>
      <c r="B37" s="222">
        <v>46261</v>
      </c>
      <c r="C37" s="91">
        <v>16</v>
      </c>
      <c r="D37" s="151" t="s">
        <v>45</v>
      </c>
      <c r="E37" s="438">
        <v>1440</v>
      </c>
      <c r="F37" s="152">
        <f>[3]Aug!$N104</f>
        <v>651</v>
      </c>
      <c r="G37" s="18">
        <v>4346</v>
      </c>
      <c r="H37" s="54">
        <f>(G37)*24/(F37/60)/17000*100</f>
        <v>56.548658172946595</v>
      </c>
      <c r="I37" s="69">
        <v>22</v>
      </c>
      <c r="J37" s="54">
        <f>SUM(47.1,90,63.7,88)</f>
        <v>288.8</v>
      </c>
      <c r="K37" s="54">
        <f t="shared" si="4"/>
        <v>286.83600000000001</v>
      </c>
      <c r="L37" s="54">
        <f t="shared" si="1"/>
        <v>1.9639999999999986</v>
      </c>
      <c r="M37" s="55">
        <f>[3]Aug!$AD37</f>
        <v>220</v>
      </c>
      <c r="N37" s="55">
        <f>5+5</f>
        <v>10</v>
      </c>
      <c r="O37" s="55"/>
      <c r="P37" s="51">
        <f t="shared" si="5"/>
        <v>0.68005540166204936</v>
      </c>
      <c r="Q37" s="38">
        <f t="shared" si="2"/>
        <v>181.08333333333334</v>
      </c>
      <c r="R37" s="16"/>
      <c r="S37" s="339">
        <f>SUM('[4]Daily glue Aug'!$H$48:$H$49)</f>
        <v>1.0759171856222004E-2</v>
      </c>
      <c r="T37"/>
      <c r="U37"/>
      <c r="V37"/>
      <c r="W37"/>
      <c r="X37"/>
      <c r="Y37"/>
    </row>
    <row r="38" spans="1:25" s="234" customFormat="1" ht="15.75" customHeight="1">
      <c r="A38"/>
      <c r="B38" s="222">
        <v>46261</v>
      </c>
      <c r="C38" s="91">
        <v>16</v>
      </c>
      <c r="D38" s="151" t="s">
        <v>153</v>
      </c>
      <c r="E38" s="440"/>
      <c r="F38" s="152">
        <f>[3]Aug!$N105</f>
        <v>100</v>
      </c>
      <c r="G38" s="18">
        <v>704</v>
      </c>
      <c r="H38" s="54">
        <f t="shared" si="7"/>
        <v>59.632941176470588</v>
      </c>
      <c r="I38" s="69"/>
      <c r="J38" s="184">
        <f>K38</f>
        <v>46.463999999999999</v>
      </c>
      <c r="K38" s="54">
        <f t="shared" si="4"/>
        <v>46.463999999999999</v>
      </c>
      <c r="L38" s="54">
        <f t="shared" si="1"/>
        <v>0</v>
      </c>
      <c r="M38" s="55">
        <f>[3]Aug!$AD38</f>
        <v>228</v>
      </c>
      <c r="N38" s="55">
        <v>0</v>
      </c>
      <c r="O38" s="55"/>
      <c r="P38" s="51">
        <f t="shared" si="5"/>
        <v>0</v>
      </c>
      <c r="Q38" s="38">
        <f>G38/(E37/60)</f>
        <v>29.333333333333332</v>
      </c>
      <c r="R38" s="16"/>
      <c r="S38" s="339">
        <f>'[4]Daily glue Aug'!$H$50/2</f>
        <v>2.895550061804697E-3</v>
      </c>
      <c r="T38"/>
      <c r="U38"/>
      <c r="V38"/>
      <c r="W38"/>
      <c r="X38"/>
      <c r="Y38"/>
    </row>
    <row r="39" spans="1:25" ht="15.75" customHeight="1">
      <c r="B39" s="222">
        <v>46261</v>
      </c>
      <c r="C39" s="91">
        <v>16</v>
      </c>
      <c r="D39" s="151" t="s">
        <v>154</v>
      </c>
      <c r="E39" s="439"/>
      <c r="F39" s="152">
        <f>[3]Aug!$N106</f>
        <v>208</v>
      </c>
      <c r="G39" s="18">
        <v>1233</v>
      </c>
      <c r="H39" s="54">
        <f t="shared" si="7"/>
        <v>50.212669683257914</v>
      </c>
      <c r="I39" s="69"/>
      <c r="J39" s="184">
        <f>1260*0.066</f>
        <v>83.160000000000011</v>
      </c>
      <c r="K39" s="54">
        <f t="shared" si="4"/>
        <v>81.378</v>
      </c>
      <c r="L39" s="54">
        <f t="shared" si="1"/>
        <v>1.7820000000000107</v>
      </c>
      <c r="M39" s="55">
        <f>[3]Aug!$AD39</f>
        <v>68</v>
      </c>
      <c r="N39" s="55">
        <v>3</v>
      </c>
      <c r="O39" s="55"/>
      <c r="P39" s="51">
        <f t="shared" si="5"/>
        <v>2.1428571428571552</v>
      </c>
      <c r="Q39" s="38">
        <f>G39/(E37/60)</f>
        <v>51.375</v>
      </c>
      <c r="R39" s="33"/>
      <c r="S39" s="339">
        <f>'[4]Daily glue Aug'!$H$50/2</f>
        <v>2.895550061804697E-3</v>
      </c>
    </row>
    <row r="40" spans="1:25" ht="15.75" customHeight="1">
      <c r="B40" s="222">
        <v>46262</v>
      </c>
      <c r="C40" s="91">
        <v>17</v>
      </c>
      <c r="D40" s="151" t="s">
        <v>155</v>
      </c>
      <c r="E40" s="438">
        <v>1260</v>
      </c>
      <c r="F40" s="152">
        <f>[3]Aug!$N107</f>
        <v>237</v>
      </c>
      <c r="G40" s="18">
        <v>1166</v>
      </c>
      <c r="H40" s="54">
        <f t="shared" si="7"/>
        <v>41.673864482501862</v>
      </c>
      <c r="I40" s="69"/>
      <c r="J40" s="184">
        <f>1260*0.066</f>
        <v>83.160000000000011</v>
      </c>
      <c r="K40" s="54">
        <f t="shared" si="4"/>
        <v>76.956000000000003</v>
      </c>
      <c r="L40" s="54">
        <f t="shared" si="1"/>
        <v>6.2040000000000077</v>
      </c>
      <c r="M40" s="55">
        <f>[3]Aug!$AD40</f>
        <v>192</v>
      </c>
      <c r="N40" s="55">
        <v>32</v>
      </c>
      <c r="O40" s="55"/>
      <c r="P40" s="51">
        <f t="shared" si="5"/>
        <v>7.4603174603174685</v>
      </c>
      <c r="Q40" s="38">
        <f t="shared" si="2"/>
        <v>55.523809523809526</v>
      </c>
      <c r="R40" s="33"/>
      <c r="S40" s="339">
        <f>'[4]Daily glue Aug'!$H$50</f>
        <v>5.791100123609394E-3</v>
      </c>
    </row>
    <row r="41" spans="1:25" ht="15.75" customHeight="1">
      <c r="B41" s="222">
        <v>46262</v>
      </c>
      <c r="C41" s="91">
        <v>17</v>
      </c>
      <c r="D41" s="151" t="s">
        <v>157</v>
      </c>
      <c r="E41" s="440"/>
      <c r="F41" s="152">
        <f>[3]Aug!$N108</f>
        <v>95</v>
      </c>
      <c r="G41" s="18">
        <v>612</v>
      </c>
      <c r="H41" s="54">
        <f t="shared" si="7"/>
        <v>54.568421052631578</v>
      </c>
      <c r="I41" s="69"/>
      <c r="J41" s="184">
        <f>630*0.066</f>
        <v>41.580000000000005</v>
      </c>
      <c r="K41" s="54">
        <f t="shared" si="4"/>
        <v>40.392000000000003</v>
      </c>
      <c r="L41" s="54">
        <f t="shared" si="1"/>
        <v>1.1880000000000024</v>
      </c>
      <c r="M41" s="55">
        <f>[3]Aug!$AD41</f>
        <v>42</v>
      </c>
      <c r="N41" s="55">
        <f>3+8</f>
        <v>11</v>
      </c>
      <c r="O41" s="55"/>
      <c r="P41" s="51">
        <f t="shared" si="5"/>
        <v>2.8571428571428625</v>
      </c>
      <c r="Q41" s="38">
        <f>G41/(E40/60)</f>
        <v>29.142857142857142</v>
      </c>
      <c r="R41" s="33"/>
      <c r="S41" s="339">
        <f>'[4]Daily glue Aug'!$H$52</f>
        <v>7.3375097885669529E-3</v>
      </c>
    </row>
    <row r="42" spans="1:25" ht="15.75" customHeight="1">
      <c r="B42" s="222">
        <v>46262</v>
      </c>
      <c r="C42" s="88">
        <v>17</v>
      </c>
      <c r="D42" s="151" t="s">
        <v>156</v>
      </c>
      <c r="E42" s="440"/>
      <c r="F42" s="152">
        <f>[3]Aug!$N109</f>
        <v>84</v>
      </c>
      <c r="G42" s="18">
        <v>665</v>
      </c>
      <c r="H42" s="54">
        <f t="shared" si="7"/>
        <v>67.058823529411754</v>
      </c>
      <c r="I42" s="69"/>
      <c r="J42" s="184">
        <f>670*0.066</f>
        <v>44.22</v>
      </c>
      <c r="K42" s="54">
        <f t="shared" si="4"/>
        <v>43.89</v>
      </c>
      <c r="L42" s="54">
        <f t="shared" si="1"/>
        <v>0.32999999999999829</v>
      </c>
      <c r="M42" s="55">
        <f>[3]Aug!$AD42</f>
        <v>62</v>
      </c>
      <c r="N42" s="55">
        <v>11</v>
      </c>
      <c r="O42" s="55"/>
      <c r="P42" s="51">
        <f t="shared" si="5"/>
        <v>0.74626865671641407</v>
      </c>
      <c r="Q42" s="38">
        <f>G42/(E40/60)</f>
        <v>31.666666666666668</v>
      </c>
      <c r="R42" s="33"/>
      <c r="S42" s="343"/>
    </row>
    <row r="43" spans="1:25" ht="15.75" customHeight="1">
      <c r="B43" s="92">
        <v>46262</v>
      </c>
      <c r="C43" s="88">
        <v>17</v>
      </c>
      <c r="D43" s="151" t="s">
        <v>158</v>
      </c>
      <c r="E43" s="439"/>
      <c r="F43" s="152">
        <f>[3]Aug!$N110</f>
        <v>200</v>
      </c>
      <c r="G43" s="18">
        <v>1177</v>
      </c>
      <c r="H43" s="54">
        <f t="shared" si="7"/>
        <v>49.849411764705884</v>
      </c>
      <c r="I43" s="69"/>
      <c r="J43" s="54">
        <f>SUM(95)-11.5</f>
        <v>83.5</v>
      </c>
      <c r="K43" s="54">
        <f>(G43)*0.0708</f>
        <v>83.331600000000009</v>
      </c>
      <c r="L43" s="54">
        <f t="shared" si="1"/>
        <v>0.16839999999999122</v>
      </c>
      <c r="M43" s="55">
        <f>[3]Aug!$AD43</f>
        <v>421</v>
      </c>
      <c r="N43" s="55">
        <v>5</v>
      </c>
      <c r="O43" s="55"/>
      <c r="P43" s="51">
        <f t="shared" si="5"/>
        <v>0.20167664670657634</v>
      </c>
      <c r="Q43" s="38">
        <f>G43/(E40/60)</f>
        <v>56.047619047619051</v>
      </c>
      <c r="R43" s="33"/>
      <c r="S43" s="339">
        <f>'[4]Daily glue Aug'!$H$52</f>
        <v>7.3375097885669529E-3</v>
      </c>
    </row>
    <row r="44" spans="1:25" ht="15.75" customHeight="1">
      <c r="B44" s="92">
        <v>46265</v>
      </c>
      <c r="C44" s="88">
        <v>18</v>
      </c>
      <c r="D44" s="151" t="s">
        <v>159</v>
      </c>
      <c r="E44" s="48">
        <v>1380</v>
      </c>
      <c r="F44" s="152">
        <f>[3]Aug!$N111</f>
        <v>599</v>
      </c>
      <c r="G44" s="18">
        <v>4222</v>
      </c>
      <c r="H44" s="54">
        <f t="shared" si="7"/>
        <v>59.704212903859386</v>
      </c>
      <c r="I44" s="69"/>
      <c r="J44" s="54">
        <f>SUM(93.5,99.4,93.7,11.5,5)</f>
        <v>303.10000000000002</v>
      </c>
      <c r="K44" s="54">
        <f>(G44)*0.0708</f>
        <v>298.91759999999999</v>
      </c>
      <c r="L44" s="54">
        <f t="shared" si="1"/>
        <v>4.1824000000000296</v>
      </c>
      <c r="M44" s="55">
        <f>[3]Aug!$AD44</f>
        <v>721</v>
      </c>
      <c r="N44" s="55">
        <f>15+2</f>
        <v>17</v>
      </c>
      <c r="O44" s="55"/>
      <c r="P44" s="51">
        <f t="shared" si="5"/>
        <v>1.3798746288353776</v>
      </c>
      <c r="Q44" s="38">
        <f t="shared" si="2"/>
        <v>183.56521739130434</v>
      </c>
      <c r="R44" s="16"/>
      <c r="S44" s="339">
        <f>'[4]Daily glue Aug'!$H$56</f>
        <v>9.2467105263157896E-3</v>
      </c>
    </row>
    <row r="45" spans="1:25" ht="15.75" customHeight="1">
      <c r="B45" s="92"/>
      <c r="C45" s="88"/>
      <c r="D45" s="151"/>
      <c r="E45" s="48"/>
      <c r="F45" s="152"/>
      <c r="G45" s="18"/>
      <c r="H45" s="54" t="e">
        <f t="shared" si="7"/>
        <v>#DIV/0!</v>
      </c>
      <c r="I45" s="69"/>
      <c r="J45" s="33"/>
      <c r="K45" s="54">
        <f t="shared" si="4"/>
        <v>0</v>
      </c>
      <c r="L45" s="54">
        <f t="shared" si="1"/>
        <v>0</v>
      </c>
      <c r="M45" s="55"/>
      <c r="N45" s="55"/>
      <c r="O45" s="55"/>
      <c r="P45" s="51" t="e">
        <f t="shared" si="5"/>
        <v>#DIV/0!</v>
      </c>
      <c r="Q45" s="38" t="e">
        <f t="shared" si="2"/>
        <v>#DIV/0!</v>
      </c>
      <c r="R45" s="16"/>
      <c r="S45" s="339"/>
    </row>
    <row r="46" spans="1:25" ht="15.75" customHeight="1" thickBot="1">
      <c r="B46" s="222"/>
      <c r="C46" s="91"/>
      <c r="D46" s="151"/>
      <c r="E46" s="48"/>
      <c r="F46" s="152"/>
      <c r="G46" s="18"/>
      <c r="H46" s="54" t="e">
        <f t="shared" si="7"/>
        <v>#DIV/0!</v>
      </c>
      <c r="I46" s="69"/>
      <c r="J46" s="54"/>
      <c r="K46" s="54">
        <f t="shared" si="4"/>
        <v>0</v>
      </c>
      <c r="L46" s="54">
        <f t="shared" si="1"/>
        <v>0</v>
      </c>
      <c r="M46" s="55"/>
      <c r="N46" s="55"/>
      <c r="O46" s="55"/>
      <c r="P46" s="51" t="e">
        <f t="shared" si="5"/>
        <v>#DIV/0!</v>
      </c>
      <c r="Q46" s="38" t="e">
        <f t="shared" si="2"/>
        <v>#DIV/0!</v>
      </c>
      <c r="R46" s="16"/>
      <c r="S46" s="339"/>
    </row>
    <row r="47" spans="1:25" ht="15.75" hidden="1" customHeight="1">
      <c r="B47" s="222"/>
      <c r="C47" s="91"/>
      <c r="D47" s="151"/>
      <c r="E47" s="48"/>
      <c r="F47" s="152"/>
      <c r="G47" s="18"/>
      <c r="H47" s="54" t="e">
        <f t="shared" si="7"/>
        <v>#DIV/0!</v>
      </c>
      <c r="I47" s="69"/>
      <c r="J47" s="54"/>
      <c r="K47" s="54">
        <f t="shared" si="4"/>
        <v>0</v>
      </c>
      <c r="L47" s="54">
        <f t="shared" si="1"/>
        <v>0</v>
      </c>
      <c r="M47" s="55"/>
      <c r="N47" s="55"/>
      <c r="O47" s="55"/>
      <c r="P47" s="51" t="e">
        <f t="shared" ref="P47:P56" si="8">(J47-K47)/J47*100</f>
        <v>#DIV/0!</v>
      </c>
      <c r="Q47" s="38" t="e">
        <f t="shared" si="2"/>
        <v>#DIV/0!</v>
      </c>
      <c r="R47" s="16"/>
      <c r="S47" s="339"/>
    </row>
    <row r="48" spans="1:25" ht="15.75" hidden="1" customHeight="1">
      <c r="B48" s="222"/>
      <c r="C48" s="91"/>
      <c r="D48" s="151"/>
      <c r="E48" s="48"/>
      <c r="F48" s="152"/>
      <c r="G48" s="18"/>
      <c r="H48" s="54" t="e">
        <f>(G48)*24/(F48/60)/17000*100</f>
        <v>#DIV/0!</v>
      </c>
      <c r="I48" s="69"/>
      <c r="J48" s="54"/>
      <c r="K48" s="54">
        <f t="shared" si="4"/>
        <v>0</v>
      </c>
      <c r="L48" s="54">
        <f t="shared" si="1"/>
        <v>0</v>
      </c>
      <c r="M48" s="55"/>
      <c r="N48" s="55"/>
      <c r="O48" s="55"/>
      <c r="P48" s="51" t="e">
        <f t="shared" si="8"/>
        <v>#DIV/0!</v>
      </c>
      <c r="Q48" s="38" t="e">
        <f t="shared" si="2"/>
        <v>#DIV/0!</v>
      </c>
      <c r="R48" s="16"/>
      <c r="S48" s="339"/>
    </row>
    <row r="49" spans="2:19" ht="15.75" hidden="1" customHeight="1">
      <c r="B49" s="92"/>
      <c r="C49" s="91"/>
      <c r="D49" s="225"/>
      <c r="E49" s="48"/>
      <c r="F49" s="152"/>
      <c r="G49" s="18"/>
      <c r="H49" s="54" t="e">
        <f>(G49)*24/(F49/60)/17000*100</f>
        <v>#DIV/0!</v>
      </c>
      <c r="I49" s="69"/>
      <c r="J49" s="54"/>
      <c r="K49" s="54">
        <f t="shared" si="4"/>
        <v>0</v>
      </c>
      <c r="L49" s="54">
        <f t="shared" si="1"/>
        <v>0</v>
      </c>
      <c r="M49" s="55"/>
      <c r="N49" s="55"/>
      <c r="O49" s="55"/>
      <c r="P49" s="51" t="e">
        <f t="shared" si="8"/>
        <v>#DIV/0!</v>
      </c>
      <c r="Q49" s="38" t="e">
        <f t="shared" si="2"/>
        <v>#DIV/0!</v>
      </c>
      <c r="R49" s="16"/>
      <c r="S49" s="339"/>
    </row>
    <row r="50" spans="2:19" ht="15.75" hidden="1" customHeight="1">
      <c r="B50" s="92"/>
      <c r="C50" s="91"/>
      <c r="D50" s="225"/>
      <c r="E50" s="48"/>
      <c r="F50" s="152"/>
      <c r="G50" s="18"/>
      <c r="H50" s="54" t="e">
        <f t="shared" si="7"/>
        <v>#DIV/0!</v>
      </c>
      <c r="I50" s="69"/>
      <c r="J50" s="54"/>
      <c r="K50" s="54">
        <f t="shared" ref="K50:K56" si="9">(G50)*0.066</f>
        <v>0</v>
      </c>
      <c r="L50" s="54">
        <f t="shared" ref="L50:L56" si="10">J50-K50</f>
        <v>0</v>
      </c>
      <c r="M50" s="55"/>
      <c r="N50" s="55"/>
      <c r="O50" s="55"/>
      <c r="P50" s="51" t="e">
        <f t="shared" si="8"/>
        <v>#DIV/0!</v>
      </c>
      <c r="Q50" s="38" t="e">
        <f t="shared" si="2"/>
        <v>#DIV/0!</v>
      </c>
      <c r="R50" s="16"/>
      <c r="S50" s="339"/>
    </row>
    <row r="51" spans="2:19" ht="15.75" hidden="1" customHeight="1">
      <c r="B51" s="222"/>
      <c r="C51" s="91"/>
      <c r="D51" s="151"/>
      <c r="E51" s="48"/>
      <c r="F51" s="152"/>
      <c r="G51" s="18"/>
      <c r="H51" s="54" t="e">
        <f t="shared" si="7"/>
        <v>#DIV/0!</v>
      </c>
      <c r="I51" s="69"/>
      <c r="J51" s="54"/>
      <c r="K51" s="54">
        <f t="shared" si="9"/>
        <v>0</v>
      </c>
      <c r="L51" s="54">
        <f t="shared" si="10"/>
        <v>0</v>
      </c>
      <c r="M51" s="55"/>
      <c r="N51" s="55"/>
      <c r="O51" s="55"/>
      <c r="P51" s="51" t="e">
        <f t="shared" si="8"/>
        <v>#DIV/0!</v>
      </c>
      <c r="Q51" s="38" t="e">
        <f t="shared" si="2"/>
        <v>#DIV/0!</v>
      </c>
      <c r="R51" s="16"/>
      <c r="S51" s="339"/>
    </row>
    <row r="52" spans="2:19" ht="15.75" hidden="1" customHeight="1">
      <c r="B52" s="222"/>
      <c r="C52" s="91"/>
      <c r="D52" s="151"/>
      <c r="E52" s="48"/>
      <c r="F52" s="152"/>
      <c r="G52" s="18"/>
      <c r="H52" s="54" t="e">
        <f t="shared" si="7"/>
        <v>#DIV/0!</v>
      </c>
      <c r="I52" s="69"/>
      <c r="J52" s="54"/>
      <c r="K52" s="54">
        <f t="shared" si="9"/>
        <v>0</v>
      </c>
      <c r="L52" s="54">
        <f t="shared" si="10"/>
        <v>0</v>
      </c>
      <c r="M52" s="55"/>
      <c r="N52" s="55"/>
      <c r="O52" s="55"/>
      <c r="P52" s="51" t="e">
        <f t="shared" si="8"/>
        <v>#DIV/0!</v>
      </c>
      <c r="Q52" s="38" t="e">
        <f t="shared" si="2"/>
        <v>#DIV/0!</v>
      </c>
      <c r="R52" s="16"/>
      <c r="S52" s="339"/>
    </row>
    <row r="53" spans="2:19" ht="15.75" hidden="1" customHeight="1">
      <c r="B53" s="92"/>
      <c r="C53" s="177"/>
      <c r="D53" s="151"/>
      <c r="E53" s="48"/>
      <c r="F53" s="152"/>
      <c r="G53" s="18"/>
      <c r="H53" s="54" t="e">
        <f t="shared" si="7"/>
        <v>#DIV/0!</v>
      </c>
      <c r="I53" s="69"/>
      <c r="J53" s="54"/>
      <c r="K53" s="54">
        <f t="shared" si="9"/>
        <v>0</v>
      </c>
      <c r="L53" s="54">
        <f t="shared" si="10"/>
        <v>0</v>
      </c>
      <c r="M53" s="55"/>
      <c r="N53" s="55"/>
      <c r="O53" s="55"/>
      <c r="P53" s="51" t="e">
        <f t="shared" si="8"/>
        <v>#DIV/0!</v>
      </c>
      <c r="Q53" s="38" t="e">
        <f t="shared" si="2"/>
        <v>#DIV/0!</v>
      </c>
      <c r="R53" s="16"/>
      <c r="S53" s="339"/>
    </row>
    <row r="54" spans="2:19" ht="15.75" hidden="1" customHeight="1">
      <c r="B54" s="92"/>
      <c r="C54" s="88"/>
      <c r="D54" s="151"/>
      <c r="E54" s="48"/>
      <c r="F54" s="152"/>
      <c r="G54" s="18"/>
      <c r="H54" s="54" t="e">
        <f t="shared" si="7"/>
        <v>#DIV/0!</v>
      </c>
      <c r="I54" s="69"/>
      <c r="J54" s="54"/>
      <c r="K54" s="54">
        <f t="shared" si="9"/>
        <v>0</v>
      </c>
      <c r="L54" s="54">
        <f t="shared" si="10"/>
        <v>0</v>
      </c>
      <c r="M54" s="55"/>
      <c r="N54" s="55"/>
      <c r="O54" s="55"/>
      <c r="P54" s="51" t="e">
        <f t="shared" si="8"/>
        <v>#DIV/0!</v>
      </c>
      <c r="Q54" s="38" t="e">
        <f t="shared" si="2"/>
        <v>#DIV/0!</v>
      </c>
      <c r="R54" s="16"/>
      <c r="S54" s="339"/>
    </row>
    <row r="55" spans="2:19" ht="15.75" hidden="1" customHeight="1">
      <c r="B55" s="92"/>
      <c r="C55" s="88"/>
      <c r="D55" s="151"/>
      <c r="E55" s="48"/>
      <c r="F55" s="152"/>
      <c r="G55" s="18"/>
      <c r="H55" s="54" t="e">
        <f t="shared" si="7"/>
        <v>#DIV/0!</v>
      </c>
      <c r="I55" s="69"/>
      <c r="J55" s="54"/>
      <c r="K55" s="54">
        <f t="shared" si="9"/>
        <v>0</v>
      </c>
      <c r="L55" s="54">
        <f t="shared" si="10"/>
        <v>0</v>
      </c>
      <c r="M55" s="55"/>
      <c r="N55" s="55"/>
      <c r="O55" s="55"/>
      <c r="P55" s="51" t="e">
        <f t="shared" si="8"/>
        <v>#DIV/0!</v>
      </c>
      <c r="Q55" s="38" t="e">
        <f t="shared" si="2"/>
        <v>#DIV/0!</v>
      </c>
      <c r="R55" s="16"/>
      <c r="S55" s="339"/>
    </row>
    <row r="56" spans="2:19" ht="16.5" hidden="1" thickBot="1">
      <c r="B56" s="379"/>
      <c r="C56" s="88"/>
      <c r="D56" s="30"/>
      <c r="E56" s="48"/>
      <c r="F56" s="39"/>
      <c r="G56" s="18"/>
      <c r="H56" s="54" t="e">
        <f>(G56)*24/(F56/60)/17000*100</f>
        <v>#DIV/0!</v>
      </c>
      <c r="I56" s="38"/>
      <c r="J56" s="188"/>
      <c r="K56" s="54">
        <f t="shared" si="9"/>
        <v>0</v>
      </c>
      <c r="L56" s="54">
        <f t="shared" si="10"/>
        <v>0</v>
      </c>
      <c r="M56" s="55"/>
      <c r="N56" s="55"/>
      <c r="O56" s="55"/>
      <c r="P56" s="51" t="e">
        <f t="shared" si="8"/>
        <v>#DIV/0!</v>
      </c>
      <c r="Q56" s="38" t="e">
        <f t="shared" si="2"/>
        <v>#DIV/0!</v>
      </c>
      <c r="R56" s="16"/>
      <c r="S56" s="339"/>
    </row>
    <row r="57" spans="2:19" ht="17.25" thickTop="1" thickBot="1">
      <c r="B57" s="223"/>
      <c r="C57" s="223"/>
      <c r="D57" s="31"/>
      <c r="E57" s="23">
        <f>SUM(E8:E56)</f>
        <v>24490</v>
      </c>
      <c r="F57" s="23">
        <f>SUM(F8:F55)</f>
        <v>18332</v>
      </c>
      <c r="G57" s="15">
        <f>SUM(G8:G56)</f>
        <v>122242</v>
      </c>
      <c r="H57" s="13">
        <f>(G57)*24/(F57/60)/17000*100</f>
        <v>56.483834118417164</v>
      </c>
      <c r="I57" s="14">
        <f>SUM(I8:I34)</f>
        <v>365</v>
      </c>
      <c r="J57" s="13">
        <f>SUM(J8:J56)</f>
        <v>8305.7839999999997</v>
      </c>
      <c r="K57" s="13">
        <f>SUM(K8:K56)</f>
        <v>8141.3872000000019</v>
      </c>
      <c r="L57" s="52">
        <f>J57-K57</f>
        <v>164.39679999999771</v>
      </c>
      <c r="M57" s="53">
        <f>SUM(M8:M55)</f>
        <v>9365</v>
      </c>
      <c r="N57" s="36">
        <f>SUM(N8:N56)</f>
        <v>514</v>
      </c>
      <c r="O57" s="14">
        <f>SUM(O8:O56)</f>
        <v>250</v>
      </c>
      <c r="P57" s="25">
        <f>(J57-K57)/J57</f>
        <v>1.9793050240651301E-2</v>
      </c>
      <c r="Q57" s="53">
        <f t="shared" ref="Q57" si="11">G57/(F57/60)</f>
        <v>400.0938250054549</v>
      </c>
      <c r="R57" s="17">
        <f>(January_2026!G65+February_2026!G63+March_2026!G62+'April_2026 '!G54+May_2026!G63+June_2026!G57+July_2026!G60+G57)/((January_2026!E65+February_2026!E63+March_2026!E62+'April_2026 '!E54+May_2026!F63+June_2026!E57+July_2026!E60+E57)/60)</f>
        <v>273.2023496050233</v>
      </c>
      <c r="S57" s="376">
        <f>SUM(S5:S56)</f>
        <v>0.35584224898717004</v>
      </c>
    </row>
    <row r="58" spans="2:19" ht="17.25" thickTop="1" thickBot="1">
      <c r="B58" s="1"/>
      <c r="C58" s="1"/>
      <c r="D58" s="32"/>
      <c r="G58" s="1"/>
      <c r="H58" s="1"/>
      <c r="L58" s="19"/>
      <c r="M58" s="19"/>
      <c r="N58" s="19" t="s">
        <v>23</v>
      </c>
      <c r="O58" s="19"/>
    </row>
    <row r="59" spans="2:19" ht="21" thickTop="1" thickBot="1">
      <c r="B59" s="1"/>
      <c r="C59" s="1"/>
      <c r="D59" s="32"/>
      <c r="G59" s="1"/>
      <c r="H59" s="1"/>
      <c r="K59" s="46" t="s">
        <v>36</v>
      </c>
      <c r="L59" s="15">
        <f>G57+O59</f>
        <v>122929.5</v>
      </c>
      <c r="M59" s="19"/>
      <c r="N59" s="19" t="s">
        <v>31</v>
      </c>
      <c r="O59" s="19">
        <f>O57*2.75</f>
        <v>687.5</v>
      </c>
      <c r="P59" s="40"/>
    </row>
    <row r="60" spans="2:19" ht="16.5" thickTop="1">
      <c r="B60" s="1"/>
      <c r="C60" s="1"/>
      <c r="D60" s="32"/>
      <c r="G60" s="1"/>
      <c r="H60" s="1"/>
      <c r="L60" s="19"/>
      <c r="M60" s="19"/>
      <c r="N60" s="19"/>
      <c r="O60" s="19"/>
    </row>
    <row r="61" spans="2:19" ht="15.75">
      <c r="B61" s="1"/>
      <c r="C61" s="1"/>
      <c r="D61" s="32"/>
      <c r="G61" s="1"/>
      <c r="H61" s="1"/>
      <c r="L61" s="19"/>
      <c r="M61" s="19"/>
      <c r="N61" s="42" t="s">
        <v>32</v>
      </c>
      <c r="O61" s="63">
        <f>O34</f>
        <v>0</v>
      </c>
      <c r="P61" s="58"/>
      <c r="Q61" s="226"/>
    </row>
    <row r="62" spans="2:19" ht="15.75">
      <c r="B62" s="1"/>
      <c r="C62" s="1"/>
      <c r="D62" s="32"/>
      <c r="G62" s="1"/>
      <c r="H62" s="1"/>
      <c r="L62" s="19"/>
      <c r="M62" s="19"/>
      <c r="N62" s="42" t="s">
        <v>33</v>
      </c>
      <c r="O62" s="63">
        <f>O37+O21+O19+O15</f>
        <v>0</v>
      </c>
      <c r="P62" s="58"/>
      <c r="Q62" s="226"/>
    </row>
    <row r="63" spans="2:19" ht="15.75">
      <c r="B63" s="1"/>
      <c r="C63" s="1"/>
      <c r="D63" s="32"/>
      <c r="G63" s="1"/>
      <c r="H63" s="1"/>
      <c r="L63" s="19"/>
      <c r="M63" s="19"/>
      <c r="N63" s="42" t="s">
        <v>34</v>
      </c>
      <c r="O63" s="43"/>
    </row>
    <row r="64" spans="2:19" ht="15.75">
      <c r="B64" s="1"/>
      <c r="C64" s="1"/>
      <c r="D64" s="32"/>
      <c r="G64" s="1"/>
      <c r="H64" s="1">
        <f>95.3-45</f>
        <v>50.3</v>
      </c>
      <c r="L64" s="19"/>
      <c r="M64" s="19"/>
      <c r="N64" s="42" t="s">
        <v>35</v>
      </c>
      <c r="O64" s="43">
        <f>SUM(O61:O63)</f>
        <v>0</v>
      </c>
    </row>
    <row r="65" spans="2:15" ht="15.75">
      <c r="B65" s="1"/>
      <c r="C65" s="1"/>
      <c r="D65" s="32"/>
      <c r="G65" s="1"/>
      <c r="H65" s="1"/>
      <c r="L65" s="19"/>
      <c r="M65" s="19"/>
      <c r="N65" s="19"/>
      <c r="O65" s="19"/>
    </row>
    <row r="66" spans="2:15" ht="16.5" thickBot="1">
      <c r="B66" s="1"/>
      <c r="C66" s="1"/>
      <c r="D66" s="32"/>
      <c r="G66" s="1"/>
      <c r="H66" s="1"/>
      <c r="L66" s="19"/>
      <c r="M66" s="19"/>
      <c r="N66" s="19"/>
      <c r="O66" s="19"/>
    </row>
    <row r="67" spans="2:15" ht="17.25" thickTop="1" thickBot="1">
      <c r="B67" s="1"/>
      <c r="C67" s="1"/>
      <c r="D67" s="32"/>
      <c r="F67" s="24">
        <v>21461</v>
      </c>
      <c r="G67" s="13">
        <f>G57</f>
        <v>122242</v>
      </c>
      <c r="H67" s="13">
        <f>(G67)*24/(F67/60)/17000*100</f>
        <v>48.248527424575911</v>
      </c>
      <c r="L67" s="19"/>
      <c r="M67" s="19"/>
      <c r="N67" s="19"/>
      <c r="O67" s="19"/>
    </row>
    <row r="68" spans="2:15" ht="16.5" thickTop="1">
      <c r="B68" s="1"/>
      <c r="C68" s="1"/>
      <c r="D68" s="32"/>
      <c r="G68" s="1"/>
      <c r="H68" s="1"/>
      <c r="L68" s="19"/>
      <c r="M68" s="19"/>
      <c r="N68" s="19"/>
      <c r="O68" s="19"/>
    </row>
    <row r="69" spans="2:15" ht="15.75">
      <c r="B69" s="1"/>
      <c r="C69" s="1"/>
      <c r="D69" s="32"/>
      <c r="G69" s="1"/>
      <c r="H69" s="1"/>
      <c r="L69" s="19"/>
      <c r="M69" s="19"/>
      <c r="N69" s="19"/>
      <c r="O69" s="19"/>
    </row>
    <row r="70" spans="2:15" ht="15.75">
      <c r="B70" s="1"/>
      <c r="C70" s="1"/>
      <c r="D70" s="32"/>
      <c r="G70" s="1"/>
      <c r="H70" s="1"/>
      <c r="L70" s="19"/>
      <c r="M70" s="19"/>
      <c r="N70" s="19"/>
      <c r="O70" s="19"/>
    </row>
    <row r="71" spans="2:15" ht="15.75">
      <c r="B71" s="1"/>
      <c r="C71" s="1"/>
      <c r="D71" s="32"/>
      <c r="G71" s="1"/>
      <c r="H71" s="1"/>
      <c r="L71" s="19"/>
      <c r="M71" s="19"/>
      <c r="N71" s="19"/>
      <c r="O71" s="19"/>
    </row>
    <row r="72" spans="2:15" ht="15.75">
      <c r="B72" s="1"/>
      <c r="C72" s="1"/>
      <c r="D72" s="32"/>
      <c r="G72" s="1"/>
      <c r="H72" s="1"/>
      <c r="L72" s="19"/>
      <c r="M72" s="19"/>
      <c r="N72" s="19"/>
      <c r="O72" s="19"/>
    </row>
    <row r="73" spans="2:15">
      <c r="B73" s="1"/>
      <c r="C73" s="1"/>
      <c r="D73" s="32"/>
      <c r="G73" s="1"/>
      <c r="H73" s="1"/>
      <c r="O73" s="7"/>
    </row>
    <row r="74" spans="2:15">
      <c r="B74" s="1"/>
      <c r="C74" s="1"/>
      <c r="D74" s="32"/>
      <c r="G74" s="1"/>
      <c r="H74" s="1"/>
      <c r="O74" s="7"/>
    </row>
    <row r="75" spans="2:15">
      <c r="B75" s="1"/>
      <c r="C75" s="1"/>
      <c r="D75" s="32"/>
      <c r="G75" s="1"/>
      <c r="H75" s="1"/>
      <c r="O75" s="7"/>
    </row>
    <row r="76" spans="2:15">
      <c r="B76" s="1"/>
      <c r="C76" s="1"/>
      <c r="D76" s="32"/>
      <c r="G76" s="1"/>
      <c r="H76" s="1"/>
      <c r="O76" s="7"/>
    </row>
    <row r="77" spans="2:15">
      <c r="B77" s="1"/>
      <c r="C77" s="1"/>
      <c r="D77" s="32"/>
      <c r="G77" s="1"/>
      <c r="H77" s="1"/>
      <c r="O77" s="7"/>
    </row>
    <row r="78" spans="2:15">
      <c r="B78" s="1"/>
      <c r="C78" s="1"/>
      <c r="D78" s="32"/>
      <c r="G78" s="1"/>
      <c r="H78" s="1"/>
      <c r="O78" s="7"/>
    </row>
    <row r="79" spans="2:15">
      <c r="B79" s="1"/>
      <c r="C79" s="1"/>
      <c r="D79" s="32"/>
      <c r="G79" s="1"/>
      <c r="H79" s="1"/>
      <c r="O79" s="7"/>
    </row>
    <row r="80" spans="2:15">
      <c r="B80" s="1"/>
      <c r="C80" s="1"/>
      <c r="D80" s="32"/>
      <c r="G80" s="1"/>
      <c r="H80" s="1"/>
      <c r="O80" s="7"/>
    </row>
    <row r="81" spans="2:15">
      <c r="B81" s="1"/>
      <c r="C81" s="1"/>
      <c r="D81" s="32"/>
      <c r="G81" s="1"/>
      <c r="H81" s="1"/>
      <c r="O81" s="7"/>
    </row>
    <row r="82" spans="2:15">
      <c r="B82" s="1"/>
      <c r="C82" s="1"/>
      <c r="D82" s="32"/>
      <c r="G82" s="1"/>
      <c r="H82" s="1"/>
      <c r="O82" s="7"/>
    </row>
    <row r="83" spans="2:15">
      <c r="B83" s="1"/>
      <c r="C83" s="1"/>
      <c r="D83" s="32"/>
      <c r="G83" s="1"/>
      <c r="H83" s="1"/>
      <c r="O83" s="7"/>
    </row>
    <row r="84" spans="2:15">
      <c r="B84" s="1"/>
      <c r="C84" s="1"/>
      <c r="D84" s="32"/>
      <c r="G84" s="1"/>
      <c r="H84" s="1"/>
      <c r="O84" s="7"/>
    </row>
    <row r="85" spans="2:15">
      <c r="B85" s="1"/>
      <c r="C85" s="1"/>
      <c r="D85" s="32"/>
      <c r="G85" s="1"/>
      <c r="H85" s="1"/>
      <c r="O85" s="7"/>
    </row>
    <row r="86" spans="2:15">
      <c r="B86" s="1"/>
      <c r="C86" s="1"/>
      <c r="D86" s="32"/>
      <c r="G86" s="1"/>
      <c r="H86" s="1"/>
      <c r="O86" s="7"/>
    </row>
    <row r="87" spans="2:15">
      <c r="B87" s="1"/>
      <c r="C87" s="1"/>
      <c r="D87" s="32"/>
      <c r="G87" s="1"/>
      <c r="H87" s="1"/>
      <c r="O87" s="7"/>
    </row>
    <row r="88" spans="2:15">
      <c r="B88" s="1"/>
      <c r="C88" s="1"/>
      <c r="D88" s="32"/>
      <c r="G88" s="1"/>
      <c r="H88" s="1"/>
      <c r="O88" s="7"/>
    </row>
    <row r="89" spans="2:15">
      <c r="B89" s="1"/>
      <c r="C89" s="1"/>
      <c r="D89" s="32"/>
      <c r="G89" s="1"/>
      <c r="H89" s="1"/>
      <c r="O89" s="7"/>
    </row>
    <row r="90" spans="2:15">
      <c r="B90" s="1"/>
      <c r="C90" s="1"/>
      <c r="D90" s="32"/>
      <c r="G90" s="1"/>
      <c r="H90" s="1"/>
      <c r="O90" s="7"/>
    </row>
    <row r="91" spans="2:15">
      <c r="B91" s="1"/>
      <c r="C91" s="1"/>
      <c r="D91" s="32"/>
      <c r="G91" s="1"/>
      <c r="H91" s="1"/>
      <c r="O91" s="7"/>
    </row>
    <row r="92" spans="2:15">
      <c r="B92" s="1"/>
      <c r="C92" s="1"/>
      <c r="D92" s="32"/>
      <c r="G92" s="1"/>
      <c r="H92" s="1"/>
      <c r="O92" s="7"/>
    </row>
    <row r="93" spans="2:15">
      <c r="B93" s="1"/>
      <c r="C93" s="1"/>
      <c r="D93" s="32"/>
      <c r="G93" s="1"/>
      <c r="H93" s="1"/>
      <c r="O93" s="7"/>
    </row>
    <row r="94" spans="2:15">
      <c r="B94" s="1"/>
      <c r="C94" s="1"/>
      <c r="D94" s="32"/>
      <c r="G94" s="1"/>
      <c r="H94" s="1"/>
      <c r="O94" s="7"/>
    </row>
    <row r="95" spans="2:15">
      <c r="B95" s="1"/>
      <c r="C95" s="1"/>
      <c r="D95" s="32"/>
      <c r="G95" s="1"/>
      <c r="H95" s="1"/>
      <c r="O95" s="7"/>
    </row>
    <row r="96" spans="2:15">
      <c r="B96" s="1"/>
      <c r="C96" s="1"/>
      <c r="D96" s="32"/>
      <c r="G96" s="1"/>
      <c r="H96" s="1"/>
      <c r="O96" s="7"/>
    </row>
    <row r="97" spans="2:15">
      <c r="B97" s="1"/>
      <c r="C97" s="1"/>
      <c r="D97" s="32"/>
      <c r="G97" s="1"/>
      <c r="H97" s="1"/>
      <c r="O97" s="7"/>
    </row>
    <row r="98" spans="2:15">
      <c r="B98" s="1"/>
      <c r="C98" s="1"/>
      <c r="D98" s="32"/>
      <c r="G98" s="1"/>
      <c r="H98" s="1"/>
      <c r="O98" s="7"/>
    </row>
    <row r="99" spans="2:15">
      <c r="B99" s="1"/>
      <c r="C99" s="1"/>
      <c r="D99" s="32"/>
      <c r="G99" s="1"/>
      <c r="H99" s="1"/>
      <c r="O99" s="7"/>
    </row>
    <row r="100" spans="2:15">
      <c r="B100" s="1"/>
      <c r="C100" s="1"/>
      <c r="D100" s="32"/>
      <c r="G100" s="1"/>
      <c r="H100" s="1"/>
      <c r="O100" s="7"/>
    </row>
    <row r="101" spans="2:15">
      <c r="B101" s="1"/>
      <c r="C101" s="1"/>
      <c r="D101" s="32"/>
      <c r="G101" s="1"/>
      <c r="H101" s="1"/>
      <c r="O101" s="7"/>
    </row>
    <row r="102" spans="2:15">
      <c r="B102" s="1"/>
      <c r="C102" s="1"/>
      <c r="D102" s="32"/>
      <c r="G102" s="1"/>
      <c r="H102" s="1"/>
      <c r="O102" s="7"/>
    </row>
    <row r="103" spans="2:15">
      <c r="B103" s="1"/>
      <c r="C103" s="1"/>
      <c r="D103" s="32"/>
      <c r="G103" s="1"/>
      <c r="H103" s="1"/>
      <c r="O103" s="7"/>
    </row>
    <row r="104" spans="2:15">
      <c r="B104" s="1"/>
      <c r="C104" s="1"/>
      <c r="D104" s="32"/>
      <c r="G104" s="1"/>
      <c r="H104" s="1"/>
      <c r="O104" s="7"/>
    </row>
    <row r="105" spans="2:15">
      <c r="B105" s="1"/>
      <c r="C105" s="1"/>
      <c r="D105" s="32"/>
      <c r="G105" s="1"/>
      <c r="H105" s="1"/>
      <c r="O105" s="7"/>
    </row>
    <row r="106" spans="2:15">
      <c r="B106" s="1"/>
      <c r="C106" s="1"/>
      <c r="D106" s="32"/>
      <c r="G106" s="1"/>
      <c r="H106" s="1"/>
      <c r="O106" s="7"/>
    </row>
    <row r="107" spans="2:15">
      <c r="B107" s="1"/>
      <c r="C107" s="1"/>
      <c r="D107" s="32"/>
      <c r="G107" s="1"/>
      <c r="H107" s="1"/>
      <c r="O107" s="7"/>
    </row>
    <row r="108" spans="2:15">
      <c r="B108" s="1"/>
      <c r="C108" s="1"/>
      <c r="D108" s="32"/>
      <c r="G108" s="1"/>
      <c r="H108" s="1"/>
      <c r="O108" s="7"/>
    </row>
    <row r="109" spans="2:15">
      <c r="B109" s="1"/>
      <c r="C109" s="1"/>
      <c r="D109" s="32"/>
      <c r="G109" s="1"/>
      <c r="H109" s="1"/>
      <c r="O109" s="7"/>
    </row>
    <row r="110" spans="2:15">
      <c r="B110" s="1"/>
      <c r="C110" s="1"/>
      <c r="D110" s="32"/>
      <c r="G110" s="1"/>
      <c r="H110" s="1"/>
      <c r="O110" s="7"/>
    </row>
    <row r="111" spans="2:15">
      <c r="B111" s="1"/>
      <c r="C111" s="1"/>
      <c r="D111" s="32"/>
      <c r="G111" s="1"/>
      <c r="H111" s="1"/>
      <c r="O111" s="7"/>
    </row>
    <row r="112" spans="2:15">
      <c r="B112" s="1"/>
      <c r="C112" s="1"/>
      <c r="D112" s="32"/>
      <c r="G112" s="1"/>
      <c r="H112" s="1"/>
      <c r="O112" s="7"/>
    </row>
    <row r="113" spans="2:15">
      <c r="B113" s="1"/>
      <c r="C113" s="1"/>
      <c r="D113" s="32"/>
      <c r="G113" s="1"/>
      <c r="H113" s="1"/>
      <c r="O113" s="7"/>
    </row>
    <row r="114" spans="2:15">
      <c r="B114" s="1"/>
      <c r="C114" s="1"/>
      <c r="D114" s="32"/>
      <c r="G114" s="1"/>
      <c r="H114" s="1"/>
      <c r="O114" s="7"/>
    </row>
    <row r="115" spans="2:15">
      <c r="B115" s="1"/>
      <c r="C115" s="1"/>
      <c r="D115" s="32"/>
      <c r="G115" s="1"/>
      <c r="H115" s="1"/>
      <c r="O115" s="7"/>
    </row>
    <row r="116" spans="2:15">
      <c r="B116" s="1"/>
      <c r="C116" s="1"/>
      <c r="D116" s="32"/>
      <c r="G116" s="1"/>
      <c r="H116" s="1"/>
      <c r="O116" s="7"/>
    </row>
    <row r="117" spans="2:15">
      <c r="B117" s="1"/>
      <c r="C117" s="1"/>
      <c r="D117" s="32"/>
      <c r="G117" s="1"/>
      <c r="H117" s="1"/>
      <c r="O117" s="7"/>
    </row>
    <row r="118" spans="2:15">
      <c r="B118" s="1"/>
      <c r="C118" s="1"/>
      <c r="D118" s="32"/>
      <c r="G118" s="1"/>
      <c r="H118" s="1"/>
      <c r="O118" s="7"/>
    </row>
    <row r="119" spans="2:15">
      <c r="G119" s="199"/>
      <c r="H119" s="1"/>
    </row>
    <row r="120" spans="2:15">
      <c r="G120" s="199"/>
      <c r="H120" s="1"/>
    </row>
  </sheetData>
  <autoFilter ref="B7:V59" xr:uid="{00000000-0001-0000-0700-000000000000}"/>
  <mergeCells count="54">
    <mergeCell ref="E40:E43"/>
    <mergeCell ref="E37:E39"/>
    <mergeCell ref="E35:E36"/>
    <mergeCell ref="E33:E34"/>
    <mergeCell ref="E10:E12"/>
    <mergeCell ref="Q14:Q15"/>
    <mergeCell ref="E31:E32"/>
    <mergeCell ref="E28:E29"/>
    <mergeCell ref="Q28:Q29"/>
    <mergeCell ref="Q20:Q21"/>
    <mergeCell ref="K17:K18"/>
    <mergeCell ref="L17:L18"/>
    <mergeCell ref="P17:P18"/>
    <mergeCell ref="E20:E21"/>
    <mergeCell ref="E26:E27"/>
    <mergeCell ref="R6:R7"/>
    <mergeCell ref="S22:S23"/>
    <mergeCell ref="S20:S21"/>
    <mergeCell ref="B1:Q1"/>
    <mergeCell ref="B3:Q3"/>
    <mergeCell ref="B4:Q4"/>
    <mergeCell ref="I5:I7"/>
    <mergeCell ref="L5:L7"/>
    <mergeCell ref="M5:M7"/>
    <mergeCell ref="N5:N7"/>
    <mergeCell ref="O5:O7"/>
    <mergeCell ref="E17:E19"/>
    <mergeCell ref="J17:J18"/>
    <mergeCell ref="E22:E23"/>
    <mergeCell ref="Q17:Q19"/>
    <mergeCell ref="Q22:Q23"/>
    <mergeCell ref="S10:S12"/>
    <mergeCell ref="E24:E25"/>
    <mergeCell ref="K24:K25"/>
    <mergeCell ref="L24:L25"/>
    <mergeCell ref="J24:J25"/>
    <mergeCell ref="P24:P25"/>
    <mergeCell ref="S24:S25"/>
    <mergeCell ref="Q24:Q25"/>
    <mergeCell ref="S14:S15"/>
    <mergeCell ref="J22:J23"/>
    <mergeCell ref="K22:K23"/>
    <mergeCell ref="L22:L23"/>
    <mergeCell ref="P22:P23"/>
    <mergeCell ref="S17:S19"/>
    <mergeCell ref="Q10:Q12"/>
    <mergeCell ref="E14:E15"/>
    <mergeCell ref="S26:S27"/>
    <mergeCell ref="J27:J28"/>
    <mergeCell ref="K27:K28"/>
    <mergeCell ref="L27:L28"/>
    <mergeCell ref="S28:S29"/>
    <mergeCell ref="Q26:Q27"/>
    <mergeCell ref="P27:P28"/>
  </mergeCells>
  <conditionalFormatting sqref="I8:I56">
    <cfRule type="cellIs" dxfId="47" priority="14" stopIfTrue="1" operator="lessThan">
      <formula>50</formula>
    </cfRule>
  </conditionalFormatting>
  <conditionalFormatting sqref="P8:P17 P19:P22 P24 P26:P27 P29:P56">
    <cfRule type="cellIs" dxfId="46" priority="10" stopIfTrue="1" operator="greaterThan">
      <formula>1.8</formula>
    </cfRule>
  </conditionalFormatting>
  <conditionalFormatting sqref="R9">
    <cfRule type="cellIs" dxfId="45" priority="5" operator="greaterThan">
      <formula>1.8</formula>
    </cfRule>
  </conditionalFormatting>
  <conditionalFormatting sqref="R14">
    <cfRule type="cellIs" dxfId="44" priority="6" operator="greaterThan">
      <formula>1.8</formula>
    </cfRule>
  </conditionalFormatting>
  <conditionalFormatting sqref="R18 R20 R22">
    <cfRule type="cellIs" dxfId="43" priority="7" operator="greaterThan">
      <formula>1.8</formula>
    </cfRule>
  </conditionalFormatting>
  <conditionalFormatting sqref="R29">
    <cfRule type="cellIs" dxfId="42" priority="4" operator="greaterThan">
      <formula>1.8</formula>
    </cfRule>
  </conditionalFormatting>
  <conditionalFormatting sqref="R34">
    <cfRule type="cellIs" dxfId="41" priority="3" operator="greaterThan">
      <formula>1.8</formula>
    </cfRule>
  </conditionalFormatting>
  <conditionalFormatting sqref="R39">
    <cfRule type="cellIs" dxfId="40" priority="2" operator="greaterThan">
      <formula>1.8</formula>
    </cfRule>
  </conditionalFormatting>
  <conditionalFormatting sqref="R42">
    <cfRule type="cellIs" dxfId="39" priority="1" operator="greaterThan">
      <formula>1.8</formula>
    </cfRule>
  </conditionalFormatting>
  <pageMargins left="0.25" right="0.25" top="0.75" bottom="0.75" header="0.3" footer="0.3"/>
  <pageSetup scale="51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XFD117"/>
  <sheetViews>
    <sheetView topLeftCell="A4" zoomScale="80" zoomScaleNormal="80" zoomScaleSheetLayoutView="80" workbookViewId="0">
      <pane xSplit="2" ySplit="4" topLeftCell="C36" activePane="bottomRight" state="frozen"/>
      <selection activeCell="A4" sqref="A4"/>
      <selection pane="topRight" activeCell="B4" sqref="B4"/>
      <selection pane="bottomLeft" activeCell="A8" sqref="A8"/>
      <selection pane="bottomRight" activeCell="U59" sqref="U59"/>
    </sheetView>
  </sheetViews>
  <sheetFormatPr defaultRowHeight="12.75"/>
  <cols>
    <col min="1" max="1" width="2.42578125" customWidth="1"/>
    <col min="2" max="2" width="9.140625" style="82" customWidth="1"/>
    <col min="3" max="3" width="7" style="1" customWidth="1"/>
    <col min="4" max="4" width="42.140625" style="32" bestFit="1" customWidth="1"/>
    <col min="5" max="5" width="13" style="1" customWidth="1"/>
    <col min="6" max="6" width="7.5703125" style="24" customWidth="1"/>
    <col min="7" max="8" width="13.5703125" customWidth="1"/>
    <col min="9" max="9" width="10.570312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7" customWidth="1"/>
    <col min="16" max="16" width="12.42578125" style="26" customWidth="1"/>
    <col min="17" max="17" width="12.140625" style="6" customWidth="1"/>
    <col min="18" max="18" width="11" customWidth="1"/>
    <col min="19" max="19" width="9.140625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1:16384" ht="27">
      <c r="B1" s="235" t="s">
        <v>0</v>
      </c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</row>
    <row r="3" spans="1:16384" ht="22.5">
      <c r="B3" s="236" t="s">
        <v>1</v>
      </c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</row>
    <row r="4" spans="1:16384" ht="21" thickBot="1">
      <c r="A4" s="386">
        <v>46266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  <c r="X4" s="386"/>
      <c r="Y4" s="386"/>
      <c r="Z4" s="386"/>
      <c r="AA4" s="386"/>
      <c r="AB4" s="386"/>
      <c r="AC4" s="386"/>
      <c r="AD4" s="386"/>
      <c r="AE4" s="386"/>
      <c r="AF4" s="386"/>
      <c r="AG4" s="386">
        <v>45870</v>
      </c>
      <c r="AH4" s="386"/>
      <c r="AI4" s="386"/>
      <c r="AJ4" s="386"/>
      <c r="AK4" s="386"/>
      <c r="AL4" s="386"/>
      <c r="AM4" s="386"/>
      <c r="AN4" s="386"/>
      <c r="AO4" s="386"/>
      <c r="AP4" s="386"/>
      <c r="AQ4" s="386"/>
      <c r="AR4" s="386"/>
      <c r="AS4" s="386"/>
      <c r="AT4" s="386"/>
      <c r="AU4" s="386"/>
      <c r="AV4" s="386"/>
      <c r="AW4" s="386">
        <v>45870</v>
      </c>
      <c r="AX4" s="386"/>
      <c r="AY4" s="386"/>
      <c r="AZ4" s="386"/>
      <c r="BA4" s="386"/>
      <c r="BB4" s="386"/>
      <c r="BC4" s="386"/>
      <c r="BD4" s="386"/>
      <c r="BE4" s="386"/>
      <c r="BF4" s="386"/>
      <c r="BG4" s="386"/>
      <c r="BH4" s="386"/>
      <c r="BI4" s="386"/>
      <c r="BJ4" s="386"/>
      <c r="BK4" s="386"/>
      <c r="BL4" s="386"/>
      <c r="BM4" s="386">
        <v>45870</v>
      </c>
      <c r="BN4" s="386"/>
      <c r="BO4" s="386"/>
      <c r="BP4" s="386"/>
      <c r="BQ4" s="386"/>
      <c r="BR4" s="386"/>
      <c r="BS4" s="386"/>
      <c r="BT4" s="386"/>
      <c r="BU4" s="386"/>
      <c r="BV4" s="386"/>
      <c r="BW4" s="386"/>
      <c r="BX4" s="386"/>
      <c r="BY4" s="386"/>
      <c r="BZ4" s="386"/>
      <c r="CA4" s="386"/>
      <c r="CB4" s="386"/>
      <c r="CC4" s="386">
        <v>45870</v>
      </c>
      <c r="CD4" s="386"/>
      <c r="CE4" s="386"/>
      <c r="CF4" s="386"/>
      <c r="CG4" s="386"/>
      <c r="CH4" s="386"/>
      <c r="CI4" s="386"/>
      <c r="CJ4" s="386"/>
      <c r="CK4" s="386"/>
      <c r="CL4" s="386"/>
      <c r="CM4" s="386"/>
      <c r="CN4" s="386"/>
      <c r="CO4" s="386"/>
      <c r="CP4" s="386"/>
      <c r="CQ4" s="386"/>
      <c r="CR4" s="386"/>
      <c r="CS4" s="386">
        <v>45870</v>
      </c>
      <c r="CT4" s="386"/>
      <c r="CU4" s="386"/>
      <c r="CV4" s="386"/>
      <c r="CW4" s="386"/>
      <c r="CX4" s="386"/>
      <c r="CY4" s="386"/>
      <c r="CZ4" s="386"/>
      <c r="DA4" s="386"/>
      <c r="DB4" s="386"/>
      <c r="DC4" s="386"/>
      <c r="DD4" s="386"/>
      <c r="DE4" s="386"/>
      <c r="DF4" s="386"/>
      <c r="DG4" s="386"/>
      <c r="DH4" s="386"/>
      <c r="DI4" s="386">
        <v>45870</v>
      </c>
      <c r="DJ4" s="386"/>
      <c r="DK4" s="386"/>
      <c r="DL4" s="386"/>
      <c r="DM4" s="386"/>
      <c r="DN4" s="386"/>
      <c r="DO4" s="386"/>
      <c r="DP4" s="386"/>
      <c r="DQ4" s="386"/>
      <c r="DR4" s="386"/>
      <c r="DS4" s="386"/>
      <c r="DT4" s="386"/>
      <c r="DU4" s="386"/>
      <c r="DV4" s="386"/>
      <c r="DW4" s="386"/>
      <c r="DX4" s="386"/>
      <c r="DY4" s="386">
        <v>45870</v>
      </c>
      <c r="DZ4" s="386"/>
      <c r="EA4" s="386"/>
      <c r="EB4" s="386"/>
      <c r="EC4" s="386"/>
      <c r="ED4" s="386"/>
      <c r="EE4" s="386"/>
      <c r="EF4" s="386"/>
      <c r="EG4" s="386"/>
      <c r="EH4" s="386"/>
      <c r="EI4" s="386"/>
      <c r="EJ4" s="386"/>
      <c r="EK4" s="386"/>
      <c r="EL4" s="386"/>
      <c r="EM4" s="386"/>
      <c r="EN4" s="386"/>
      <c r="EO4" s="386">
        <v>45870</v>
      </c>
      <c r="EP4" s="386"/>
      <c r="EQ4" s="386"/>
      <c r="ER4" s="386"/>
      <c r="ES4" s="386"/>
      <c r="ET4" s="386"/>
      <c r="EU4" s="386"/>
      <c r="EV4" s="386"/>
      <c r="EW4" s="386"/>
      <c r="EX4" s="386"/>
      <c r="EY4" s="386"/>
      <c r="EZ4" s="386"/>
      <c r="FA4" s="386"/>
      <c r="FB4" s="386"/>
      <c r="FC4" s="386"/>
      <c r="FD4" s="386"/>
      <c r="FE4" s="386">
        <v>45870</v>
      </c>
      <c r="FF4" s="386"/>
      <c r="FG4" s="386"/>
      <c r="FH4" s="386"/>
      <c r="FI4" s="386"/>
      <c r="FJ4" s="386"/>
      <c r="FK4" s="386"/>
      <c r="FL4" s="386"/>
      <c r="FM4" s="386"/>
      <c r="FN4" s="386"/>
      <c r="FO4" s="386"/>
      <c r="FP4" s="386"/>
      <c r="FQ4" s="386"/>
      <c r="FR4" s="386"/>
      <c r="FS4" s="386"/>
      <c r="FT4" s="386"/>
      <c r="FU4" s="386">
        <v>45870</v>
      </c>
      <c r="FV4" s="386"/>
      <c r="FW4" s="386"/>
      <c r="FX4" s="386"/>
      <c r="FY4" s="386"/>
      <c r="FZ4" s="386"/>
      <c r="GA4" s="386"/>
      <c r="GB4" s="386"/>
      <c r="GC4" s="386"/>
      <c r="GD4" s="386"/>
      <c r="GE4" s="386"/>
      <c r="GF4" s="386"/>
      <c r="GG4" s="386"/>
      <c r="GH4" s="386"/>
      <c r="GI4" s="386"/>
      <c r="GJ4" s="386"/>
      <c r="GK4" s="386">
        <v>45870</v>
      </c>
      <c r="GL4" s="386"/>
      <c r="GM4" s="386"/>
      <c r="GN4" s="386"/>
      <c r="GO4" s="386"/>
      <c r="GP4" s="386"/>
      <c r="GQ4" s="386"/>
      <c r="GR4" s="386"/>
      <c r="GS4" s="386"/>
      <c r="GT4" s="386"/>
      <c r="GU4" s="386"/>
      <c r="GV4" s="386"/>
      <c r="GW4" s="386"/>
      <c r="GX4" s="386"/>
      <c r="GY4" s="386"/>
      <c r="GZ4" s="386"/>
      <c r="HA4" s="386">
        <v>45870</v>
      </c>
      <c r="HB4" s="386"/>
      <c r="HC4" s="386"/>
      <c r="HD4" s="386"/>
      <c r="HE4" s="386"/>
      <c r="HF4" s="386"/>
      <c r="HG4" s="386"/>
      <c r="HH4" s="386"/>
      <c r="HI4" s="386"/>
      <c r="HJ4" s="386"/>
      <c r="HK4" s="386"/>
      <c r="HL4" s="386"/>
      <c r="HM4" s="386"/>
      <c r="HN4" s="386"/>
      <c r="HO4" s="386"/>
      <c r="HP4" s="386"/>
      <c r="HQ4" s="386">
        <v>45870</v>
      </c>
      <c r="HR4" s="386"/>
      <c r="HS4" s="386"/>
      <c r="HT4" s="386"/>
      <c r="HU4" s="386"/>
      <c r="HV4" s="386"/>
      <c r="HW4" s="386"/>
      <c r="HX4" s="386"/>
      <c r="HY4" s="386"/>
      <c r="HZ4" s="386"/>
      <c r="IA4" s="386"/>
      <c r="IB4" s="386"/>
      <c r="IC4" s="386"/>
      <c r="ID4" s="386"/>
      <c r="IE4" s="386"/>
      <c r="IF4" s="386"/>
      <c r="IG4" s="386">
        <v>45870</v>
      </c>
      <c r="IH4" s="386"/>
      <c r="II4" s="386"/>
      <c r="IJ4" s="386"/>
      <c r="IK4" s="386"/>
      <c r="IL4" s="386"/>
      <c r="IM4" s="386"/>
      <c r="IN4" s="386"/>
      <c r="IO4" s="386"/>
      <c r="IP4" s="386"/>
      <c r="IQ4" s="386"/>
      <c r="IR4" s="386"/>
      <c r="IS4" s="386"/>
      <c r="IT4" s="386"/>
      <c r="IU4" s="386"/>
      <c r="IV4" s="386"/>
      <c r="IW4" s="386">
        <v>45870</v>
      </c>
      <c r="IX4" s="386"/>
      <c r="IY4" s="386"/>
      <c r="IZ4" s="386"/>
      <c r="JA4" s="386"/>
      <c r="JB4" s="386"/>
      <c r="JC4" s="386"/>
      <c r="JD4" s="386"/>
      <c r="JE4" s="386"/>
      <c r="JF4" s="386"/>
      <c r="JG4" s="386"/>
      <c r="JH4" s="386"/>
      <c r="JI4" s="386"/>
      <c r="JJ4" s="386"/>
      <c r="JK4" s="386"/>
      <c r="JL4" s="386"/>
      <c r="JM4" s="386">
        <v>45870</v>
      </c>
      <c r="JN4" s="386"/>
      <c r="JO4" s="386"/>
      <c r="JP4" s="386"/>
      <c r="JQ4" s="386"/>
      <c r="JR4" s="386"/>
      <c r="JS4" s="386"/>
      <c r="JT4" s="386"/>
      <c r="JU4" s="386"/>
      <c r="JV4" s="386"/>
      <c r="JW4" s="386"/>
      <c r="JX4" s="386"/>
      <c r="JY4" s="386"/>
      <c r="JZ4" s="386"/>
      <c r="KA4" s="386"/>
      <c r="KB4" s="386"/>
      <c r="KC4" s="386">
        <v>45870</v>
      </c>
      <c r="KD4" s="386"/>
      <c r="KE4" s="386"/>
      <c r="KF4" s="386"/>
      <c r="KG4" s="386"/>
      <c r="KH4" s="386"/>
      <c r="KI4" s="386"/>
      <c r="KJ4" s="386"/>
      <c r="KK4" s="386"/>
      <c r="KL4" s="386"/>
      <c r="KM4" s="386"/>
      <c r="KN4" s="386"/>
      <c r="KO4" s="386"/>
      <c r="KP4" s="386"/>
      <c r="KQ4" s="386"/>
      <c r="KR4" s="386"/>
      <c r="KS4" s="386">
        <v>45870</v>
      </c>
      <c r="KT4" s="386"/>
      <c r="KU4" s="386"/>
      <c r="KV4" s="386"/>
      <c r="KW4" s="386"/>
      <c r="KX4" s="386"/>
      <c r="KY4" s="386"/>
      <c r="KZ4" s="386"/>
      <c r="LA4" s="386"/>
      <c r="LB4" s="386"/>
      <c r="LC4" s="386"/>
      <c r="LD4" s="386"/>
      <c r="LE4" s="386"/>
      <c r="LF4" s="386"/>
      <c r="LG4" s="386"/>
      <c r="LH4" s="386"/>
      <c r="LI4" s="386">
        <v>45870</v>
      </c>
      <c r="LJ4" s="386"/>
      <c r="LK4" s="386"/>
      <c r="LL4" s="386"/>
      <c r="LM4" s="386"/>
      <c r="LN4" s="386"/>
      <c r="LO4" s="386"/>
      <c r="LP4" s="386"/>
      <c r="LQ4" s="386"/>
      <c r="LR4" s="386"/>
      <c r="LS4" s="386"/>
      <c r="LT4" s="386"/>
      <c r="LU4" s="386"/>
      <c r="LV4" s="386"/>
      <c r="LW4" s="386"/>
      <c r="LX4" s="386"/>
      <c r="LY4" s="386">
        <v>45870</v>
      </c>
      <c r="LZ4" s="386"/>
      <c r="MA4" s="386"/>
      <c r="MB4" s="386"/>
      <c r="MC4" s="386"/>
      <c r="MD4" s="386"/>
      <c r="ME4" s="386"/>
      <c r="MF4" s="386"/>
      <c r="MG4" s="386"/>
      <c r="MH4" s="386"/>
      <c r="MI4" s="386"/>
      <c r="MJ4" s="386"/>
      <c r="MK4" s="386"/>
      <c r="ML4" s="386"/>
      <c r="MM4" s="386"/>
      <c r="MN4" s="386"/>
      <c r="MO4" s="386">
        <v>45870</v>
      </c>
      <c r="MP4" s="386"/>
      <c r="MQ4" s="386"/>
      <c r="MR4" s="386"/>
      <c r="MS4" s="386"/>
      <c r="MT4" s="386"/>
      <c r="MU4" s="386"/>
      <c r="MV4" s="386"/>
      <c r="MW4" s="386"/>
      <c r="MX4" s="386"/>
      <c r="MY4" s="386"/>
      <c r="MZ4" s="386"/>
      <c r="NA4" s="386"/>
      <c r="NB4" s="386"/>
      <c r="NC4" s="386"/>
      <c r="ND4" s="386"/>
      <c r="NE4" s="386">
        <v>45870</v>
      </c>
      <c r="NF4" s="386"/>
      <c r="NG4" s="386"/>
      <c r="NH4" s="386"/>
      <c r="NI4" s="386"/>
      <c r="NJ4" s="386"/>
      <c r="NK4" s="386"/>
      <c r="NL4" s="386"/>
      <c r="NM4" s="386"/>
      <c r="NN4" s="386"/>
      <c r="NO4" s="386"/>
      <c r="NP4" s="386"/>
      <c r="NQ4" s="386"/>
      <c r="NR4" s="386"/>
      <c r="NS4" s="386"/>
      <c r="NT4" s="386"/>
      <c r="NU4" s="386">
        <v>45870</v>
      </c>
      <c r="NV4" s="386"/>
      <c r="NW4" s="386"/>
      <c r="NX4" s="386"/>
      <c r="NY4" s="386"/>
      <c r="NZ4" s="386"/>
      <c r="OA4" s="386"/>
      <c r="OB4" s="386"/>
      <c r="OC4" s="386"/>
      <c r="OD4" s="386"/>
      <c r="OE4" s="386"/>
      <c r="OF4" s="386"/>
      <c r="OG4" s="386"/>
      <c r="OH4" s="386"/>
      <c r="OI4" s="386"/>
      <c r="OJ4" s="386"/>
      <c r="OK4" s="386">
        <v>45870</v>
      </c>
      <c r="OL4" s="386"/>
      <c r="OM4" s="386"/>
      <c r="ON4" s="386"/>
      <c r="OO4" s="386"/>
      <c r="OP4" s="386"/>
      <c r="OQ4" s="386"/>
      <c r="OR4" s="386"/>
      <c r="OS4" s="386"/>
      <c r="OT4" s="386"/>
      <c r="OU4" s="386"/>
      <c r="OV4" s="386"/>
      <c r="OW4" s="386"/>
      <c r="OX4" s="386"/>
      <c r="OY4" s="386"/>
      <c r="OZ4" s="386"/>
      <c r="PA4" s="386">
        <v>45870</v>
      </c>
      <c r="PB4" s="386"/>
      <c r="PC4" s="386"/>
      <c r="PD4" s="386"/>
      <c r="PE4" s="386"/>
      <c r="PF4" s="386"/>
      <c r="PG4" s="386"/>
      <c r="PH4" s="386"/>
      <c r="PI4" s="386"/>
      <c r="PJ4" s="386"/>
      <c r="PK4" s="386"/>
      <c r="PL4" s="386"/>
      <c r="PM4" s="386"/>
      <c r="PN4" s="386"/>
      <c r="PO4" s="386"/>
      <c r="PP4" s="386"/>
      <c r="PQ4" s="386">
        <v>45870</v>
      </c>
      <c r="PR4" s="386"/>
      <c r="PS4" s="386"/>
      <c r="PT4" s="386"/>
      <c r="PU4" s="386"/>
      <c r="PV4" s="386"/>
      <c r="PW4" s="386"/>
      <c r="PX4" s="386"/>
      <c r="PY4" s="386"/>
      <c r="PZ4" s="386"/>
      <c r="QA4" s="386"/>
      <c r="QB4" s="386"/>
      <c r="QC4" s="386"/>
      <c r="QD4" s="386"/>
      <c r="QE4" s="386"/>
      <c r="QF4" s="386"/>
      <c r="QG4" s="386">
        <v>45870</v>
      </c>
      <c r="QH4" s="386"/>
      <c r="QI4" s="386"/>
      <c r="QJ4" s="386"/>
      <c r="QK4" s="386"/>
      <c r="QL4" s="386"/>
      <c r="QM4" s="386"/>
      <c r="QN4" s="386"/>
      <c r="QO4" s="386"/>
      <c r="QP4" s="386"/>
      <c r="QQ4" s="386"/>
      <c r="QR4" s="386"/>
      <c r="QS4" s="386"/>
      <c r="QT4" s="386"/>
      <c r="QU4" s="386"/>
      <c r="QV4" s="386"/>
      <c r="QW4" s="386">
        <v>45870</v>
      </c>
      <c r="QX4" s="386"/>
      <c r="QY4" s="386"/>
      <c r="QZ4" s="386"/>
      <c r="RA4" s="386"/>
      <c r="RB4" s="386"/>
      <c r="RC4" s="386"/>
      <c r="RD4" s="386"/>
      <c r="RE4" s="386"/>
      <c r="RF4" s="386"/>
      <c r="RG4" s="386"/>
      <c r="RH4" s="386"/>
      <c r="RI4" s="386"/>
      <c r="RJ4" s="386"/>
      <c r="RK4" s="386"/>
      <c r="RL4" s="386"/>
      <c r="RM4" s="386">
        <v>45870</v>
      </c>
      <c r="RN4" s="386"/>
      <c r="RO4" s="386"/>
      <c r="RP4" s="386"/>
      <c r="RQ4" s="386"/>
      <c r="RR4" s="386"/>
      <c r="RS4" s="386"/>
      <c r="RT4" s="386"/>
      <c r="RU4" s="386"/>
      <c r="RV4" s="386"/>
      <c r="RW4" s="386"/>
      <c r="RX4" s="386"/>
      <c r="RY4" s="386"/>
      <c r="RZ4" s="386"/>
      <c r="SA4" s="386"/>
      <c r="SB4" s="386"/>
      <c r="SC4" s="386">
        <v>45870</v>
      </c>
      <c r="SD4" s="386"/>
      <c r="SE4" s="386"/>
      <c r="SF4" s="386"/>
      <c r="SG4" s="386"/>
      <c r="SH4" s="386"/>
      <c r="SI4" s="386"/>
      <c r="SJ4" s="386"/>
      <c r="SK4" s="386"/>
      <c r="SL4" s="386"/>
      <c r="SM4" s="386"/>
      <c r="SN4" s="386"/>
      <c r="SO4" s="386"/>
      <c r="SP4" s="386"/>
      <c r="SQ4" s="386"/>
      <c r="SR4" s="386"/>
      <c r="SS4" s="386">
        <v>45870</v>
      </c>
      <c r="ST4" s="386"/>
      <c r="SU4" s="386"/>
      <c r="SV4" s="386"/>
      <c r="SW4" s="386"/>
      <c r="SX4" s="386"/>
      <c r="SY4" s="386"/>
      <c r="SZ4" s="386"/>
      <c r="TA4" s="386"/>
      <c r="TB4" s="386"/>
      <c r="TC4" s="386"/>
      <c r="TD4" s="386"/>
      <c r="TE4" s="386"/>
      <c r="TF4" s="386"/>
      <c r="TG4" s="386"/>
      <c r="TH4" s="386"/>
      <c r="TI4" s="386">
        <v>45870</v>
      </c>
      <c r="TJ4" s="386"/>
      <c r="TK4" s="386"/>
      <c r="TL4" s="386"/>
      <c r="TM4" s="386"/>
      <c r="TN4" s="386"/>
      <c r="TO4" s="386"/>
      <c r="TP4" s="386"/>
      <c r="TQ4" s="386"/>
      <c r="TR4" s="386"/>
      <c r="TS4" s="386"/>
      <c r="TT4" s="386"/>
      <c r="TU4" s="386"/>
      <c r="TV4" s="386"/>
      <c r="TW4" s="386"/>
      <c r="TX4" s="386"/>
      <c r="TY4" s="386">
        <v>45870</v>
      </c>
      <c r="TZ4" s="386"/>
      <c r="UA4" s="386"/>
      <c r="UB4" s="386"/>
      <c r="UC4" s="386"/>
      <c r="UD4" s="386"/>
      <c r="UE4" s="386"/>
      <c r="UF4" s="386"/>
      <c r="UG4" s="386"/>
      <c r="UH4" s="386"/>
      <c r="UI4" s="386"/>
      <c r="UJ4" s="386"/>
      <c r="UK4" s="386"/>
      <c r="UL4" s="386"/>
      <c r="UM4" s="386"/>
      <c r="UN4" s="386"/>
      <c r="UO4" s="386">
        <v>45870</v>
      </c>
      <c r="UP4" s="386"/>
      <c r="UQ4" s="386"/>
      <c r="UR4" s="386"/>
      <c r="US4" s="386"/>
      <c r="UT4" s="386"/>
      <c r="UU4" s="386"/>
      <c r="UV4" s="386"/>
      <c r="UW4" s="386"/>
      <c r="UX4" s="386"/>
      <c r="UY4" s="386"/>
      <c r="UZ4" s="386"/>
      <c r="VA4" s="386"/>
      <c r="VB4" s="386"/>
      <c r="VC4" s="386"/>
      <c r="VD4" s="386"/>
      <c r="VE4" s="386">
        <v>45870</v>
      </c>
      <c r="VF4" s="386"/>
      <c r="VG4" s="386"/>
      <c r="VH4" s="386"/>
      <c r="VI4" s="386"/>
      <c r="VJ4" s="386"/>
      <c r="VK4" s="386"/>
      <c r="VL4" s="386"/>
      <c r="VM4" s="386"/>
      <c r="VN4" s="386"/>
      <c r="VO4" s="386"/>
      <c r="VP4" s="386"/>
      <c r="VQ4" s="386"/>
      <c r="VR4" s="386"/>
      <c r="VS4" s="386"/>
      <c r="VT4" s="386"/>
      <c r="VU4" s="386">
        <v>45870</v>
      </c>
      <c r="VV4" s="386"/>
      <c r="VW4" s="386"/>
      <c r="VX4" s="386"/>
      <c r="VY4" s="386"/>
      <c r="VZ4" s="386"/>
      <c r="WA4" s="386"/>
      <c r="WB4" s="386"/>
      <c r="WC4" s="386"/>
      <c r="WD4" s="386"/>
      <c r="WE4" s="386"/>
      <c r="WF4" s="386"/>
      <c r="WG4" s="386"/>
      <c r="WH4" s="386"/>
      <c r="WI4" s="386"/>
      <c r="WJ4" s="386"/>
      <c r="WK4" s="386">
        <v>45870</v>
      </c>
      <c r="WL4" s="386"/>
      <c r="WM4" s="386"/>
      <c r="WN4" s="386"/>
      <c r="WO4" s="386"/>
      <c r="WP4" s="386"/>
      <c r="WQ4" s="386"/>
      <c r="WR4" s="386"/>
      <c r="WS4" s="386"/>
      <c r="WT4" s="386"/>
      <c r="WU4" s="386"/>
      <c r="WV4" s="386"/>
      <c r="WW4" s="386"/>
      <c r="WX4" s="386"/>
      <c r="WY4" s="386"/>
      <c r="WZ4" s="386"/>
      <c r="XA4" s="386">
        <v>45870</v>
      </c>
      <c r="XB4" s="386"/>
      <c r="XC4" s="386"/>
      <c r="XD4" s="386"/>
      <c r="XE4" s="386"/>
      <c r="XF4" s="386"/>
      <c r="XG4" s="386"/>
      <c r="XH4" s="386"/>
      <c r="XI4" s="386"/>
      <c r="XJ4" s="386"/>
      <c r="XK4" s="386"/>
      <c r="XL4" s="386"/>
      <c r="XM4" s="386"/>
      <c r="XN4" s="386"/>
      <c r="XO4" s="386"/>
      <c r="XP4" s="386"/>
      <c r="XQ4" s="386">
        <v>45870</v>
      </c>
      <c r="XR4" s="386"/>
      <c r="XS4" s="386"/>
      <c r="XT4" s="386"/>
      <c r="XU4" s="386"/>
      <c r="XV4" s="386"/>
      <c r="XW4" s="386"/>
      <c r="XX4" s="386"/>
      <c r="XY4" s="386"/>
      <c r="XZ4" s="386"/>
      <c r="YA4" s="386"/>
      <c r="YB4" s="386"/>
      <c r="YC4" s="386"/>
      <c r="YD4" s="386"/>
      <c r="YE4" s="386"/>
      <c r="YF4" s="386"/>
      <c r="YG4" s="386">
        <v>45870</v>
      </c>
      <c r="YH4" s="386"/>
      <c r="YI4" s="386"/>
      <c r="YJ4" s="386"/>
      <c r="YK4" s="386"/>
      <c r="YL4" s="386"/>
      <c r="YM4" s="386"/>
      <c r="YN4" s="386"/>
      <c r="YO4" s="386"/>
      <c r="YP4" s="386"/>
      <c r="YQ4" s="386"/>
      <c r="YR4" s="386"/>
      <c r="YS4" s="386"/>
      <c r="YT4" s="386"/>
      <c r="YU4" s="386"/>
      <c r="YV4" s="386"/>
      <c r="YW4" s="386">
        <v>45870</v>
      </c>
      <c r="YX4" s="386"/>
      <c r="YY4" s="386"/>
      <c r="YZ4" s="386"/>
      <c r="ZA4" s="386"/>
      <c r="ZB4" s="386"/>
      <c r="ZC4" s="386"/>
      <c r="ZD4" s="386"/>
      <c r="ZE4" s="386"/>
      <c r="ZF4" s="386"/>
      <c r="ZG4" s="386"/>
      <c r="ZH4" s="386"/>
      <c r="ZI4" s="386"/>
      <c r="ZJ4" s="386"/>
      <c r="ZK4" s="386"/>
      <c r="ZL4" s="386"/>
      <c r="ZM4" s="386">
        <v>45870</v>
      </c>
      <c r="ZN4" s="386"/>
      <c r="ZO4" s="386"/>
      <c r="ZP4" s="386"/>
      <c r="ZQ4" s="386"/>
      <c r="ZR4" s="386"/>
      <c r="ZS4" s="386"/>
      <c r="ZT4" s="386"/>
      <c r="ZU4" s="386"/>
      <c r="ZV4" s="386"/>
      <c r="ZW4" s="386"/>
      <c r="ZX4" s="386"/>
      <c r="ZY4" s="386"/>
      <c r="ZZ4" s="386"/>
      <c r="AAA4" s="386"/>
      <c r="AAB4" s="386"/>
      <c r="AAC4" s="386">
        <v>45870</v>
      </c>
      <c r="AAD4" s="386"/>
      <c r="AAE4" s="386"/>
      <c r="AAF4" s="386"/>
      <c r="AAG4" s="386"/>
      <c r="AAH4" s="386"/>
      <c r="AAI4" s="386"/>
      <c r="AAJ4" s="386"/>
      <c r="AAK4" s="386"/>
      <c r="AAL4" s="386"/>
      <c r="AAM4" s="386"/>
      <c r="AAN4" s="386"/>
      <c r="AAO4" s="386"/>
      <c r="AAP4" s="386"/>
      <c r="AAQ4" s="386"/>
      <c r="AAR4" s="386"/>
      <c r="AAS4" s="386">
        <v>45870</v>
      </c>
      <c r="AAT4" s="386"/>
      <c r="AAU4" s="386"/>
      <c r="AAV4" s="386"/>
      <c r="AAW4" s="386"/>
      <c r="AAX4" s="386"/>
      <c r="AAY4" s="386"/>
      <c r="AAZ4" s="386"/>
      <c r="ABA4" s="386"/>
      <c r="ABB4" s="386"/>
      <c r="ABC4" s="386"/>
      <c r="ABD4" s="386"/>
      <c r="ABE4" s="386"/>
      <c r="ABF4" s="386"/>
      <c r="ABG4" s="386"/>
      <c r="ABH4" s="386"/>
      <c r="ABI4" s="386">
        <v>45870</v>
      </c>
      <c r="ABJ4" s="386"/>
      <c r="ABK4" s="386"/>
      <c r="ABL4" s="386"/>
      <c r="ABM4" s="386"/>
      <c r="ABN4" s="386"/>
      <c r="ABO4" s="386"/>
      <c r="ABP4" s="386"/>
      <c r="ABQ4" s="386"/>
      <c r="ABR4" s="386"/>
      <c r="ABS4" s="386"/>
      <c r="ABT4" s="386"/>
      <c r="ABU4" s="386"/>
      <c r="ABV4" s="386"/>
      <c r="ABW4" s="386"/>
      <c r="ABX4" s="386"/>
      <c r="ABY4" s="386">
        <v>45870</v>
      </c>
      <c r="ABZ4" s="386"/>
      <c r="ACA4" s="386"/>
      <c r="ACB4" s="386"/>
      <c r="ACC4" s="386"/>
      <c r="ACD4" s="386"/>
      <c r="ACE4" s="386"/>
      <c r="ACF4" s="386"/>
      <c r="ACG4" s="386"/>
      <c r="ACH4" s="386"/>
      <c r="ACI4" s="386"/>
      <c r="ACJ4" s="386"/>
      <c r="ACK4" s="386"/>
      <c r="ACL4" s="386"/>
      <c r="ACM4" s="386"/>
      <c r="ACN4" s="386"/>
      <c r="ACO4" s="386">
        <v>45870</v>
      </c>
      <c r="ACP4" s="386"/>
      <c r="ACQ4" s="386"/>
      <c r="ACR4" s="386"/>
      <c r="ACS4" s="386"/>
      <c r="ACT4" s="386"/>
      <c r="ACU4" s="386"/>
      <c r="ACV4" s="386"/>
      <c r="ACW4" s="386"/>
      <c r="ACX4" s="386"/>
      <c r="ACY4" s="386"/>
      <c r="ACZ4" s="386"/>
      <c r="ADA4" s="386"/>
      <c r="ADB4" s="386"/>
      <c r="ADC4" s="386"/>
      <c r="ADD4" s="386"/>
      <c r="ADE4" s="386">
        <v>45870</v>
      </c>
      <c r="ADF4" s="386"/>
      <c r="ADG4" s="386"/>
      <c r="ADH4" s="386"/>
      <c r="ADI4" s="386"/>
      <c r="ADJ4" s="386"/>
      <c r="ADK4" s="386"/>
      <c r="ADL4" s="386"/>
      <c r="ADM4" s="386"/>
      <c r="ADN4" s="386"/>
      <c r="ADO4" s="386"/>
      <c r="ADP4" s="386"/>
      <c r="ADQ4" s="386"/>
      <c r="ADR4" s="386"/>
      <c r="ADS4" s="386"/>
      <c r="ADT4" s="386"/>
      <c r="ADU4" s="386">
        <v>45870</v>
      </c>
      <c r="ADV4" s="386"/>
      <c r="ADW4" s="386"/>
      <c r="ADX4" s="386"/>
      <c r="ADY4" s="386"/>
      <c r="ADZ4" s="386"/>
      <c r="AEA4" s="386"/>
      <c r="AEB4" s="386"/>
      <c r="AEC4" s="386"/>
      <c r="AED4" s="386"/>
      <c r="AEE4" s="386"/>
      <c r="AEF4" s="386"/>
      <c r="AEG4" s="386"/>
      <c r="AEH4" s="386"/>
      <c r="AEI4" s="386"/>
      <c r="AEJ4" s="386"/>
      <c r="AEK4" s="386">
        <v>45870</v>
      </c>
      <c r="AEL4" s="386"/>
      <c r="AEM4" s="386"/>
      <c r="AEN4" s="386"/>
      <c r="AEO4" s="386"/>
      <c r="AEP4" s="386"/>
      <c r="AEQ4" s="386"/>
      <c r="AER4" s="386"/>
      <c r="AES4" s="386"/>
      <c r="AET4" s="386"/>
      <c r="AEU4" s="386"/>
      <c r="AEV4" s="386"/>
      <c r="AEW4" s="386"/>
      <c r="AEX4" s="386"/>
      <c r="AEY4" s="386"/>
      <c r="AEZ4" s="386"/>
      <c r="AFA4" s="386">
        <v>45870</v>
      </c>
      <c r="AFB4" s="386"/>
      <c r="AFC4" s="386"/>
      <c r="AFD4" s="386"/>
      <c r="AFE4" s="386"/>
      <c r="AFF4" s="386"/>
      <c r="AFG4" s="386"/>
      <c r="AFH4" s="386"/>
      <c r="AFI4" s="386"/>
      <c r="AFJ4" s="386"/>
      <c r="AFK4" s="386"/>
      <c r="AFL4" s="386"/>
      <c r="AFM4" s="386"/>
      <c r="AFN4" s="386"/>
      <c r="AFO4" s="386"/>
      <c r="AFP4" s="386"/>
      <c r="AFQ4" s="386">
        <v>45870</v>
      </c>
      <c r="AFR4" s="386"/>
      <c r="AFS4" s="386"/>
      <c r="AFT4" s="386"/>
      <c r="AFU4" s="386"/>
      <c r="AFV4" s="386"/>
      <c r="AFW4" s="386"/>
      <c r="AFX4" s="386"/>
      <c r="AFY4" s="386"/>
      <c r="AFZ4" s="386"/>
      <c r="AGA4" s="386"/>
      <c r="AGB4" s="386"/>
      <c r="AGC4" s="386"/>
      <c r="AGD4" s="386"/>
      <c r="AGE4" s="386"/>
      <c r="AGF4" s="386"/>
      <c r="AGG4" s="386">
        <v>45870</v>
      </c>
      <c r="AGH4" s="386"/>
      <c r="AGI4" s="386"/>
      <c r="AGJ4" s="386"/>
      <c r="AGK4" s="386"/>
      <c r="AGL4" s="386"/>
      <c r="AGM4" s="386"/>
      <c r="AGN4" s="386"/>
      <c r="AGO4" s="386"/>
      <c r="AGP4" s="386"/>
      <c r="AGQ4" s="386"/>
      <c r="AGR4" s="386"/>
      <c r="AGS4" s="386"/>
      <c r="AGT4" s="386"/>
      <c r="AGU4" s="386"/>
      <c r="AGV4" s="386"/>
      <c r="AGW4" s="386">
        <v>45870</v>
      </c>
      <c r="AGX4" s="386"/>
      <c r="AGY4" s="386"/>
      <c r="AGZ4" s="386"/>
      <c r="AHA4" s="386"/>
      <c r="AHB4" s="386"/>
      <c r="AHC4" s="386"/>
      <c r="AHD4" s="386"/>
      <c r="AHE4" s="386"/>
      <c r="AHF4" s="386"/>
      <c r="AHG4" s="386"/>
      <c r="AHH4" s="386"/>
      <c r="AHI4" s="386"/>
      <c r="AHJ4" s="386"/>
      <c r="AHK4" s="386"/>
      <c r="AHL4" s="386"/>
      <c r="AHM4" s="386">
        <v>45870</v>
      </c>
      <c r="AHN4" s="386"/>
      <c r="AHO4" s="386"/>
      <c r="AHP4" s="386"/>
      <c r="AHQ4" s="386"/>
      <c r="AHR4" s="386"/>
      <c r="AHS4" s="386"/>
      <c r="AHT4" s="386"/>
      <c r="AHU4" s="386"/>
      <c r="AHV4" s="386"/>
      <c r="AHW4" s="386"/>
      <c r="AHX4" s="386"/>
      <c r="AHY4" s="386"/>
      <c r="AHZ4" s="386"/>
      <c r="AIA4" s="386"/>
      <c r="AIB4" s="386"/>
      <c r="AIC4" s="386">
        <v>45870</v>
      </c>
      <c r="AID4" s="386"/>
      <c r="AIE4" s="386"/>
      <c r="AIF4" s="386"/>
      <c r="AIG4" s="386"/>
      <c r="AIH4" s="386"/>
      <c r="AII4" s="386"/>
      <c r="AIJ4" s="386"/>
      <c r="AIK4" s="386"/>
      <c r="AIL4" s="386"/>
      <c r="AIM4" s="386"/>
      <c r="AIN4" s="386"/>
      <c r="AIO4" s="386"/>
      <c r="AIP4" s="386"/>
      <c r="AIQ4" s="386"/>
      <c r="AIR4" s="386"/>
      <c r="AIS4" s="386">
        <v>45870</v>
      </c>
      <c r="AIT4" s="386"/>
      <c r="AIU4" s="386"/>
      <c r="AIV4" s="386"/>
      <c r="AIW4" s="386"/>
      <c r="AIX4" s="386"/>
      <c r="AIY4" s="386"/>
      <c r="AIZ4" s="386"/>
      <c r="AJA4" s="386"/>
      <c r="AJB4" s="386"/>
      <c r="AJC4" s="386"/>
      <c r="AJD4" s="386"/>
      <c r="AJE4" s="386"/>
      <c r="AJF4" s="386"/>
      <c r="AJG4" s="386"/>
      <c r="AJH4" s="386"/>
      <c r="AJI4" s="386">
        <v>45870</v>
      </c>
      <c r="AJJ4" s="386"/>
      <c r="AJK4" s="386"/>
      <c r="AJL4" s="386"/>
      <c r="AJM4" s="386"/>
      <c r="AJN4" s="386"/>
      <c r="AJO4" s="386"/>
      <c r="AJP4" s="386"/>
      <c r="AJQ4" s="386"/>
      <c r="AJR4" s="386"/>
      <c r="AJS4" s="386"/>
      <c r="AJT4" s="386"/>
      <c r="AJU4" s="386"/>
      <c r="AJV4" s="386"/>
      <c r="AJW4" s="386"/>
      <c r="AJX4" s="386"/>
      <c r="AJY4" s="386">
        <v>45870</v>
      </c>
      <c r="AJZ4" s="386"/>
      <c r="AKA4" s="386"/>
      <c r="AKB4" s="386"/>
      <c r="AKC4" s="386"/>
      <c r="AKD4" s="386"/>
      <c r="AKE4" s="386"/>
      <c r="AKF4" s="386"/>
      <c r="AKG4" s="386"/>
      <c r="AKH4" s="386"/>
      <c r="AKI4" s="386"/>
      <c r="AKJ4" s="386"/>
      <c r="AKK4" s="386"/>
      <c r="AKL4" s="386"/>
      <c r="AKM4" s="386"/>
      <c r="AKN4" s="386"/>
      <c r="AKO4" s="386">
        <v>45870</v>
      </c>
      <c r="AKP4" s="386"/>
      <c r="AKQ4" s="386"/>
      <c r="AKR4" s="386"/>
      <c r="AKS4" s="386"/>
      <c r="AKT4" s="386"/>
      <c r="AKU4" s="386"/>
      <c r="AKV4" s="386"/>
      <c r="AKW4" s="386"/>
      <c r="AKX4" s="386"/>
      <c r="AKY4" s="386"/>
      <c r="AKZ4" s="386"/>
      <c r="ALA4" s="386"/>
      <c r="ALB4" s="386"/>
      <c r="ALC4" s="386"/>
      <c r="ALD4" s="386"/>
      <c r="ALE4" s="386">
        <v>45870</v>
      </c>
      <c r="ALF4" s="386"/>
      <c r="ALG4" s="386"/>
      <c r="ALH4" s="386"/>
      <c r="ALI4" s="386"/>
      <c r="ALJ4" s="386"/>
      <c r="ALK4" s="386"/>
      <c r="ALL4" s="386"/>
      <c r="ALM4" s="386"/>
      <c r="ALN4" s="386"/>
      <c r="ALO4" s="386"/>
      <c r="ALP4" s="386"/>
      <c r="ALQ4" s="386"/>
      <c r="ALR4" s="386"/>
      <c r="ALS4" s="386"/>
      <c r="ALT4" s="386"/>
      <c r="ALU4" s="386">
        <v>45870</v>
      </c>
      <c r="ALV4" s="386"/>
      <c r="ALW4" s="386"/>
      <c r="ALX4" s="386"/>
      <c r="ALY4" s="386"/>
      <c r="ALZ4" s="386"/>
      <c r="AMA4" s="386"/>
      <c r="AMB4" s="386"/>
      <c r="AMC4" s="386"/>
      <c r="AMD4" s="386"/>
      <c r="AME4" s="386"/>
      <c r="AMF4" s="386"/>
      <c r="AMG4" s="386"/>
      <c r="AMH4" s="386"/>
      <c r="AMI4" s="386"/>
      <c r="AMJ4" s="386"/>
      <c r="AMK4" s="386">
        <v>45870</v>
      </c>
      <c r="AML4" s="386"/>
      <c r="AMM4" s="386"/>
      <c r="AMN4" s="386"/>
      <c r="AMO4" s="386"/>
      <c r="AMP4" s="386"/>
      <c r="AMQ4" s="386"/>
      <c r="AMR4" s="386"/>
      <c r="AMS4" s="386"/>
      <c r="AMT4" s="386"/>
      <c r="AMU4" s="386"/>
      <c r="AMV4" s="386"/>
      <c r="AMW4" s="386"/>
      <c r="AMX4" s="386"/>
      <c r="AMY4" s="386"/>
      <c r="AMZ4" s="386"/>
      <c r="ANA4" s="386">
        <v>45870</v>
      </c>
      <c r="ANB4" s="386"/>
      <c r="ANC4" s="386"/>
      <c r="AND4" s="386"/>
      <c r="ANE4" s="386"/>
      <c r="ANF4" s="386"/>
      <c r="ANG4" s="386"/>
      <c r="ANH4" s="386"/>
      <c r="ANI4" s="386"/>
      <c r="ANJ4" s="386"/>
      <c r="ANK4" s="386"/>
      <c r="ANL4" s="386"/>
      <c r="ANM4" s="386"/>
      <c r="ANN4" s="386"/>
      <c r="ANO4" s="386"/>
      <c r="ANP4" s="386"/>
      <c r="ANQ4" s="386">
        <v>45870</v>
      </c>
      <c r="ANR4" s="386"/>
      <c r="ANS4" s="386"/>
      <c r="ANT4" s="386"/>
      <c r="ANU4" s="386"/>
      <c r="ANV4" s="386"/>
      <c r="ANW4" s="386"/>
      <c r="ANX4" s="386"/>
      <c r="ANY4" s="386"/>
      <c r="ANZ4" s="386"/>
      <c r="AOA4" s="386"/>
      <c r="AOB4" s="386"/>
      <c r="AOC4" s="386"/>
      <c r="AOD4" s="386"/>
      <c r="AOE4" s="386"/>
      <c r="AOF4" s="386"/>
      <c r="AOG4" s="386">
        <v>45870</v>
      </c>
      <c r="AOH4" s="386"/>
      <c r="AOI4" s="386"/>
      <c r="AOJ4" s="386"/>
      <c r="AOK4" s="386"/>
      <c r="AOL4" s="386"/>
      <c r="AOM4" s="386"/>
      <c r="AON4" s="386"/>
      <c r="AOO4" s="386"/>
      <c r="AOP4" s="386"/>
      <c r="AOQ4" s="386"/>
      <c r="AOR4" s="386"/>
      <c r="AOS4" s="386"/>
      <c r="AOT4" s="386"/>
      <c r="AOU4" s="386"/>
      <c r="AOV4" s="386"/>
      <c r="AOW4" s="386">
        <v>45870</v>
      </c>
      <c r="AOX4" s="386"/>
      <c r="AOY4" s="386"/>
      <c r="AOZ4" s="386"/>
      <c r="APA4" s="386"/>
      <c r="APB4" s="386"/>
      <c r="APC4" s="386"/>
      <c r="APD4" s="386"/>
      <c r="APE4" s="386"/>
      <c r="APF4" s="386"/>
      <c r="APG4" s="386"/>
      <c r="APH4" s="386"/>
      <c r="API4" s="386"/>
      <c r="APJ4" s="386"/>
      <c r="APK4" s="386"/>
      <c r="APL4" s="386"/>
      <c r="APM4" s="386">
        <v>45870</v>
      </c>
      <c r="APN4" s="386"/>
      <c r="APO4" s="386"/>
      <c r="APP4" s="386"/>
      <c r="APQ4" s="386"/>
      <c r="APR4" s="386"/>
      <c r="APS4" s="386"/>
      <c r="APT4" s="386"/>
      <c r="APU4" s="386"/>
      <c r="APV4" s="386"/>
      <c r="APW4" s="386"/>
      <c r="APX4" s="386"/>
      <c r="APY4" s="386"/>
      <c r="APZ4" s="386"/>
      <c r="AQA4" s="386"/>
      <c r="AQB4" s="386"/>
      <c r="AQC4" s="386">
        <v>45870</v>
      </c>
      <c r="AQD4" s="386"/>
      <c r="AQE4" s="386"/>
      <c r="AQF4" s="386"/>
      <c r="AQG4" s="386"/>
      <c r="AQH4" s="386"/>
      <c r="AQI4" s="386"/>
      <c r="AQJ4" s="386"/>
      <c r="AQK4" s="386"/>
      <c r="AQL4" s="386"/>
      <c r="AQM4" s="386"/>
      <c r="AQN4" s="386"/>
      <c r="AQO4" s="386"/>
      <c r="AQP4" s="386"/>
      <c r="AQQ4" s="386"/>
      <c r="AQR4" s="386"/>
      <c r="AQS4" s="386">
        <v>45870</v>
      </c>
      <c r="AQT4" s="386"/>
      <c r="AQU4" s="386"/>
      <c r="AQV4" s="386"/>
      <c r="AQW4" s="386"/>
      <c r="AQX4" s="386"/>
      <c r="AQY4" s="386"/>
      <c r="AQZ4" s="386"/>
      <c r="ARA4" s="386"/>
      <c r="ARB4" s="386"/>
      <c r="ARC4" s="386"/>
      <c r="ARD4" s="386"/>
      <c r="ARE4" s="386"/>
      <c r="ARF4" s="386"/>
      <c r="ARG4" s="386"/>
      <c r="ARH4" s="386"/>
      <c r="ARI4" s="386">
        <v>45870</v>
      </c>
      <c r="ARJ4" s="386"/>
      <c r="ARK4" s="386"/>
      <c r="ARL4" s="386"/>
      <c r="ARM4" s="386"/>
      <c r="ARN4" s="386"/>
      <c r="ARO4" s="386"/>
      <c r="ARP4" s="386"/>
      <c r="ARQ4" s="386"/>
      <c r="ARR4" s="386"/>
      <c r="ARS4" s="386"/>
      <c r="ART4" s="386"/>
      <c r="ARU4" s="386"/>
      <c r="ARV4" s="386"/>
      <c r="ARW4" s="386"/>
      <c r="ARX4" s="386"/>
      <c r="ARY4" s="386">
        <v>45870</v>
      </c>
      <c r="ARZ4" s="386"/>
      <c r="ASA4" s="386"/>
      <c r="ASB4" s="386"/>
      <c r="ASC4" s="386"/>
      <c r="ASD4" s="386"/>
      <c r="ASE4" s="386"/>
      <c r="ASF4" s="386"/>
      <c r="ASG4" s="386"/>
      <c r="ASH4" s="386"/>
      <c r="ASI4" s="386"/>
      <c r="ASJ4" s="386"/>
      <c r="ASK4" s="386"/>
      <c r="ASL4" s="386"/>
      <c r="ASM4" s="386"/>
      <c r="ASN4" s="386"/>
      <c r="ASO4" s="386">
        <v>45870</v>
      </c>
      <c r="ASP4" s="386"/>
      <c r="ASQ4" s="386"/>
      <c r="ASR4" s="386"/>
      <c r="ASS4" s="386"/>
      <c r="AST4" s="386"/>
      <c r="ASU4" s="386"/>
      <c r="ASV4" s="386"/>
      <c r="ASW4" s="386"/>
      <c r="ASX4" s="386"/>
      <c r="ASY4" s="386"/>
      <c r="ASZ4" s="386"/>
      <c r="ATA4" s="386"/>
      <c r="ATB4" s="386"/>
      <c r="ATC4" s="386"/>
      <c r="ATD4" s="386"/>
      <c r="ATE4" s="386">
        <v>45870</v>
      </c>
      <c r="ATF4" s="386"/>
      <c r="ATG4" s="386"/>
      <c r="ATH4" s="386"/>
      <c r="ATI4" s="386"/>
      <c r="ATJ4" s="386"/>
      <c r="ATK4" s="386"/>
      <c r="ATL4" s="386"/>
      <c r="ATM4" s="386"/>
      <c r="ATN4" s="386"/>
      <c r="ATO4" s="386"/>
      <c r="ATP4" s="386"/>
      <c r="ATQ4" s="386"/>
      <c r="ATR4" s="386"/>
      <c r="ATS4" s="386"/>
      <c r="ATT4" s="386"/>
      <c r="ATU4" s="386">
        <v>45870</v>
      </c>
      <c r="ATV4" s="386"/>
      <c r="ATW4" s="386"/>
      <c r="ATX4" s="386"/>
      <c r="ATY4" s="386"/>
      <c r="ATZ4" s="386"/>
      <c r="AUA4" s="386"/>
      <c r="AUB4" s="386"/>
      <c r="AUC4" s="386"/>
      <c r="AUD4" s="386"/>
      <c r="AUE4" s="386"/>
      <c r="AUF4" s="386"/>
      <c r="AUG4" s="386"/>
      <c r="AUH4" s="386"/>
      <c r="AUI4" s="386"/>
      <c r="AUJ4" s="386"/>
      <c r="AUK4" s="386">
        <v>45870</v>
      </c>
      <c r="AUL4" s="386"/>
      <c r="AUM4" s="386"/>
      <c r="AUN4" s="386"/>
      <c r="AUO4" s="386"/>
      <c r="AUP4" s="386"/>
      <c r="AUQ4" s="386"/>
      <c r="AUR4" s="386"/>
      <c r="AUS4" s="386"/>
      <c r="AUT4" s="386"/>
      <c r="AUU4" s="386"/>
      <c r="AUV4" s="386"/>
      <c r="AUW4" s="386"/>
      <c r="AUX4" s="386"/>
      <c r="AUY4" s="386"/>
      <c r="AUZ4" s="386"/>
      <c r="AVA4" s="386">
        <v>45870</v>
      </c>
      <c r="AVB4" s="386"/>
      <c r="AVC4" s="386"/>
      <c r="AVD4" s="386"/>
      <c r="AVE4" s="386"/>
      <c r="AVF4" s="386"/>
      <c r="AVG4" s="386"/>
      <c r="AVH4" s="386"/>
      <c r="AVI4" s="386"/>
      <c r="AVJ4" s="386"/>
      <c r="AVK4" s="386"/>
      <c r="AVL4" s="386"/>
      <c r="AVM4" s="386"/>
      <c r="AVN4" s="386"/>
      <c r="AVO4" s="386"/>
      <c r="AVP4" s="386"/>
      <c r="AVQ4" s="386">
        <v>45870</v>
      </c>
      <c r="AVR4" s="386"/>
      <c r="AVS4" s="386"/>
      <c r="AVT4" s="386"/>
      <c r="AVU4" s="386"/>
      <c r="AVV4" s="386"/>
      <c r="AVW4" s="386"/>
      <c r="AVX4" s="386"/>
      <c r="AVY4" s="386"/>
      <c r="AVZ4" s="386"/>
      <c r="AWA4" s="386"/>
      <c r="AWB4" s="386"/>
      <c r="AWC4" s="386"/>
      <c r="AWD4" s="386"/>
      <c r="AWE4" s="386"/>
      <c r="AWF4" s="386"/>
      <c r="AWG4" s="386">
        <v>45870</v>
      </c>
      <c r="AWH4" s="386"/>
      <c r="AWI4" s="386"/>
      <c r="AWJ4" s="386"/>
      <c r="AWK4" s="386"/>
      <c r="AWL4" s="386"/>
      <c r="AWM4" s="386"/>
      <c r="AWN4" s="386"/>
      <c r="AWO4" s="386"/>
      <c r="AWP4" s="386"/>
      <c r="AWQ4" s="386"/>
      <c r="AWR4" s="386"/>
      <c r="AWS4" s="386"/>
      <c r="AWT4" s="386"/>
      <c r="AWU4" s="386"/>
      <c r="AWV4" s="386"/>
      <c r="AWW4" s="386">
        <v>45870</v>
      </c>
      <c r="AWX4" s="386"/>
      <c r="AWY4" s="386"/>
      <c r="AWZ4" s="386"/>
      <c r="AXA4" s="386"/>
      <c r="AXB4" s="386"/>
      <c r="AXC4" s="386"/>
      <c r="AXD4" s="386"/>
      <c r="AXE4" s="386"/>
      <c r="AXF4" s="386"/>
      <c r="AXG4" s="386"/>
      <c r="AXH4" s="386"/>
      <c r="AXI4" s="386"/>
      <c r="AXJ4" s="386"/>
      <c r="AXK4" s="386"/>
      <c r="AXL4" s="386"/>
      <c r="AXM4" s="386">
        <v>45870</v>
      </c>
      <c r="AXN4" s="386"/>
      <c r="AXO4" s="386"/>
      <c r="AXP4" s="386"/>
      <c r="AXQ4" s="386"/>
      <c r="AXR4" s="386"/>
      <c r="AXS4" s="386"/>
      <c r="AXT4" s="386"/>
      <c r="AXU4" s="386"/>
      <c r="AXV4" s="386"/>
      <c r="AXW4" s="386"/>
      <c r="AXX4" s="386"/>
      <c r="AXY4" s="386"/>
      <c r="AXZ4" s="386"/>
      <c r="AYA4" s="386"/>
      <c r="AYB4" s="386"/>
      <c r="AYC4" s="386">
        <v>45870</v>
      </c>
      <c r="AYD4" s="386"/>
      <c r="AYE4" s="386"/>
      <c r="AYF4" s="386"/>
      <c r="AYG4" s="386"/>
      <c r="AYH4" s="386"/>
      <c r="AYI4" s="386"/>
      <c r="AYJ4" s="386"/>
      <c r="AYK4" s="386"/>
      <c r="AYL4" s="386"/>
      <c r="AYM4" s="386"/>
      <c r="AYN4" s="386"/>
      <c r="AYO4" s="386"/>
      <c r="AYP4" s="386"/>
      <c r="AYQ4" s="386"/>
      <c r="AYR4" s="386"/>
      <c r="AYS4" s="386">
        <v>45870</v>
      </c>
      <c r="AYT4" s="386"/>
      <c r="AYU4" s="386"/>
      <c r="AYV4" s="386"/>
      <c r="AYW4" s="386"/>
      <c r="AYX4" s="386"/>
      <c r="AYY4" s="386"/>
      <c r="AYZ4" s="386"/>
      <c r="AZA4" s="386"/>
      <c r="AZB4" s="386"/>
      <c r="AZC4" s="386"/>
      <c r="AZD4" s="386"/>
      <c r="AZE4" s="386"/>
      <c r="AZF4" s="386"/>
      <c r="AZG4" s="386"/>
      <c r="AZH4" s="386"/>
      <c r="AZI4" s="386">
        <v>45870</v>
      </c>
      <c r="AZJ4" s="386"/>
      <c r="AZK4" s="386"/>
      <c r="AZL4" s="386"/>
      <c r="AZM4" s="386"/>
      <c r="AZN4" s="386"/>
      <c r="AZO4" s="386"/>
      <c r="AZP4" s="386"/>
      <c r="AZQ4" s="386"/>
      <c r="AZR4" s="386"/>
      <c r="AZS4" s="386"/>
      <c r="AZT4" s="386"/>
      <c r="AZU4" s="386"/>
      <c r="AZV4" s="386"/>
      <c r="AZW4" s="386"/>
      <c r="AZX4" s="386"/>
      <c r="AZY4" s="386">
        <v>45870</v>
      </c>
      <c r="AZZ4" s="386"/>
      <c r="BAA4" s="386"/>
      <c r="BAB4" s="386"/>
      <c r="BAC4" s="386"/>
      <c r="BAD4" s="386"/>
      <c r="BAE4" s="386"/>
      <c r="BAF4" s="386"/>
      <c r="BAG4" s="386"/>
      <c r="BAH4" s="386"/>
      <c r="BAI4" s="386"/>
      <c r="BAJ4" s="386"/>
      <c r="BAK4" s="386"/>
      <c r="BAL4" s="386"/>
      <c r="BAM4" s="386"/>
      <c r="BAN4" s="386"/>
      <c r="BAO4" s="386">
        <v>45870</v>
      </c>
      <c r="BAP4" s="386"/>
      <c r="BAQ4" s="386"/>
      <c r="BAR4" s="386"/>
      <c r="BAS4" s="386"/>
      <c r="BAT4" s="386"/>
      <c r="BAU4" s="386"/>
      <c r="BAV4" s="386"/>
      <c r="BAW4" s="386"/>
      <c r="BAX4" s="386"/>
      <c r="BAY4" s="386"/>
      <c r="BAZ4" s="386"/>
      <c r="BBA4" s="386"/>
      <c r="BBB4" s="386"/>
      <c r="BBC4" s="386"/>
      <c r="BBD4" s="386"/>
      <c r="BBE4" s="386">
        <v>45870</v>
      </c>
      <c r="BBF4" s="386"/>
      <c r="BBG4" s="386"/>
      <c r="BBH4" s="386"/>
      <c r="BBI4" s="386"/>
      <c r="BBJ4" s="386"/>
      <c r="BBK4" s="386"/>
      <c r="BBL4" s="386"/>
      <c r="BBM4" s="386"/>
      <c r="BBN4" s="386"/>
      <c r="BBO4" s="386"/>
      <c r="BBP4" s="386"/>
      <c r="BBQ4" s="386"/>
      <c r="BBR4" s="386"/>
      <c r="BBS4" s="386"/>
      <c r="BBT4" s="386"/>
      <c r="BBU4" s="386">
        <v>45870</v>
      </c>
      <c r="BBV4" s="386"/>
      <c r="BBW4" s="386"/>
      <c r="BBX4" s="386"/>
      <c r="BBY4" s="386"/>
      <c r="BBZ4" s="386"/>
      <c r="BCA4" s="386"/>
      <c r="BCB4" s="386"/>
      <c r="BCC4" s="386"/>
      <c r="BCD4" s="386"/>
      <c r="BCE4" s="386"/>
      <c r="BCF4" s="386"/>
      <c r="BCG4" s="386"/>
      <c r="BCH4" s="386"/>
      <c r="BCI4" s="386"/>
      <c r="BCJ4" s="386"/>
      <c r="BCK4" s="386">
        <v>45870</v>
      </c>
      <c r="BCL4" s="386"/>
      <c r="BCM4" s="386"/>
      <c r="BCN4" s="386"/>
      <c r="BCO4" s="386"/>
      <c r="BCP4" s="386"/>
      <c r="BCQ4" s="386"/>
      <c r="BCR4" s="386"/>
      <c r="BCS4" s="386"/>
      <c r="BCT4" s="386"/>
      <c r="BCU4" s="386"/>
      <c r="BCV4" s="386"/>
      <c r="BCW4" s="386"/>
      <c r="BCX4" s="386"/>
      <c r="BCY4" s="386"/>
      <c r="BCZ4" s="386"/>
      <c r="BDA4" s="386">
        <v>45870</v>
      </c>
      <c r="BDB4" s="386"/>
      <c r="BDC4" s="386"/>
      <c r="BDD4" s="386"/>
      <c r="BDE4" s="386"/>
      <c r="BDF4" s="386"/>
      <c r="BDG4" s="386"/>
      <c r="BDH4" s="386"/>
      <c r="BDI4" s="386"/>
      <c r="BDJ4" s="386"/>
      <c r="BDK4" s="386"/>
      <c r="BDL4" s="386"/>
      <c r="BDM4" s="386"/>
      <c r="BDN4" s="386"/>
      <c r="BDO4" s="386"/>
      <c r="BDP4" s="386"/>
      <c r="BDQ4" s="386">
        <v>45870</v>
      </c>
      <c r="BDR4" s="386"/>
      <c r="BDS4" s="386"/>
      <c r="BDT4" s="386"/>
      <c r="BDU4" s="386"/>
      <c r="BDV4" s="386"/>
      <c r="BDW4" s="386"/>
      <c r="BDX4" s="386"/>
      <c r="BDY4" s="386"/>
      <c r="BDZ4" s="386"/>
      <c r="BEA4" s="386"/>
      <c r="BEB4" s="386"/>
      <c r="BEC4" s="386"/>
      <c r="BED4" s="386"/>
      <c r="BEE4" s="386"/>
      <c r="BEF4" s="386"/>
      <c r="BEG4" s="386">
        <v>45870</v>
      </c>
      <c r="BEH4" s="386"/>
      <c r="BEI4" s="386"/>
      <c r="BEJ4" s="386"/>
      <c r="BEK4" s="386"/>
      <c r="BEL4" s="386"/>
      <c r="BEM4" s="386"/>
      <c r="BEN4" s="386"/>
      <c r="BEO4" s="386"/>
      <c r="BEP4" s="386"/>
      <c r="BEQ4" s="386"/>
      <c r="BER4" s="386"/>
      <c r="BES4" s="386"/>
      <c r="BET4" s="386"/>
      <c r="BEU4" s="386"/>
      <c r="BEV4" s="386"/>
      <c r="BEW4" s="386">
        <v>45870</v>
      </c>
      <c r="BEX4" s="386"/>
      <c r="BEY4" s="386"/>
      <c r="BEZ4" s="386"/>
      <c r="BFA4" s="386"/>
      <c r="BFB4" s="386"/>
      <c r="BFC4" s="386"/>
      <c r="BFD4" s="386"/>
      <c r="BFE4" s="386"/>
      <c r="BFF4" s="386"/>
      <c r="BFG4" s="386"/>
      <c r="BFH4" s="386"/>
      <c r="BFI4" s="386"/>
      <c r="BFJ4" s="386"/>
      <c r="BFK4" s="386"/>
      <c r="BFL4" s="386"/>
      <c r="BFM4" s="386">
        <v>45870</v>
      </c>
      <c r="BFN4" s="386"/>
      <c r="BFO4" s="386"/>
      <c r="BFP4" s="386"/>
      <c r="BFQ4" s="386"/>
      <c r="BFR4" s="386"/>
      <c r="BFS4" s="386"/>
      <c r="BFT4" s="386"/>
      <c r="BFU4" s="386"/>
      <c r="BFV4" s="386"/>
      <c r="BFW4" s="386"/>
      <c r="BFX4" s="386"/>
      <c r="BFY4" s="386"/>
      <c r="BFZ4" s="386"/>
      <c r="BGA4" s="386"/>
      <c r="BGB4" s="386"/>
      <c r="BGC4" s="386">
        <v>45870</v>
      </c>
      <c r="BGD4" s="386"/>
      <c r="BGE4" s="386"/>
      <c r="BGF4" s="386"/>
      <c r="BGG4" s="386"/>
      <c r="BGH4" s="386"/>
      <c r="BGI4" s="386"/>
      <c r="BGJ4" s="386"/>
      <c r="BGK4" s="386"/>
      <c r="BGL4" s="386"/>
      <c r="BGM4" s="386"/>
      <c r="BGN4" s="386"/>
      <c r="BGO4" s="386"/>
      <c r="BGP4" s="386"/>
      <c r="BGQ4" s="386"/>
      <c r="BGR4" s="386"/>
      <c r="BGS4" s="386">
        <v>45870</v>
      </c>
      <c r="BGT4" s="386"/>
      <c r="BGU4" s="386"/>
      <c r="BGV4" s="386"/>
      <c r="BGW4" s="386"/>
      <c r="BGX4" s="386"/>
      <c r="BGY4" s="386"/>
      <c r="BGZ4" s="386"/>
      <c r="BHA4" s="386"/>
      <c r="BHB4" s="386"/>
      <c r="BHC4" s="386"/>
      <c r="BHD4" s="386"/>
      <c r="BHE4" s="386"/>
      <c r="BHF4" s="386"/>
      <c r="BHG4" s="386"/>
      <c r="BHH4" s="386"/>
      <c r="BHI4" s="386">
        <v>45870</v>
      </c>
      <c r="BHJ4" s="386"/>
      <c r="BHK4" s="386"/>
      <c r="BHL4" s="386"/>
      <c r="BHM4" s="386"/>
      <c r="BHN4" s="386"/>
      <c r="BHO4" s="386"/>
      <c r="BHP4" s="386"/>
      <c r="BHQ4" s="386"/>
      <c r="BHR4" s="386"/>
      <c r="BHS4" s="386"/>
      <c r="BHT4" s="386"/>
      <c r="BHU4" s="386"/>
      <c r="BHV4" s="386"/>
      <c r="BHW4" s="386"/>
      <c r="BHX4" s="386"/>
      <c r="BHY4" s="386">
        <v>45870</v>
      </c>
      <c r="BHZ4" s="386"/>
      <c r="BIA4" s="386"/>
      <c r="BIB4" s="386"/>
      <c r="BIC4" s="386"/>
      <c r="BID4" s="386"/>
      <c r="BIE4" s="386"/>
      <c r="BIF4" s="386"/>
      <c r="BIG4" s="386"/>
      <c r="BIH4" s="386"/>
      <c r="BII4" s="386"/>
      <c r="BIJ4" s="386"/>
      <c r="BIK4" s="386"/>
      <c r="BIL4" s="386"/>
      <c r="BIM4" s="386"/>
      <c r="BIN4" s="386"/>
      <c r="BIO4" s="386">
        <v>45870</v>
      </c>
      <c r="BIP4" s="386"/>
      <c r="BIQ4" s="386"/>
      <c r="BIR4" s="386"/>
      <c r="BIS4" s="386"/>
      <c r="BIT4" s="386"/>
      <c r="BIU4" s="386"/>
      <c r="BIV4" s="386"/>
      <c r="BIW4" s="386"/>
      <c r="BIX4" s="386"/>
      <c r="BIY4" s="386"/>
      <c r="BIZ4" s="386"/>
      <c r="BJA4" s="386"/>
      <c r="BJB4" s="386"/>
      <c r="BJC4" s="386"/>
      <c r="BJD4" s="386"/>
      <c r="BJE4" s="386">
        <v>45870</v>
      </c>
      <c r="BJF4" s="386"/>
      <c r="BJG4" s="386"/>
      <c r="BJH4" s="386"/>
      <c r="BJI4" s="386"/>
      <c r="BJJ4" s="386"/>
      <c r="BJK4" s="386"/>
      <c r="BJL4" s="386"/>
      <c r="BJM4" s="386"/>
      <c r="BJN4" s="386"/>
      <c r="BJO4" s="386"/>
      <c r="BJP4" s="386"/>
      <c r="BJQ4" s="386"/>
      <c r="BJR4" s="386"/>
      <c r="BJS4" s="386"/>
      <c r="BJT4" s="386"/>
      <c r="BJU4" s="386">
        <v>45870</v>
      </c>
      <c r="BJV4" s="386"/>
      <c r="BJW4" s="386"/>
      <c r="BJX4" s="386"/>
      <c r="BJY4" s="386"/>
      <c r="BJZ4" s="386"/>
      <c r="BKA4" s="386"/>
      <c r="BKB4" s="386"/>
      <c r="BKC4" s="386"/>
      <c r="BKD4" s="386"/>
      <c r="BKE4" s="386"/>
      <c r="BKF4" s="386"/>
      <c r="BKG4" s="386"/>
      <c r="BKH4" s="386"/>
      <c r="BKI4" s="386"/>
      <c r="BKJ4" s="386"/>
      <c r="BKK4" s="386">
        <v>45870</v>
      </c>
      <c r="BKL4" s="386"/>
      <c r="BKM4" s="386"/>
      <c r="BKN4" s="386"/>
      <c r="BKO4" s="386"/>
      <c r="BKP4" s="386"/>
      <c r="BKQ4" s="386"/>
      <c r="BKR4" s="386"/>
      <c r="BKS4" s="386"/>
      <c r="BKT4" s="386"/>
      <c r="BKU4" s="386"/>
      <c r="BKV4" s="386"/>
      <c r="BKW4" s="386"/>
      <c r="BKX4" s="386"/>
      <c r="BKY4" s="386"/>
      <c r="BKZ4" s="386"/>
      <c r="BLA4" s="386">
        <v>45870</v>
      </c>
      <c r="BLB4" s="386"/>
      <c r="BLC4" s="386"/>
      <c r="BLD4" s="386"/>
      <c r="BLE4" s="386"/>
      <c r="BLF4" s="386"/>
      <c r="BLG4" s="386"/>
      <c r="BLH4" s="386"/>
      <c r="BLI4" s="386"/>
      <c r="BLJ4" s="386"/>
      <c r="BLK4" s="386"/>
      <c r="BLL4" s="386"/>
      <c r="BLM4" s="386"/>
      <c r="BLN4" s="386"/>
      <c r="BLO4" s="386"/>
      <c r="BLP4" s="386"/>
      <c r="BLQ4" s="386">
        <v>45870</v>
      </c>
      <c r="BLR4" s="386"/>
      <c r="BLS4" s="386"/>
      <c r="BLT4" s="386"/>
      <c r="BLU4" s="386"/>
      <c r="BLV4" s="386"/>
      <c r="BLW4" s="386"/>
      <c r="BLX4" s="386"/>
      <c r="BLY4" s="386"/>
      <c r="BLZ4" s="386"/>
      <c r="BMA4" s="386"/>
      <c r="BMB4" s="386"/>
      <c r="BMC4" s="386"/>
      <c r="BMD4" s="386"/>
      <c r="BME4" s="386"/>
      <c r="BMF4" s="386"/>
      <c r="BMG4" s="386">
        <v>45870</v>
      </c>
      <c r="BMH4" s="386"/>
      <c r="BMI4" s="386"/>
      <c r="BMJ4" s="386"/>
      <c r="BMK4" s="386"/>
      <c r="BML4" s="386"/>
      <c r="BMM4" s="386"/>
      <c r="BMN4" s="386"/>
      <c r="BMO4" s="386"/>
      <c r="BMP4" s="386"/>
      <c r="BMQ4" s="386"/>
      <c r="BMR4" s="386"/>
      <c r="BMS4" s="386"/>
      <c r="BMT4" s="386"/>
      <c r="BMU4" s="386"/>
      <c r="BMV4" s="386"/>
      <c r="BMW4" s="386">
        <v>45870</v>
      </c>
      <c r="BMX4" s="386"/>
      <c r="BMY4" s="386"/>
      <c r="BMZ4" s="386"/>
      <c r="BNA4" s="386"/>
      <c r="BNB4" s="386"/>
      <c r="BNC4" s="386"/>
      <c r="BND4" s="386"/>
      <c r="BNE4" s="386"/>
      <c r="BNF4" s="386"/>
      <c r="BNG4" s="386"/>
      <c r="BNH4" s="386"/>
      <c r="BNI4" s="386"/>
      <c r="BNJ4" s="386"/>
      <c r="BNK4" s="386"/>
      <c r="BNL4" s="386"/>
      <c r="BNM4" s="386">
        <v>45870</v>
      </c>
      <c r="BNN4" s="386"/>
      <c r="BNO4" s="386"/>
      <c r="BNP4" s="386"/>
      <c r="BNQ4" s="386"/>
      <c r="BNR4" s="386"/>
      <c r="BNS4" s="386"/>
      <c r="BNT4" s="386"/>
      <c r="BNU4" s="386"/>
      <c r="BNV4" s="386"/>
      <c r="BNW4" s="386"/>
      <c r="BNX4" s="386"/>
      <c r="BNY4" s="386"/>
      <c r="BNZ4" s="386"/>
      <c r="BOA4" s="386"/>
      <c r="BOB4" s="386"/>
      <c r="BOC4" s="386">
        <v>45870</v>
      </c>
      <c r="BOD4" s="386"/>
      <c r="BOE4" s="386"/>
      <c r="BOF4" s="386"/>
      <c r="BOG4" s="386"/>
      <c r="BOH4" s="386"/>
      <c r="BOI4" s="386"/>
      <c r="BOJ4" s="386"/>
      <c r="BOK4" s="386"/>
      <c r="BOL4" s="386"/>
      <c r="BOM4" s="386"/>
      <c r="BON4" s="386"/>
      <c r="BOO4" s="386"/>
      <c r="BOP4" s="386"/>
      <c r="BOQ4" s="386"/>
      <c r="BOR4" s="386"/>
      <c r="BOS4" s="386">
        <v>45870</v>
      </c>
      <c r="BOT4" s="386"/>
      <c r="BOU4" s="386"/>
      <c r="BOV4" s="386"/>
      <c r="BOW4" s="386"/>
      <c r="BOX4" s="386"/>
      <c r="BOY4" s="386"/>
      <c r="BOZ4" s="386"/>
      <c r="BPA4" s="386"/>
      <c r="BPB4" s="386"/>
      <c r="BPC4" s="386"/>
      <c r="BPD4" s="386"/>
      <c r="BPE4" s="386"/>
      <c r="BPF4" s="386"/>
      <c r="BPG4" s="386"/>
      <c r="BPH4" s="386"/>
      <c r="BPI4" s="386">
        <v>45870</v>
      </c>
      <c r="BPJ4" s="386"/>
      <c r="BPK4" s="386"/>
      <c r="BPL4" s="386"/>
      <c r="BPM4" s="386"/>
      <c r="BPN4" s="386"/>
      <c r="BPO4" s="386"/>
      <c r="BPP4" s="386"/>
      <c r="BPQ4" s="386"/>
      <c r="BPR4" s="386"/>
      <c r="BPS4" s="386"/>
      <c r="BPT4" s="386"/>
      <c r="BPU4" s="386"/>
      <c r="BPV4" s="386"/>
      <c r="BPW4" s="386"/>
      <c r="BPX4" s="386"/>
      <c r="BPY4" s="386">
        <v>45870</v>
      </c>
      <c r="BPZ4" s="386"/>
      <c r="BQA4" s="386"/>
      <c r="BQB4" s="386"/>
      <c r="BQC4" s="386"/>
      <c r="BQD4" s="386"/>
      <c r="BQE4" s="386"/>
      <c r="BQF4" s="386"/>
      <c r="BQG4" s="386"/>
      <c r="BQH4" s="386"/>
      <c r="BQI4" s="386"/>
      <c r="BQJ4" s="386"/>
      <c r="BQK4" s="386"/>
      <c r="BQL4" s="386"/>
      <c r="BQM4" s="386"/>
      <c r="BQN4" s="386"/>
      <c r="BQO4" s="386">
        <v>45870</v>
      </c>
      <c r="BQP4" s="386"/>
      <c r="BQQ4" s="386"/>
      <c r="BQR4" s="386"/>
      <c r="BQS4" s="386"/>
      <c r="BQT4" s="386"/>
      <c r="BQU4" s="386"/>
      <c r="BQV4" s="386"/>
      <c r="BQW4" s="386"/>
      <c r="BQX4" s="386"/>
      <c r="BQY4" s="386"/>
      <c r="BQZ4" s="386"/>
      <c r="BRA4" s="386"/>
      <c r="BRB4" s="386"/>
      <c r="BRC4" s="386"/>
      <c r="BRD4" s="386"/>
      <c r="BRE4" s="386">
        <v>45870</v>
      </c>
      <c r="BRF4" s="386"/>
      <c r="BRG4" s="386"/>
      <c r="BRH4" s="386"/>
      <c r="BRI4" s="386"/>
      <c r="BRJ4" s="386"/>
      <c r="BRK4" s="386"/>
      <c r="BRL4" s="386"/>
      <c r="BRM4" s="386"/>
      <c r="BRN4" s="386"/>
      <c r="BRO4" s="386"/>
      <c r="BRP4" s="386"/>
      <c r="BRQ4" s="386"/>
      <c r="BRR4" s="386"/>
      <c r="BRS4" s="386"/>
      <c r="BRT4" s="386"/>
      <c r="BRU4" s="386">
        <v>45870</v>
      </c>
      <c r="BRV4" s="386"/>
      <c r="BRW4" s="386"/>
      <c r="BRX4" s="386"/>
      <c r="BRY4" s="386"/>
      <c r="BRZ4" s="386"/>
      <c r="BSA4" s="386"/>
      <c r="BSB4" s="386"/>
      <c r="BSC4" s="386"/>
      <c r="BSD4" s="386"/>
      <c r="BSE4" s="386"/>
      <c r="BSF4" s="386"/>
      <c r="BSG4" s="386"/>
      <c r="BSH4" s="386"/>
      <c r="BSI4" s="386"/>
      <c r="BSJ4" s="386"/>
      <c r="BSK4" s="386">
        <v>45870</v>
      </c>
      <c r="BSL4" s="386"/>
      <c r="BSM4" s="386"/>
      <c r="BSN4" s="386"/>
      <c r="BSO4" s="386"/>
      <c r="BSP4" s="386"/>
      <c r="BSQ4" s="386"/>
      <c r="BSR4" s="386"/>
      <c r="BSS4" s="386"/>
      <c r="BST4" s="386"/>
      <c r="BSU4" s="386"/>
      <c r="BSV4" s="386"/>
      <c r="BSW4" s="386"/>
      <c r="BSX4" s="386"/>
      <c r="BSY4" s="386"/>
      <c r="BSZ4" s="386"/>
      <c r="BTA4" s="386">
        <v>45870</v>
      </c>
      <c r="BTB4" s="386"/>
      <c r="BTC4" s="386"/>
      <c r="BTD4" s="386"/>
      <c r="BTE4" s="386"/>
      <c r="BTF4" s="386"/>
      <c r="BTG4" s="386"/>
      <c r="BTH4" s="386"/>
      <c r="BTI4" s="386"/>
      <c r="BTJ4" s="386"/>
      <c r="BTK4" s="386"/>
      <c r="BTL4" s="386"/>
      <c r="BTM4" s="386"/>
      <c r="BTN4" s="386"/>
      <c r="BTO4" s="386"/>
      <c r="BTP4" s="386"/>
      <c r="BTQ4" s="386">
        <v>45870</v>
      </c>
      <c r="BTR4" s="386"/>
      <c r="BTS4" s="386"/>
      <c r="BTT4" s="386"/>
      <c r="BTU4" s="386"/>
      <c r="BTV4" s="386"/>
      <c r="BTW4" s="386"/>
      <c r="BTX4" s="386"/>
      <c r="BTY4" s="386"/>
      <c r="BTZ4" s="386"/>
      <c r="BUA4" s="386"/>
      <c r="BUB4" s="386"/>
      <c r="BUC4" s="386"/>
      <c r="BUD4" s="386"/>
      <c r="BUE4" s="386"/>
      <c r="BUF4" s="386"/>
      <c r="BUG4" s="386">
        <v>45870</v>
      </c>
      <c r="BUH4" s="386"/>
      <c r="BUI4" s="386"/>
      <c r="BUJ4" s="386"/>
      <c r="BUK4" s="386"/>
      <c r="BUL4" s="386"/>
      <c r="BUM4" s="386"/>
      <c r="BUN4" s="386"/>
      <c r="BUO4" s="386"/>
      <c r="BUP4" s="386"/>
      <c r="BUQ4" s="386"/>
      <c r="BUR4" s="386"/>
      <c r="BUS4" s="386"/>
      <c r="BUT4" s="386"/>
      <c r="BUU4" s="386"/>
      <c r="BUV4" s="386"/>
      <c r="BUW4" s="386">
        <v>45870</v>
      </c>
      <c r="BUX4" s="386"/>
      <c r="BUY4" s="386"/>
      <c r="BUZ4" s="386"/>
      <c r="BVA4" s="386"/>
      <c r="BVB4" s="386"/>
      <c r="BVC4" s="386"/>
      <c r="BVD4" s="386"/>
      <c r="BVE4" s="386"/>
      <c r="BVF4" s="386"/>
      <c r="BVG4" s="386"/>
      <c r="BVH4" s="386"/>
      <c r="BVI4" s="386"/>
      <c r="BVJ4" s="386"/>
      <c r="BVK4" s="386"/>
      <c r="BVL4" s="386"/>
      <c r="BVM4" s="386">
        <v>45870</v>
      </c>
      <c r="BVN4" s="386"/>
      <c r="BVO4" s="386"/>
      <c r="BVP4" s="386"/>
      <c r="BVQ4" s="386"/>
      <c r="BVR4" s="386"/>
      <c r="BVS4" s="386"/>
      <c r="BVT4" s="386"/>
      <c r="BVU4" s="386"/>
      <c r="BVV4" s="386"/>
      <c r="BVW4" s="386"/>
      <c r="BVX4" s="386"/>
      <c r="BVY4" s="386"/>
      <c r="BVZ4" s="386"/>
      <c r="BWA4" s="386"/>
      <c r="BWB4" s="386"/>
      <c r="BWC4" s="386">
        <v>45870</v>
      </c>
      <c r="BWD4" s="386"/>
      <c r="BWE4" s="386"/>
      <c r="BWF4" s="386"/>
      <c r="BWG4" s="386"/>
      <c r="BWH4" s="386"/>
      <c r="BWI4" s="386"/>
      <c r="BWJ4" s="386"/>
      <c r="BWK4" s="386"/>
      <c r="BWL4" s="386"/>
      <c r="BWM4" s="386"/>
      <c r="BWN4" s="386"/>
      <c r="BWO4" s="386"/>
      <c r="BWP4" s="386"/>
      <c r="BWQ4" s="386"/>
      <c r="BWR4" s="386"/>
      <c r="BWS4" s="386">
        <v>45870</v>
      </c>
      <c r="BWT4" s="386"/>
      <c r="BWU4" s="386"/>
      <c r="BWV4" s="386"/>
      <c r="BWW4" s="386"/>
      <c r="BWX4" s="386"/>
      <c r="BWY4" s="386"/>
      <c r="BWZ4" s="386"/>
      <c r="BXA4" s="386"/>
      <c r="BXB4" s="386"/>
      <c r="BXC4" s="386"/>
      <c r="BXD4" s="386"/>
      <c r="BXE4" s="386"/>
      <c r="BXF4" s="386"/>
      <c r="BXG4" s="386"/>
      <c r="BXH4" s="386"/>
      <c r="BXI4" s="386">
        <v>45870</v>
      </c>
      <c r="BXJ4" s="386"/>
      <c r="BXK4" s="386"/>
      <c r="BXL4" s="386"/>
      <c r="BXM4" s="386"/>
      <c r="BXN4" s="386"/>
      <c r="BXO4" s="386"/>
      <c r="BXP4" s="386"/>
      <c r="BXQ4" s="386"/>
      <c r="BXR4" s="386"/>
      <c r="BXS4" s="386"/>
      <c r="BXT4" s="386"/>
      <c r="BXU4" s="386"/>
      <c r="BXV4" s="386"/>
      <c r="BXW4" s="386"/>
      <c r="BXX4" s="386"/>
      <c r="BXY4" s="386">
        <v>45870</v>
      </c>
      <c r="BXZ4" s="386"/>
      <c r="BYA4" s="386"/>
      <c r="BYB4" s="386"/>
      <c r="BYC4" s="386"/>
      <c r="BYD4" s="386"/>
      <c r="BYE4" s="386"/>
      <c r="BYF4" s="386"/>
      <c r="BYG4" s="386"/>
      <c r="BYH4" s="386"/>
      <c r="BYI4" s="386"/>
      <c r="BYJ4" s="386"/>
      <c r="BYK4" s="386"/>
      <c r="BYL4" s="386"/>
      <c r="BYM4" s="386"/>
      <c r="BYN4" s="386"/>
      <c r="BYO4" s="386">
        <v>45870</v>
      </c>
      <c r="BYP4" s="386"/>
      <c r="BYQ4" s="386"/>
      <c r="BYR4" s="386"/>
      <c r="BYS4" s="386"/>
      <c r="BYT4" s="386"/>
      <c r="BYU4" s="386"/>
      <c r="BYV4" s="386"/>
      <c r="BYW4" s="386"/>
      <c r="BYX4" s="386"/>
      <c r="BYY4" s="386"/>
      <c r="BYZ4" s="386"/>
      <c r="BZA4" s="386"/>
      <c r="BZB4" s="386"/>
      <c r="BZC4" s="386"/>
      <c r="BZD4" s="386"/>
      <c r="BZE4" s="386">
        <v>45870</v>
      </c>
      <c r="BZF4" s="386"/>
      <c r="BZG4" s="386"/>
      <c r="BZH4" s="386"/>
      <c r="BZI4" s="386"/>
      <c r="BZJ4" s="386"/>
      <c r="BZK4" s="386"/>
      <c r="BZL4" s="386"/>
      <c r="BZM4" s="386"/>
      <c r="BZN4" s="386"/>
      <c r="BZO4" s="386"/>
      <c r="BZP4" s="386"/>
      <c r="BZQ4" s="386"/>
      <c r="BZR4" s="386"/>
      <c r="BZS4" s="386"/>
      <c r="BZT4" s="386"/>
      <c r="BZU4" s="386">
        <v>45870</v>
      </c>
      <c r="BZV4" s="386"/>
      <c r="BZW4" s="386"/>
      <c r="BZX4" s="386"/>
      <c r="BZY4" s="386"/>
      <c r="BZZ4" s="386"/>
      <c r="CAA4" s="386"/>
      <c r="CAB4" s="386"/>
      <c r="CAC4" s="386"/>
      <c r="CAD4" s="386"/>
      <c r="CAE4" s="386"/>
      <c r="CAF4" s="386"/>
      <c r="CAG4" s="386"/>
      <c r="CAH4" s="386"/>
      <c r="CAI4" s="386"/>
      <c r="CAJ4" s="386"/>
      <c r="CAK4" s="386">
        <v>45870</v>
      </c>
      <c r="CAL4" s="386"/>
      <c r="CAM4" s="386"/>
      <c r="CAN4" s="386"/>
      <c r="CAO4" s="386"/>
      <c r="CAP4" s="386"/>
      <c r="CAQ4" s="386"/>
      <c r="CAR4" s="386"/>
      <c r="CAS4" s="386"/>
      <c r="CAT4" s="386"/>
      <c r="CAU4" s="386"/>
      <c r="CAV4" s="386"/>
      <c r="CAW4" s="386"/>
      <c r="CAX4" s="386"/>
      <c r="CAY4" s="386"/>
      <c r="CAZ4" s="386"/>
      <c r="CBA4" s="386">
        <v>45870</v>
      </c>
      <c r="CBB4" s="386"/>
      <c r="CBC4" s="386"/>
      <c r="CBD4" s="386"/>
      <c r="CBE4" s="386"/>
      <c r="CBF4" s="386"/>
      <c r="CBG4" s="386"/>
      <c r="CBH4" s="386"/>
      <c r="CBI4" s="386"/>
      <c r="CBJ4" s="386"/>
      <c r="CBK4" s="386"/>
      <c r="CBL4" s="386"/>
      <c r="CBM4" s="386"/>
      <c r="CBN4" s="386"/>
      <c r="CBO4" s="386"/>
      <c r="CBP4" s="386"/>
      <c r="CBQ4" s="386">
        <v>45870</v>
      </c>
      <c r="CBR4" s="386"/>
      <c r="CBS4" s="386"/>
      <c r="CBT4" s="386"/>
      <c r="CBU4" s="386"/>
      <c r="CBV4" s="386"/>
      <c r="CBW4" s="386"/>
      <c r="CBX4" s="386"/>
      <c r="CBY4" s="386"/>
      <c r="CBZ4" s="386"/>
      <c r="CCA4" s="386"/>
      <c r="CCB4" s="386"/>
      <c r="CCC4" s="386"/>
      <c r="CCD4" s="386"/>
      <c r="CCE4" s="386"/>
      <c r="CCF4" s="386"/>
      <c r="CCG4" s="386">
        <v>45870</v>
      </c>
      <c r="CCH4" s="386"/>
      <c r="CCI4" s="386"/>
      <c r="CCJ4" s="386"/>
      <c r="CCK4" s="386"/>
      <c r="CCL4" s="386"/>
      <c r="CCM4" s="386"/>
      <c r="CCN4" s="386"/>
      <c r="CCO4" s="386"/>
      <c r="CCP4" s="386"/>
      <c r="CCQ4" s="386"/>
      <c r="CCR4" s="386"/>
      <c r="CCS4" s="386"/>
      <c r="CCT4" s="386"/>
      <c r="CCU4" s="386"/>
      <c r="CCV4" s="386"/>
      <c r="CCW4" s="386">
        <v>45870</v>
      </c>
      <c r="CCX4" s="386"/>
      <c r="CCY4" s="386"/>
      <c r="CCZ4" s="386"/>
      <c r="CDA4" s="386"/>
      <c r="CDB4" s="386"/>
      <c r="CDC4" s="386"/>
      <c r="CDD4" s="386"/>
      <c r="CDE4" s="386"/>
      <c r="CDF4" s="386"/>
      <c r="CDG4" s="386"/>
      <c r="CDH4" s="386"/>
      <c r="CDI4" s="386"/>
      <c r="CDJ4" s="386"/>
      <c r="CDK4" s="386"/>
      <c r="CDL4" s="386"/>
      <c r="CDM4" s="386">
        <v>45870</v>
      </c>
      <c r="CDN4" s="386"/>
      <c r="CDO4" s="386"/>
      <c r="CDP4" s="386"/>
      <c r="CDQ4" s="386"/>
      <c r="CDR4" s="386"/>
      <c r="CDS4" s="386"/>
      <c r="CDT4" s="386"/>
      <c r="CDU4" s="386"/>
      <c r="CDV4" s="386"/>
      <c r="CDW4" s="386"/>
      <c r="CDX4" s="386"/>
      <c r="CDY4" s="386"/>
      <c r="CDZ4" s="386"/>
      <c r="CEA4" s="386"/>
      <c r="CEB4" s="386"/>
      <c r="CEC4" s="386">
        <v>45870</v>
      </c>
      <c r="CED4" s="386"/>
      <c r="CEE4" s="386"/>
      <c r="CEF4" s="386"/>
      <c r="CEG4" s="386"/>
      <c r="CEH4" s="386"/>
      <c r="CEI4" s="386"/>
      <c r="CEJ4" s="386"/>
      <c r="CEK4" s="386"/>
      <c r="CEL4" s="386"/>
      <c r="CEM4" s="386"/>
      <c r="CEN4" s="386"/>
      <c r="CEO4" s="386"/>
      <c r="CEP4" s="386"/>
      <c r="CEQ4" s="386"/>
      <c r="CER4" s="386"/>
      <c r="CES4" s="386">
        <v>45870</v>
      </c>
      <c r="CET4" s="386"/>
      <c r="CEU4" s="386"/>
      <c r="CEV4" s="386"/>
      <c r="CEW4" s="386"/>
      <c r="CEX4" s="386"/>
      <c r="CEY4" s="386"/>
      <c r="CEZ4" s="386"/>
      <c r="CFA4" s="386"/>
      <c r="CFB4" s="386"/>
      <c r="CFC4" s="386"/>
      <c r="CFD4" s="386"/>
      <c r="CFE4" s="386"/>
      <c r="CFF4" s="386"/>
      <c r="CFG4" s="386"/>
      <c r="CFH4" s="386"/>
      <c r="CFI4" s="386">
        <v>45870</v>
      </c>
      <c r="CFJ4" s="386"/>
      <c r="CFK4" s="386"/>
      <c r="CFL4" s="386"/>
      <c r="CFM4" s="386"/>
      <c r="CFN4" s="386"/>
      <c r="CFO4" s="386"/>
      <c r="CFP4" s="386"/>
      <c r="CFQ4" s="386"/>
      <c r="CFR4" s="386"/>
      <c r="CFS4" s="386"/>
      <c r="CFT4" s="386"/>
      <c r="CFU4" s="386"/>
      <c r="CFV4" s="386"/>
      <c r="CFW4" s="386"/>
      <c r="CFX4" s="386"/>
      <c r="CFY4" s="386">
        <v>45870</v>
      </c>
      <c r="CFZ4" s="386"/>
      <c r="CGA4" s="386"/>
      <c r="CGB4" s="386"/>
      <c r="CGC4" s="386"/>
      <c r="CGD4" s="386"/>
      <c r="CGE4" s="386"/>
      <c r="CGF4" s="386"/>
      <c r="CGG4" s="386"/>
      <c r="CGH4" s="386"/>
      <c r="CGI4" s="386"/>
      <c r="CGJ4" s="386"/>
      <c r="CGK4" s="386"/>
      <c r="CGL4" s="386"/>
      <c r="CGM4" s="386"/>
      <c r="CGN4" s="386"/>
      <c r="CGO4" s="386">
        <v>45870</v>
      </c>
      <c r="CGP4" s="386"/>
      <c r="CGQ4" s="386"/>
      <c r="CGR4" s="386"/>
      <c r="CGS4" s="386"/>
      <c r="CGT4" s="386"/>
      <c r="CGU4" s="386"/>
      <c r="CGV4" s="386"/>
      <c r="CGW4" s="386"/>
      <c r="CGX4" s="386"/>
      <c r="CGY4" s="386"/>
      <c r="CGZ4" s="386"/>
      <c r="CHA4" s="386"/>
      <c r="CHB4" s="386"/>
      <c r="CHC4" s="386"/>
      <c r="CHD4" s="386"/>
      <c r="CHE4" s="386">
        <v>45870</v>
      </c>
      <c r="CHF4" s="386"/>
      <c r="CHG4" s="386"/>
      <c r="CHH4" s="386"/>
      <c r="CHI4" s="386"/>
      <c r="CHJ4" s="386"/>
      <c r="CHK4" s="386"/>
      <c r="CHL4" s="386"/>
      <c r="CHM4" s="386"/>
      <c r="CHN4" s="386"/>
      <c r="CHO4" s="386"/>
      <c r="CHP4" s="386"/>
      <c r="CHQ4" s="386"/>
      <c r="CHR4" s="386"/>
      <c r="CHS4" s="386"/>
      <c r="CHT4" s="386"/>
      <c r="CHU4" s="386">
        <v>45870</v>
      </c>
      <c r="CHV4" s="386"/>
      <c r="CHW4" s="386"/>
      <c r="CHX4" s="386"/>
      <c r="CHY4" s="386"/>
      <c r="CHZ4" s="386"/>
      <c r="CIA4" s="386"/>
      <c r="CIB4" s="386"/>
      <c r="CIC4" s="386"/>
      <c r="CID4" s="386"/>
      <c r="CIE4" s="386"/>
      <c r="CIF4" s="386"/>
      <c r="CIG4" s="386"/>
      <c r="CIH4" s="386"/>
      <c r="CII4" s="386"/>
      <c r="CIJ4" s="386"/>
      <c r="CIK4" s="386">
        <v>45870</v>
      </c>
      <c r="CIL4" s="386"/>
      <c r="CIM4" s="386"/>
      <c r="CIN4" s="386"/>
      <c r="CIO4" s="386"/>
      <c r="CIP4" s="386"/>
      <c r="CIQ4" s="386"/>
      <c r="CIR4" s="386"/>
      <c r="CIS4" s="386"/>
      <c r="CIT4" s="386"/>
      <c r="CIU4" s="386"/>
      <c r="CIV4" s="386"/>
      <c r="CIW4" s="386"/>
      <c r="CIX4" s="386"/>
      <c r="CIY4" s="386"/>
      <c r="CIZ4" s="386"/>
      <c r="CJA4" s="386">
        <v>45870</v>
      </c>
      <c r="CJB4" s="386"/>
      <c r="CJC4" s="386"/>
      <c r="CJD4" s="386"/>
      <c r="CJE4" s="386"/>
      <c r="CJF4" s="386"/>
      <c r="CJG4" s="386"/>
      <c r="CJH4" s="386"/>
      <c r="CJI4" s="386"/>
      <c r="CJJ4" s="386"/>
      <c r="CJK4" s="386"/>
      <c r="CJL4" s="386"/>
      <c r="CJM4" s="386"/>
      <c r="CJN4" s="386"/>
      <c r="CJO4" s="386"/>
      <c r="CJP4" s="386"/>
      <c r="CJQ4" s="386">
        <v>45870</v>
      </c>
      <c r="CJR4" s="386"/>
      <c r="CJS4" s="386"/>
      <c r="CJT4" s="386"/>
      <c r="CJU4" s="386"/>
      <c r="CJV4" s="386"/>
      <c r="CJW4" s="386"/>
      <c r="CJX4" s="386"/>
      <c r="CJY4" s="386"/>
      <c r="CJZ4" s="386"/>
      <c r="CKA4" s="386"/>
      <c r="CKB4" s="386"/>
      <c r="CKC4" s="386"/>
      <c r="CKD4" s="386"/>
      <c r="CKE4" s="386"/>
      <c r="CKF4" s="386"/>
      <c r="CKG4" s="386">
        <v>45870</v>
      </c>
      <c r="CKH4" s="386"/>
      <c r="CKI4" s="386"/>
      <c r="CKJ4" s="386"/>
      <c r="CKK4" s="386"/>
      <c r="CKL4" s="386"/>
      <c r="CKM4" s="386"/>
      <c r="CKN4" s="386"/>
      <c r="CKO4" s="386"/>
      <c r="CKP4" s="386"/>
      <c r="CKQ4" s="386"/>
      <c r="CKR4" s="386"/>
      <c r="CKS4" s="386"/>
      <c r="CKT4" s="386"/>
      <c r="CKU4" s="386"/>
      <c r="CKV4" s="386"/>
      <c r="CKW4" s="386">
        <v>45870</v>
      </c>
      <c r="CKX4" s="386"/>
      <c r="CKY4" s="386"/>
      <c r="CKZ4" s="386"/>
      <c r="CLA4" s="386"/>
      <c r="CLB4" s="386"/>
      <c r="CLC4" s="386"/>
      <c r="CLD4" s="386"/>
      <c r="CLE4" s="386"/>
      <c r="CLF4" s="386"/>
      <c r="CLG4" s="386"/>
      <c r="CLH4" s="386"/>
      <c r="CLI4" s="386"/>
      <c r="CLJ4" s="386"/>
      <c r="CLK4" s="386"/>
      <c r="CLL4" s="386"/>
      <c r="CLM4" s="386">
        <v>45870</v>
      </c>
      <c r="CLN4" s="386"/>
      <c r="CLO4" s="386"/>
      <c r="CLP4" s="386"/>
      <c r="CLQ4" s="386"/>
      <c r="CLR4" s="386"/>
      <c r="CLS4" s="386"/>
      <c r="CLT4" s="386"/>
      <c r="CLU4" s="386"/>
      <c r="CLV4" s="386"/>
      <c r="CLW4" s="386"/>
      <c r="CLX4" s="386"/>
      <c r="CLY4" s="386"/>
      <c r="CLZ4" s="386"/>
      <c r="CMA4" s="386"/>
      <c r="CMB4" s="386"/>
      <c r="CMC4" s="386">
        <v>45870</v>
      </c>
      <c r="CMD4" s="386"/>
      <c r="CME4" s="386"/>
      <c r="CMF4" s="386"/>
      <c r="CMG4" s="386"/>
      <c r="CMH4" s="386"/>
      <c r="CMI4" s="386"/>
      <c r="CMJ4" s="386"/>
      <c r="CMK4" s="386"/>
      <c r="CML4" s="386"/>
      <c r="CMM4" s="386"/>
      <c r="CMN4" s="386"/>
      <c r="CMO4" s="386"/>
      <c r="CMP4" s="386"/>
      <c r="CMQ4" s="386"/>
      <c r="CMR4" s="386"/>
      <c r="CMS4" s="386">
        <v>45870</v>
      </c>
      <c r="CMT4" s="386"/>
      <c r="CMU4" s="386"/>
      <c r="CMV4" s="386"/>
      <c r="CMW4" s="386"/>
      <c r="CMX4" s="386"/>
      <c r="CMY4" s="386"/>
      <c r="CMZ4" s="386"/>
      <c r="CNA4" s="386"/>
      <c r="CNB4" s="386"/>
      <c r="CNC4" s="386"/>
      <c r="CND4" s="386"/>
      <c r="CNE4" s="386"/>
      <c r="CNF4" s="386"/>
      <c r="CNG4" s="386"/>
      <c r="CNH4" s="386"/>
      <c r="CNI4" s="386">
        <v>45870</v>
      </c>
      <c r="CNJ4" s="386"/>
      <c r="CNK4" s="386"/>
      <c r="CNL4" s="386"/>
      <c r="CNM4" s="386"/>
      <c r="CNN4" s="386"/>
      <c r="CNO4" s="386"/>
      <c r="CNP4" s="386"/>
      <c r="CNQ4" s="386"/>
      <c r="CNR4" s="386"/>
      <c r="CNS4" s="386"/>
      <c r="CNT4" s="386"/>
      <c r="CNU4" s="386"/>
      <c r="CNV4" s="386"/>
      <c r="CNW4" s="386"/>
      <c r="CNX4" s="386"/>
      <c r="CNY4" s="386">
        <v>45870</v>
      </c>
      <c r="CNZ4" s="386"/>
      <c r="COA4" s="386"/>
      <c r="COB4" s="386"/>
      <c r="COC4" s="386"/>
      <c r="COD4" s="386"/>
      <c r="COE4" s="386"/>
      <c r="COF4" s="386"/>
      <c r="COG4" s="386"/>
      <c r="COH4" s="386"/>
      <c r="COI4" s="386"/>
      <c r="COJ4" s="386"/>
      <c r="COK4" s="386"/>
      <c r="COL4" s="386"/>
      <c r="COM4" s="386"/>
      <c r="CON4" s="386"/>
      <c r="COO4" s="386">
        <v>45870</v>
      </c>
      <c r="COP4" s="386"/>
      <c r="COQ4" s="386"/>
      <c r="COR4" s="386"/>
      <c r="COS4" s="386"/>
      <c r="COT4" s="386"/>
      <c r="COU4" s="386"/>
      <c r="COV4" s="386"/>
      <c r="COW4" s="386"/>
      <c r="COX4" s="386"/>
      <c r="COY4" s="386"/>
      <c r="COZ4" s="386"/>
      <c r="CPA4" s="386"/>
      <c r="CPB4" s="386"/>
      <c r="CPC4" s="386"/>
      <c r="CPD4" s="386"/>
      <c r="CPE4" s="386">
        <v>45870</v>
      </c>
      <c r="CPF4" s="386"/>
      <c r="CPG4" s="386"/>
      <c r="CPH4" s="386"/>
      <c r="CPI4" s="386"/>
      <c r="CPJ4" s="386"/>
      <c r="CPK4" s="386"/>
      <c r="CPL4" s="386"/>
      <c r="CPM4" s="386"/>
      <c r="CPN4" s="386"/>
      <c r="CPO4" s="386"/>
      <c r="CPP4" s="386"/>
      <c r="CPQ4" s="386"/>
      <c r="CPR4" s="386"/>
      <c r="CPS4" s="386"/>
      <c r="CPT4" s="386"/>
      <c r="CPU4" s="386">
        <v>45870</v>
      </c>
      <c r="CPV4" s="386"/>
      <c r="CPW4" s="386"/>
      <c r="CPX4" s="386"/>
      <c r="CPY4" s="386"/>
      <c r="CPZ4" s="386"/>
      <c r="CQA4" s="386"/>
      <c r="CQB4" s="386"/>
      <c r="CQC4" s="386"/>
      <c r="CQD4" s="386"/>
      <c r="CQE4" s="386"/>
      <c r="CQF4" s="386"/>
      <c r="CQG4" s="386"/>
      <c r="CQH4" s="386"/>
      <c r="CQI4" s="386"/>
      <c r="CQJ4" s="386"/>
      <c r="CQK4" s="386">
        <v>45870</v>
      </c>
      <c r="CQL4" s="386"/>
      <c r="CQM4" s="386"/>
      <c r="CQN4" s="386"/>
      <c r="CQO4" s="386"/>
      <c r="CQP4" s="386"/>
      <c r="CQQ4" s="386"/>
      <c r="CQR4" s="386"/>
      <c r="CQS4" s="386"/>
      <c r="CQT4" s="386"/>
      <c r="CQU4" s="386"/>
      <c r="CQV4" s="386"/>
      <c r="CQW4" s="386"/>
      <c r="CQX4" s="386"/>
      <c r="CQY4" s="386"/>
      <c r="CQZ4" s="386"/>
      <c r="CRA4" s="386">
        <v>45870</v>
      </c>
      <c r="CRB4" s="386"/>
      <c r="CRC4" s="386"/>
      <c r="CRD4" s="386"/>
      <c r="CRE4" s="386"/>
      <c r="CRF4" s="386"/>
      <c r="CRG4" s="386"/>
      <c r="CRH4" s="386"/>
      <c r="CRI4" s="386"/>
      <c r="CRJ4" s="386"/>
      <c r="CRK4" s="386"/>
      <c r="CRL4" s="386"/>
      <c r="CRM4" s="386"/>
      <c r="CRN4" s="386"/>
      <c r="CRO4" s="386"/>
      <c r="CRP4" s="386"/>
      <c r="CRQ4" s="386">
        <v>45870</v>
      </c>
      <c r="CRR4" s="386"/>
      <c r="CRS4" s="386"/>
      <c r="CRT4" s="386"/>
      <c r="CRU4" s="386"/>
      <c r="CRV4" s="386"/>
      <c r="CRW4" s="386"/>
      <c r="CRX4" s="386"/>
      <c r="CRY4" s="386"/>
      <c r="CRZ4" s="386"/>
      <c r="CSA4" s="386"/>
      <c r="CSB4" s="386"/>
      <c r="CSC4" s="386"/>
      <c r="CSD4" s="386"/>
      <c r="CSE4" s="386"/>
      <c r="CSF4" s="386"/>
      <c r="CSG4" s="386">
        <v>45870</v>
      </c>
      <c r="CSH4" s="386"/>
      <c r="CSI4" s="386"/>
      <c r="CSJ4" s="386"/>
      <c r="CSK4" s="386"/>
      <c r="CSL4" s="386"/>
      <c r="CSM4" s="386"/>
      <c r="CSN4" s="386"/>
      <c r="CSO4" s="386"/>
      <c r="CSP4" s="386"/>
      <c r="CSQ4" s="386"/>
      <c r="CSR4" s="386"/>
      <c r="CSS4" s="386"/>
      <c r="CST4" s="386"/>
      <c r="CSU4" s="386"/>
      <c r="CSV4" s="386"/>
      <c r="CSW4" s="386">
        <v>45870</v>
      </c>
      <c r="CSX4" s="386"/>
      <c r="CSY4" s="386"/>
      <c r="CSZ4" s="386"/>
      <c r="CTA4" s="386"/>
      <c r="CTB4" s="386"/>
      <c r="CTC4" s="386"/>
      <c r="CTD4" s="386"/>
      <c r="CTE4" s="386"/>
      <c r="CTF4" s="386"/>
      <c r="CTG4" s="386"/>
      <c r="CTH4" s="386"/>
      <c r="CTI4" s="386"/>
      <c r="CTJ4" s="386"/>
      <c r="CTK4" s="386"/>
      <c r="CTL4" s="386"/>
      <c r="CTM4" s="386">
        <v>45870</v>
      </c>
      <c r="CTN4" s="386"/>
      <c r="CTO4" s="386"/>
      <c r="CTP4" s="386"/>
      <c r="CTQ4" s="386"/>
      <c r="CTR4" s="386"/>
      <c r="CTS4" s="386"/>
      <c r="CTT4" s="386"/>
      <c r="CTU4" s="386"/>
      <c r="CTV4" s="386"/>
      <c r="CTW4" s="386"/>
      <c r="CTX4" s="386"/>
      <c r="CTY4" s="386"/>
      <c r="CTZ4" s="386"/>
      <c r="CUA4" s="386"/>
      <c r="CUB4" s="386"/>
      <c r="CUC4" s="386">
        <v>45870</v>
      </c>
      <c r="CUD4" s="386"/>
      <c r="CUE4" s="386"/>
      <c r="CUF4" s="386"/>
      <c r="CUG4" s="386"/>
      <c r="CUH4" s="386"/>
      <c r="CUI4" s="386"/>
      <c r="CUJ4" s="386"/>
      <c r="CUK4" s="386"/>
      <c r="CUL4" s="386"/>
      <c r="CUM4" s="386"/>
      <c r="CUN4" s="386"/>
      <c r="CUO4" s="386"/>
      <c r="CUP4" s="386"/>
      <c r="CUQ4" s="386"/>
      <c r="CUR4" s="386"/>
      <c r="CUS4" s="386">
        <v>45870</v>
      </c>
      <c r="CUT4" s="386"/>
      <c r="CUU4" s="386"/>
      <c r="CUV4" s="386"/>
      <c r="CUW4" s="386"/>
      <c r="CUX4" s="386"/>
      <c r="CUY4" s="386"/>
      <c r="CUZ4" s="386"/>
      <c r="CVA4" s="386"/>
      <c r="CVB4" s="386"/>
      <c r="CVC4" s="386"/>
      <c r="CVD4" s="386"/>
      <c r="CVE4" s="386"/>
      <c r="CVF4" s="386"/>
      <c r="CVG4" s="386"/>
      <c r="CVH4" s="386"/>
      <c r="CVI4" s="386">
        <v>45870</v>
      </c>
      <c r="CVJ4" s="386"/>
      <c r="CVK4" s="386"/>
      <c r="CVL4" s="386"/>
      <c r="CVM4" s="386"/>
      <c r="CVN4" s="386"/>
      <c r="CVO4" s="386"/>
      <c r="CVP4" s="386"/>
      <c r="CVQ4" s="386"/>
      <c r="CVR4" s="386"/>
      <c r="CVS4" s="386"/>
      <c r="CVT4" s="386"/>
      <c r="CVU4" s="386"/>
      <c r="CVV4" s="386"/>
      <c r="CVW4" s="386"/>
      <c r="CVX4" s="386"/>
      <c r="CVY4" s="386">
        <v>45870</v>
      </c>
      <c r="CVZ4" s="386"/>
      <c r="CWA4" s="386"/>
      <c r="CWB4" s="386"/>
      <c r="CWC4" s="386"/>
      <c r="CWD4" s="386"/>
      <c r="CWE4" s="386"/>
      <c r="CWF4" s="386"/>
      <c r="CWG4" s="386"/>
      <c r="CWH4" s="386"/>
      <c r="CWI4" s="386"/>
      <c r="CWJ4" s="386"/>
      <c r="CWK4" s="386"/>
      <c r="CWL4" s="386"/>
      <c r="CWM4" s="386"/>
      <c r="CWN4" s="386"/>
      <c r="CWO4" s="386">
        <v>45870</v>
      </c>
      <c r="CWP4" s="386"/>
      <c r="CWQ4" s="386"/>
      <c r="CWR4" s="386"/>
      <c r="CWS4" s="386"/>
      <c r="CWT4" s="386"/>
      <c r="CWU4" s="386"/>
      <c r="CWV4" s="386"/>
      <c r="CWW4" s="386"/>
      <c r="CWX4" s="386"/>
      <c r="CWY4" s="386"/>
      <c r="CWZ4" s="386"/>
      <c r="CXA4" s="386"/>
      <c r="CXB4" s="386"/>
      <c r="CXC4" s="386"/>
      <c r="CXD4" s="386"/>
      <c r="CXE4" s="386">
        <v>45870</v>
      </c>
      <c r="CXF4" s="386"/>
      <c r="CXG4" s="386"/>
      <c r="CXH4" s="386"/>
      <c r="CXI4" s="386"/>
      <c r="CXJ4" s="386"/>
      <c r="CXK4" s="386"/>
      <c r="CXL4" s="386"/>
      <c r="CXM4" s="386"/>
      <c r="CXN4" s="386"/>
      <c r="CXO4" s="386"/>
      <c r="CXP4" s="386"/>
      <c r="CXQ4" s="386"/>
      <c r="CXR4" s="386"/>
      <c r="CXS4" s="386"/>
      <c r="CXT4" s="386"/>
      <c r="CXU4" s="386">
        <v>45870</v>
      </c>
      <c r="CXV4" s="386"/>
      <c r="CXW4" s="386"/>
      <c r="CXX4" s="386"/>
      <c r="CXY4" s="386"/>
      <c r="CXZ4" s="386"/>
      <c r="CYA4" s="386"/>
      <c r="CYB4" s="386"/>
      <c r="CYC4" s="386"/>
      <c r="CYD4" s="386"/>
      <c r="CYE4" s="386"/>
      <c r="CYF4" s="386"/>
      <c r="CYG4" s="386"/>
      <c r="CYH4" s="386"/>
      <c r="CYI4" s="386"/>
      <c r="CYJ4" s="386"/>
      <c r="CYK4" s="386">
        <v>45870</v>
      </c>
      <c r="CYL4" s="386"/>
      <c r="CYM4" s="386"/>
      <c r="CYN4" s="386"/>
      <c r="CYO4" s="386"/>
      <c r="CYP4" s="386"/>
      <c r="CYQ4" s="386"/>
      <c r="CYR4" s="386"/>
      <c r="CYS4" s="386"/>
      <c r="CYT4" s="386"/>
      <c r="CYU4" s="386"/>
      <c r="CYV4" s="386"/>
      <c r="CYW4" s="386"/>
      <c r="CYX4" s="386"/>
      <c r="CYY4" s="386"/>
      <c r="CYZ4" s="386"/>
      <c r="CZA4" s="386">
        <v>45870</v>
      </c>
      <c r="CZB4" s="386"/>
      <c r="CZC4" s="386"/>
      <c r="CZD4" s="386"/>
      <c r="CZE4" s="386"/>
      <c r="CZF4" s="386"/>
      <c r="CZG4" s="386"/>
      <c r="CZH4" s="386"/>
      <c r="CZI4" s="386"/>
      <c r="CZJ4" s="386"/>
      <c r="CZK4" s="386"/>
      <c r="CZL4" s="386"/>
      <c r="CZM4" s="386"/>
      <c r="CZN4" s="386"/>
      <c r="CZO4" s="386"/>
      <c r="CZP4" s="386"/>
      <c r="CZQ4" s="386">
        <v>45870</v>
      </c>
      <c r="CZR4" s="386"/>
      <c r="CZS4" s="386"/>
      <c r="CZT4" s="386"/>
      <c r="CZU4" s="386"/>
      <c r="CZV4" s="386"/>
      <c r="CZW4" s="386"/>
      <c r="CZX4" s="386"/>
      <c r="CZY4" s="386"/>
      <c r="CZZ4" s="386"/>
      <c r="DAA4" s="386"/>
      <c r="DAB4" s="386"/>
      <c r="DAC4" s="386"/>
      <c r="DAD4" s="386"/>
      <c r="DAE4" s="386"/>
      <c r="DAF4" s="386"/>
      <c r="DAG4" s="386">
        <v>45870</v>
      </c>
      <c r="DAH4" s="386"/>
      <c r="DAI4" s="386"/>
      <c r="DAJ4" s="386"/>
      <c r="DAK4" s="386"/>
      <c r="DAL4" s="386"/>
      <c r="DAM4" s="386"/>
      <c r="DAN4" s="386"/>
      <c r="DAO4" s="386"/>
      <c r="DAP4" s="386"/>
      <c r="DAQ4" s="386"/>
      <c r="DAR4" s="386"/>
      <c r="DAS4" s="386"/>
      <c r="DAT4" s="386"/>
      <c r="DAU4" s="386"/>
      <c r="DAV4" s="386"/>
      <c r="DAW4" s="386">
        <v>45870</v>
      </c>
      <c r="DAX4" s="386"/>
      <c r="DAY4" s="386"/>
      <c r="DAZ4" s="386"/>
      <c r="DBA4" s="386"/>
      <c r="DBB4" s="386"/>
      <c r="DBC4" s="386"/>
      <c r="DBD4" s="386"/>
      <c r="DBE4" s="386"/>
      <c r="DBF4" s="386"/>
      <c r="DBG4" s="386"/>
      <c r="DBH4" s="386"/>
      <c r="DBI4" s="386"/>
      <c r="DBJ4" s="386"/>
      <c r="DBK4" s="386"/>
      <c r="DBL4" s="386"/>
      <c r="DBM4" s="386">
        <v>45870</v>
      </c>
      <c r="DBN4" s="386"/>
      <c r="DBO4" s="386"/>
      <c r="DBP4" s="386"/>
      <c r="DBQ4" s="386"/>
      <c r="DBR4" s="386"/>
      <c r="DBS4" s="386"/>
      <c r="DBT4" s="386"/>
      <c r="DBU4" s="386"/>
      <c r="DBV4" s="386"/>
      <c r="DBW4" s="386"/>
      <c r="DBX4" s="386"/>
      <c r="DBY4" s="386"/>
      <c r="DBZ4" s="386"/>
      <c r="DCA4" s="386"/>
      <c r="DCB4" s="386"/>
      <c r="DCC4" s="386">
        <v>45870</v>
      </c>
      <c r="DCD4" s="386"/>
      <c r="DCE4" s="386"/>
      <c r="DCF4" s="386"/>
      <c r="DCG4" s="386"/>
      <c r="DCH4" s="386"/>
      <c r="DCI4" s="386"/>
      <c r="DCJ4" s="386"/>
      <c r="DCK4" s="386"/>
      <c r="DCL4" s="386"/>
      <c r="DCM4" s="386"/>
      <c r="DCN4" s="386"/>
      <c r="DCO4" s="386"/>
      <c r="DCP4" s="386"/>
      <c r="DCQ4" s="386"/>
      <c r="DCR4" s="386"/>
      <c r="DCS4" s="386">
        <v>45870</v>
      </c>
      <c r="DCT4" s="386"/>
      <c r="DCU4" s="386"/>
      <c r="DCV4" s="386"/>
      <c r="DCW4" s="386"/>
      <c r="DCX4" s="386"/>
      <c r="DCY4" s="386"/>
      <c r="DCZ4" s="386"/>
      <c r="DDA4" s="386"/>
      <c r="DDB4" s="386"/>
      <c r="DDC4" s="386"/>
      <c r="DDD4" s="386"/>
      <c r="DDE4" s="386"/>
      <c r="DDF4" s="386"/>
      <c r="DDG4" s="386"/>
      <c r="DDH4" s="386"/>
      <c r="DDI4" s="386">
        <v>45870</v>
      </c>
      <c r="DDJ4" s="386"/>
      <c r="DDK4" s="386"/>
      <c r="DDL4" s="386"/>
      <c r="DDM4" s="386"/>
      <c r="DDN4" s="386"/>
      <c r="DDO4" s="386"/>
      <c r="DDP4" s="386"/>
      <c r="DDQ4" s="386"/>
      <c r="DDR4" s="386"/>
      <c r="DDS4" s="386"/>
      <c r="DDT4" s="386"/>
      <c r="DDU4" s="386"/>
      <c r="DDV4" s="386"/>
      <c r="DDW4" s="386"/>
      <c r="DDX4" s="386"/>
      <c r="DDY4" s="386">
        <v>45870</v>
      </c>
      <c r="DDZ4" s="386"/>
      <c r="DEA4" s="386"/>
      <c r="DEB4" s="386"/>
      <c r="DEC4" s="386"/>
      <c r="DED4" s="386"/>
      <c r="DEE4" s="386"/>
      <c r="DEF4" s="386"/>
      <c r="DEG4" s="386"/>
      <c r="DEH4" s="386"/>
      <c r="DEI4" s="386"/>
      <c r="DEJ4" s="386"/>
      <c r="DEK4" s="386"/>
      <c r="DEL4" s="386"/>
      <c r="DEM4" s="386"/>
      <c r="DEN4" s="386"/>
      <c r="DEO4" s="386">
        <v>45870</v>
      </c>
      <c r="DEP4" s="386"/>
      <c r="DEQ4" s="386"/>
      <c r="DER4" s="386"/>
      <c r="DES4" s="386"/>
      <c r="DET4" s="386"/>
      <c r="DEU4" s="386"/>
      <c r="DEV4" s="386"/>
      <c r="DEW4" s="386"/>
      <c r="DEX4" s="386"/>
      <c r="DEY4" s="386"/>
      <c r="DEZ4" s="386"/>
      <c r="DFA4" s="386"/>
      <c r="DFB4" s="386"/>
      <c r="DFC4" s="386"/>
      <c r="DFD4" s="386"/>
      <c r="DFE4" s="386">
        <v>45870</v>
      </c>
      <c r="DFF4" s="386"/>
      <c r="DFG4" s="386"/>
      <c r="DFH4" s="386"/>
      <c r="DFI4" s="386"/>
      <c r="DFJ4" s="386"/>
      <c r="DFK4" s="386"/>
      <c r="DFL4" s="386"/>
      <c r="DFM4" s="386"/>
      <c r="DFN4" s="386"/>
      <c r="DFO4" s="386"/>
      <c r="DFP4" s="386"/>
      <c r="DFQ4" s="386"/>
      <c r="DFR4" s="386"/>
      <c r="DFS4" s="386"/>
      <c r="DFT4" s="386"/>
      <c r="DFU4" s="386">
        <v>45870</v>
      </c>
      <c r="DFV4" s="386"/>
      <c r="DFW4" s="386"/>
      <c r="DFX4" s="386"/>
      <c r="DFY4" s="386"/>
      <c r="DFZ4" s="386"/>
      <c r="DGA4" s="386"/>
      <c r="DGB4" s="386"/>
      <c r="DGC4" s="386"/>
      <c r="DGD4" s="386"/>
      <c r="DGE4" s="386"/>
      <c r="DGF4" s="386"/>
      <c r="DGG4" s="386"/>
      <c r="DGH4" s="386"/>
      <c r="DGI4" s="386"/>
      <c r="DGJ4" s="386"/>
      <c r="DGK4" s="386">
        <v>45870</v>
      </c>
      <c r="DGL4" s="386"/>
      <c r="DGM4" s="386"/>
      <c r="DGN4" s="386"/>
      <c r="DGO4" s="386"/>
      <c r="DGP4" s="386"/>
      <c r="DGQ4" s="386"/>
      <c r="DGR4" s="386"/>
      <c r="DGS4" s="386"/>
      <c r="DGT4" s="386"/>
      <c r="DGU4" s="386"/>
      <c r="DGV4" s="386"/>
      <c r="DGW4" s="386"/>
      <c r="DGX4" s="386"/>
      <c r="DGY4" s="386"/>
      <c r="DGZ4" s="386"/>
      <c r="DHA4" s="386">
        <v>45870</v>
      </c>
      <c r="DHB4" s="386"/>
      <c r="DHC4" s="386"/>
      <c r="DHD4" s="386"/>
      <c r="DHE4" s="386"/>
      <c r="DHF4" s="386"/>
      <c r="DHG4" s="386"/>
      <c r="DHH4" s="386"/>
      <c r="DHI4" s="386"/>
      <c r="DHJ4" s="386"/>
      <c r="DHK4" s="386"/>
      <c r="DHL4" s="386"/>
      <c r="DHM4" s="386"/>
      <c r="DHN4" s="386"/>
      <c r="DHO4" s="386"/>
      <c r="DHP4" s="386"/>
      <c r="DHQ4" s="386">
        <v>45870</v>
      </c>
      <c r="DHR4" s="386"/>
      <c r="DHS4" s="386"/>
      <c r="DHT4" s="386"/>
      <c r="DHU4" s="386"/>
      <c r="DHV4" s="386"/>
      <c r="DHW4" s="386"/>
      <c r="DHX4" s="386"/>
      <c r="DHY4" s="386"/>
      <c r="DHZ4" s="386"/>
      <c r="DIA4" s="386"/>
      <c r="DIB4" s="386"/>
      <c r="DIC4" s="386"/>
      <c r="DID4" s="386"/>
      <c r="DIE4" s="386"/>
      <c r="DIF4" s="386"/>
      <c r="DIG4" s="386">
        <v>45870</v>
      </c>
      <c r="DIH4" s="386"/>
      <c r="DII4" s="386"/>
      <c r="DIJ4" s="386"/>
      <c r="DIK4" s="386"/>
      <c r="DIL4" s="386"/>
      <c r="DIM4" s="386"/>
      <c r="DIN4" s="386"/>
      <c r="DIO4" s="386"/>
      <c r="DIP4" s="386"/>
      <c r="DIQ4" s="386"/>
      <c r="DIR4" s="386"/>
      <c r="DIS4" s="386"/>
      <c r="DIT4" s="386"/>
      <c r="DIU4" s="386"/>
      <c r="DIV4" s="386"/>
      <c r="DIW4" s="386">
        <v>45870</v>
      </c>
      <c r="DIX4" s="386"/>
      <c r="DIY4" s="386"/>
      <c r="DIZ4" s="386"/>
      <c r="DJA4" s="386"/>
      <c r="DJB4" s="386"/>
      <c r="DJC4" s="386"/>
      <c r="DJD4" s="386"/>
      <c r="DJE4" s="386"/>
      <c r="DJF4" s="386"/>
      <c r="DJG4" s="386"/>
      <c r="DJH4" s="386"/>
      <c r="DJI4" s="386"/>
      <c r="DJJ4" s="386"/>
      <c r="DJK4" s="386"/>
      <c r="DJL4" s="386"/>
      <c r="DJM4" s="386">
        <v>45870</v>
      </c>
      <c r="DJN4" s="386"/>
      <c r="DJO4" s="386"/>
      <c r="DJP4" s="386"/>
      <c r="DJQ4" s="386"/>
      <c r="DJR4" s="386"/>
      <c r="DJS4" s="386"/>
      <c r="DJT4" s="386"/>
      <c r="DJU4" s="386"/>
      <c r="DJV4" s="386"/>
      <c r="DJW4" s="386"/>
      <c r="DJX4" s="386"/>
      <c r="DJY4" s="386"/>
      <c r="DJZ4" s="386"/>
      <c r="DKA4" s="386"/>
      <c r="DKB4" s="386"/>
      <c r="DKC4" s="386">
        <v>45870</v>
      </c>
      <c r="DKD4" s="386"/>
      <c r="DKE4" s="386"/>
      <c r="DKF4" s="386"/>
      <c r="DKG4" s="386"/>
      <c r="DKH4" s="386"/>
      <c r="DKI4" s="386"/>
      <c r="DKJ4" s="386"/>
      <c r="DKK4" s="386"/>
      <c r="DKL4" s="386"/>
      <c r="DKM4" s="386"/>
      <c r="DKN4" s="386"/>
      <c r="DKO4" s="386"/>
      <c r="DKP4" s="386"/>
      <c r="DKQ4" s="386"/>
      <c r="DKR4" s="386"/>
      <c r="DKS4" s="386">
        <v>45870</v>
      </c>
      <c r="DKT4" s="386"/>
      <c r="DKU4" s="386"/>
      <c r="DKV4" s="386"/>
      <c r="DKW4" s="386"/>
      <c r="DKX4" s="386"/>
      <c r="DKY4" s="386"/>
      <c r="DKZ4" s="386"/>
      <c r="DLA4" s="386"/>
      <c r="DLB4" s="386"/>
      <c r="DLC4" s="386"/>
      <c r="DLD4" s="386"/>
      <c r="DLE4" s="386"/>
      <c r="DLF4" s="386"/>
      <c r="DLG4" s="386"/>
      <c r="DLH4" s="386"/>
      <c r="DLI4" s="386">
        <v>45870</v>
      </c>
      <c r="DLJ4" s="386"/>
      <c r="DLK4" s="386"/>
      <c r="DLL4" s="386"/>
      <c r="DLM4" s="386"/>
      <c r="DLN4" s="386"/>
      <c r="DLO4" s="386"/>
      <c r="DLP4" s="386"/>
      <c r="DLQ4" s="386"/>
      <c r="DLR4" s="386"/>
      <c r="DLS4" s="386"/>
      <c r="DLT4" s="386"/>
      <c r="DLU4" s="386"/>
      <c r="DLV4" s="386"/>
      <c r="DLW4" s="386"/>
      <c r="DLX4" s="386"/>
      <c r="DLY4" s="386">
        <v>45870</v>
      </c>
      <c r="DLZ4" s="386"/>
      <c r="DMA4" s="386"/>
      <c r="DMB4" s="386"/>
      <c r="DMC4" s="386"/>
      <c r="DMD4" s="386"/>
      <c r="DME4" s="386"/>
      <c r="DMF4" s="386"/>
      <c r="DMG4" s="386"/>
      <c r="DMH4" s="386"/>
      <c r="DMI4" s="386"/>
      <c r="DMJ4" s="386"/>
      <c r="DMK4" s="386"/>
      <c r="DML4" s="386"/>
      <c r="DMM4" s="386"/>
      <c r="DMN4" s="386"/>
      <c r="DMO4" s="386">
        <v>45870</v>
      </c>
      <c r="DMP4" s="386"/>
      <c r="DMQ4" s="386"/>
      <c r="DMR4" s="386"/>
      <c r="DMS4" s="386"/>
      <c r="DMT4" s="386"/>
      <c r="DMU4" s="386"/>
      <c r="DMV4" s="386"/>
      <c r="DMW4" s="386"/>
      <c r="DMX4" s="386"/>
      <c r="DMY4" s="386"/>
      <c r="DMZ4" s="386"/>
      <c r="DNA4" s="386"/>
      <c r="DNB4" s="386"/>
      <c r="DNC4" s="386"/>
      <c r="DND4" s="386"/>
      <c r="DNE4" s="386">
        <v>45870</v>
      </c>
      <c r="DNF4" s="386"/>
      <c r="DNG4" s="386"/>
      <c r="DNH4" s="386"/>
      <c r="DNI4" s="386"/>
      <c r="DNJ4" s="386"/>
      <c r="DNK4" s="386"/>
      <c r="DNL4" s="386"/>
      <c r="DNM4" s="386"/>
      <c r="DNN4" s="386"/>
      <c r="DNO4" s="386"/>
      <c r="DNP4" s="386"/>
      <c r="DNQ4" s="386"/>
      <c r="DNR4" s="386"/>
      <c r="DNS4" s="386"/>
      <c r="DNT4" s="386"/>
      <c r="DNU4" s="386">
        <v>45870</v>
      </c>
      <c r="DNV4" s="386"/>
      <c r="DNW4" s="386"/>
      <c r="DNX4" s="386"/>
      <c r="DNY4" s="386"/>
      <c r="DNZ4" s="386"/>
      <c r="DOA4" s="386"/>
      <c r="DOB4" s="386"/>
      <c r="DOC4" s="386"/>
      <c r="DOD4" s="386"/>
      <c r="DOE4" s="386"/>
      <c r="DOF4" s="386"/>
      <c r="DOG4" s="386"/>
      <c r="DOH4" s="386"/>
      <c r="DOI4" s="386"/>
      <c r="DOJ4" s="386"/>
      <c r="DOK4" s="386">
        <v>45870</v>
      </c>
      <c r="DOL4" s="386"/>
      <c r="DOM4" s="386"/>
      <c r="DON4" s="386"/>
      <c r="DOO4" s="386"/>
      <c r="DOP4" s="386"/>
      <c r="DOQ4" s="386"/>
      <c r="DOR4" s="386"/>
      <c r="DOS4" s="386"/>
      <c r="DOT4" s="386"/>
      <c r="DOU4" s="386"/>
      <c r="DOV4" s="386"/>
      <c r="DOW4" s="386"/>
      <c r="DOX4" s="386"/>
      <c r="DOY4" s="386"/>
      <c r="DOZ4" s="386"/>
      <c r="DPA4" s="386">
        <v>45870</v>
      </c>
      <c r="DPB4" s="386"/>
      <c r="DPC4" s="386"/>
      <c r="DPD4" s="386"/>
      <c r="DPE4" s="386"/>
      <c r="DPF4" s="386"/>
      <c r="DPG4" s="386"/>
      <c r="DPH4" s="386"/>
      <c r="DPI4" s="386"/>
      <c r="DPJ4" s="386"/>
      <c r="DPK4" s="386"/>
      <c r="DPL4" s="386"/>
      <c r="DPM4" s="386"/>
      <c r="DPN4" s="386"/>
      <c r="DPO4" s="386"/>
      <c r="DPP4" s="386"/>
      <c r="DPQ4" s="386">
        <v>45870</v>
      </c>
      <c r="DPR4" s="386"/>
      <c r="DPS4" s="386"/>
      <c r="DPT4" s="386"/>
      <c r="DPU4" s="386"/>
      <c r="DPV4" s="386"/>
      <c r="DPW4" s="386"/>
      <c r="DPX4" s="386"/>
      <c r="DPY4" s="386"/>
      <c r="DPZ4" s="386"/>
      <c r="DQA4" s="386"/>
      <c r="DQB4" s="386"/>
      <c r="DQC4" s="386"/>
      <c r="DQD4" s="386"/>
      <c r="DQE4" s="386"/>
      <c r="DQF4" s="386"/>
      <c r="DQG4" s="386">
        <v>45870</v>
      </c>
      <c r="DQH4" s="386"/>
      <c r="DQI4" s="386"/>
      <c r="DQJ4" s="386"/>
      <c r="DQK4" s="386"/>
      <c r="DQL4" s="386"/>
      <c r="DQM4" s="386"/>
      <c r="DQN4" s="386"/>
      <c r="DQO4" s="386"/>
      <c r="DQP4" s="386"/>
      <c r="DQQ4" s="386"/>
      <c r="DQR4" s="386"/>
      <c r="DQS4" s="386"/>
      <c r="DQT4" s="386"/>
      <c r="DQU4" s="386"/>
      <c r="DQV4" s="386"/>
      <c r="DQW4" s="386">
        <v>45870</v>
      </c>
      <c r="DQX4" s="386"/>
      <c r="DQY4" s="386"/>
      <c r="DQZ4" s="386"/>
      <c r="DRA4" s="386"/>
      <c r="DRB4" s="386"/>
      <c r="DRC4" s="386"/>
      <c r="DRD4" s="386"/>
      <c r="DRE4" s="386"/>
      <c r="DRF4" s="386"/>
      <c r="DRG4" s="386"/>
      <c r="DRH4" s="386"/>
      <c r="DRI4" s="386"/>
      <c r="DRJ4" s="386"/>
      <c r="DRK4" s="386"/>
      <c r="DRL4" s="386"/>
      <c r="DRM4" s="386">
        <v>45870</v>
      </c>
      <c r="DRN4" s="386"/>
      <c r="DRO4" s="386"/>
      <c r="DRP4" s="386"/>
      <c r="DRQ4" s="386"/>
      <c r="DRR4" s="386"/>
      <c r="DRS4" s="386"/>
      <c r="DRT4" s="386"/>
      <c r="DRU4" s="386"/>
      <c r="DRV4" s="386"/>
      <c r="DRW4" s="386"/>
      <c r="DRX4" s="386"/>
      <c r="DRY4" s="386"/>
      <c r="DRZ4" s="386"/>
      <c r="DSA4" s="386"/>
      <c r="DSB4" s="386"/>
      <c r="DSC4" s="386">
        <v>45870</v>
      </c>
      <c r="DSD4" s="386"/>
      <c r="DSE4" s="386"/>
      <c r="DSF4" s="386"/>
      <c r="DSG4" s="386"/>
      <c r="DSH4" s="386"/>
      <c r="DSI4" s="386"/>
      <c r="DSJ4" s="386"/>
      <c r="DSK4" s="386"/>
      <c r="DSL4" s="386"/>
      <c r="DSM4" s="386"/>
      <c r="DSN4" s="386"/>
      <c r="DSO4" s="386"/>
      <c r="DSP4" s="386"/>
      <c r="DSQ4" s="386"/>
      <c r="DSR4" s="386"/>
      <c r="DSS4" s="386">
        <v>45870</v>
      </c>
      <c r="DST4" s="386"/>
      <c r="DSU4" s="386"/>
      <c r="DSV4" s="386"/>
      <c r="DSW4" s="386"/>
      <c r="DSX4" s="386"/>
      <c r="DSY4" s="386"/>
      <c r="DSZ4" s="386"/>
      <c r="DTA4" s="386"/>
      <c r="DTB4" s="386"/>
      <c r="DTC4" s="386"/>
      <c r="DTD4" s="386"/>
      <c r="DTE4" s="386"/>
      <c r="DTF4" s="386"/>
      <c r="DTG4" s="386"/>
      <c r="DTH4" s="386"/>
      <c r="DTI4" s="386">
        <v>45870</v>
      </c>
      <c r="DTJ4" s="386"/>
      <c r="DTK4" s="386"/>
      <c r="DTL4" s="386"/>
      <c r="DTM4" s="386"/>
      <c r="DTN4" s="386"/>
      <c r="DTO4" s="386"/>
      <c r="DTP4" s="386"/>
      <c r="DTQ4" s="386"/>
      <c r="DTR4" s="386"/>
      <c r="DTS4" s="386"/>
      <c r="DTT4" s="386"/>
      <c r="DTU4" s="386"/>
      <c r="DTV4" s="386"/>
      <c r="DTW4" s="386"/>
      <c r="DTX4" s="386"/>
      <c r="DTY4" s="386">
        <v>45870</v>
      </c>
      <c r="DTZ4" s="386"/>
      <c r="DUA4" s="386"/>
      <c r="DUB4" s="386"/>
      <c r="DUC4" s="386"/>
      <c r="DUD4" s="386"/>
      <c r="DUE4" s="386"/>
      <c r="DUF4" s="386"/>
      <c r="DUG4" s="386"/>
      <c r="DUH4" s="386"/>
      <c r="DUI4" s="386"/>
      <c r="DUJ4" s="386"/>
      <c r="DUK4" s="386"/>
      <c r="DUL4" s="386"/>
      <c r="DUM4" s="386"/>
      <c r="DUN4" s="386"/>
      <c r="DUO4" s="386">
        <v>45870</v>
      </c>
      <c r="DUP4" s="386"/>
      <c r="DUQ4" s="386"/>
      <c r="DUR4" s="386"/>
      <c r="DUS4" s="386"/>
      <c r="DUT4" s="386"/>
      <c r="DUU4" s="386"/>
      <c r="DUV4" s="386"/>
      <c r="DUW4" s="386"/>
      <c r="DUX4" s="386"/>
      <c r="DUY4" s="386"/>
      <c r="DUZ4" s="386"/>
      <c r="DVA4" s="386"/>
      <c r="DVB4" s="386"/>
      <c r="DVC4" s="386"/>
      <c r="DVD4" s="386"/>
      <c r="DVE4" s="386">
        <v>45870</v>
      </c>
      <c r="DVF4" s="386"/>
      <c r="DVG4" s="386"/>
      <c r="DVH4" s="386"/>
      <c r="DVI4" s="386"/>
      <c r="DVJ4" s="386"/>
      <c r="DVK4" s="386"/>
      <c r="DVL4" s="386"/>
      <c r="DVM4" s="386"/>
      <c r="DVN4" s="386"/>
      <c r="DVO4" s="386"/>
      <c r="DVP4" s="386"/>
      <c r="DVQ4" s="386"/>
      <c r="DVR4" s="386"/>
      <c r="DVS4" s="386"/>
      <c r="DVT4" s="386"/>
      <c r="DVU4" s="386">
        <v>45870</v>
      </c>
      <c r="DVV4" s="386"/>
      <c r="DVW4" s="386"/>
      <c r="DVX4" s="386"/>
      <c r="DVY4" s="386"/>
      <c r="DVZ4" s="386"/>
      <c r="DWA4" s="386"/>
      <c r="DWB4" s="386"/>
      <c r="DWC4" s="386"/>
      <c r="DWD4" s="386"/>
      <c r="DWE4" s="386"/>
      <c r="DWF4" s="386"/>
      <c r="DWG4" s="386"/>
      <c r="DWH4" s="386"/>
      <c r="DWI4" s="386"/>
      <c r="DWJ4" s="386"/>
      <c r="DWK4" s="386">
        <v>45870</v>
      </c>
      <c r="DWL4" s="386"/>
      <c r="DWM4" s="386"/>
      <c r="DWN4" s="386"/>
      <c r="DWO4" s="386"/>
      <c r="DWP4" s="386"/>
      <c r="DWQ4" s="386"/>
      <c r="DWR4" s="386"/>
      <c r="DWS4" s="386"/>
      <c r="DWT4" s="386"/>
      <c r="DWU4" s="386"/>
      <c r="DWV4" s="386"/>
      <c r="DWW4" s="386"/>
      <c r="DWX4" s="386"/>
      <c r="DWY4" s="386"/>
      <c r="DWZ4" s="386"/>
      <c r="DXA4" s="386">
        <v>45870</v>
      </c>
      <c r="DXB4" s="386"/>
      <c r="DXC4" s="386"/>
      <c r="DXD4" s="386"/>
      <c r="DXE4" s="386"/>
      <c r="DXF4" s="386"/>
      <c r="DXG4" s="386"/>
      <c r="DXH4" s="386"/>
      <c r="DXI4" s="386"/>
      <c r="DXJ4" s="386"/>
      <c r="DXK4" s="386"/>
      <c r="DXL4" s="386"/>
      <c r="DXM4" s="386"/>
      <c r="DXN4" s="386"/>
      <c r="DXO4" s="386"/>
      <c r="DXP4" s="386"/>
      <c r="DXQ4" s="386">
        <v>45870</v>
      </c>
      <c r="DXR4" s="386"/>
      <c r="DXS4" s="386"/>
      <c r="DXT4" s="386"/>
      <c r="DXU4" s="386"/>
      <c r="DXV4" s="386"/>
      <c r="DXW4" s="386"/>
      <c r="DXX4" s="386"/>
      <c r="DXY4" s="386"/>
      <c r="DXZ4" s="386"/>
      <c r="DYA4" s="386"/>
      <c r="DYB4" s="386"/>
      <c r="DYC4" s="386"/>
      <c r="DYD4" s="386"/>
      <c r="DYE4" s="386"/>
      <c r="DYF4" s="386"/>
      <c r="DYG4" s="386">
        <v>45870</v>
      </c>
      <c r="DYH4" s="386"/>
      <c r="DYI4" s="386"/>
      <c r="DYJ4" s="386"/>
      <c r="DYK4" s="386"/>
      <c r="DYL4" s="386"/>
      <c r="DYM4" s="386"/>
      <c r="DYN4" s="386"/>
      <c r="DYO4" s="386"/>
      <c r="DYP4" s="386"/>
      <c r="DYQ4" s="386"/>
      <c r="DYR4" s="386"/>
      <c r="DYS4" s="386"/>
      <c r="DYT4" s="386"/>
      <c r="DYU4" s="386"/>
      <c r="DYV4" s="386"/>
      <c r="DYW4" s="386">
        <v>45870</v>
      </c>
      <c r="DYX4" s="386"/>
      <c r="DYY4" s="386"/>
      <c r="DYZ4" s="386"/>
      <c r="DZA4" s="386"/>
      <c r="DZB4" s="386"/>
      <c r="DZC4" s="386"/>
      <c r="DZD4" s="386"/>
      <c r="DZE4" s="386"/>
      <c r="DZF4" s="386"/>
      <c r="DZG4" s="386"/>
      <c r="DZH4" s="386"/>
      <c r="DZI4" s="386"/>
      <c r="DZJ4" s="386"/>
      <c r="DZK4" s="386"/>
      <c r="DZL4" s="386"/>
      <c r="DZM4" s="386">
        <v>45870</v>
      </c>
      <c r="DZN4" s="386"/>
      <c r="DZO4" s="386"/>
      <c r="DZP4" s="386"/>
      <c r="DZQ4" s="386"/>
      <c r="DZR4" s="386"/>
      <c r="DZS4" s="386"/>
      <c r="DZT4" s="386"/>
      <c r="DZU4" s="386"/>
      <c r="DZV4" s="386"/>
      <c r="DZW4" s="386"/>
      <c r="DZX4" s="386"/>
      <c r="DZY4" s="386"/>
      <c r="DZZ4" s="386"/>
      <c r="EAA4" s="386"/>
      <c r="EAB4" s="386"/>
      <c r="EAC4" s="386">
        <v>45870</v>
      </c>
      <c r="EAD4" s="386"/>
      <c r="EAE4" s="386"/>
      <c r="EAF4" s="386"/>
      <c r="EAG4" s="386"/>
      <c r="EAH4" s="386"/>
      <c r="EAI4" s="386"/>
      <c r="EAJ4" s="386"/>
      <c r="EAK4" s="386"/>
      <c r="EAL4" s="386"/>
      <c r="EAM4" s="386"/>
      <c r="EAN4" s="386"/>
      <c r="EAO4" s="386"/>
      <c r="EAP4" s="386"/>
      <c r="EAQ4" s="386"/>
      <c r="EAR4" s="386"/>
      <c r="EAS4" s="386">
        <v>45870</v>
      </c>
      <c r="EAT4" s="386"/>
      <c r="EAU4" s="386"/>
      <c r="EAV4" s="386"/>
      <c r="EAW4" s="386"/>
      <c r="EAX4" s="386"/>
      <c r="EAY4" s="386"/>
      <c r="EAZ4" s="386"/>
      <c r="EBA4" s="386"/>
      <c r="EBB4" s="386"/>
      <c r="EBC4" s="386"/>
      <c r="EBD4" s="386"/>
      <c r="EBE4" s="386"/>
      <c r="EBF4" s="386"/>
      <c r="EBG4" s="386"/>
      <c r="EBH4" s="386"/>
      <c r="EBI4" s="386">
        <v>45870</v>
      </c>
      <c r="EBJ4" s="386"/>
      <c r="EBK4" s="386"/>
      <c r="EBL4" s="386"/>
      <c r="EBM4" s="386"/>
      <c r="EBN4" s="386"/>
      <c r="EBO4" s="386"/>
      <c r="EBP4" s="386"/>
      <c r="EBQ4" s="386"/>
      <c r="EBR4" s="386"/>
      <c r="EBS4" s="386"/>
      <c r="EBT4" s="386"/>
      <c r="EBU4" s="386"/>
      <c r="EBV4" s="386"/>
      <c r="EBW4" s="386"/>
      <c r="EBX4" s="386"/>
      <c r="EBY4" s="386">
        <v>45870</v>
      </c>
      <c r="EBZ4" s="386"/>
      <c r="ECA4" s="386"/>
      <c r="ECB4" s="386"/>
      <c r="ECC4" s="386"/>
      <c r="ECD4" s="386"/>
      <c r="ECE4" s="386"/>
      <c r="ECF4" s="386"/>
      <c r="ECG4" s="386"/>
      <c r="ECH4" s="386"/>
      <c r="ECI4" s="386"/>
      <c r="ECJ4" s="386"/>
      <c r="ECK4" s="386"/>
      <c r="ECL4" s="386"/>
      <c r="ECM4" s="386"/>
      <c r="ECN4" s="386"/>
      <c r="ECO4" s="386">
        <v>45870</v>
      </c>
      <c r="ECP4" s="386"/>
      <c r="ECQ4" s="386"/>
      <c r="ECR4" s="386"/>
      <c r="ECS4" s="386"/>
      <c r="ECT4" s="386"/>
      <c r="ECU4" s="386"/>
      <c r="ECV4" s="386"/>
      <c r="ECW4" s="386"/>
      <c r="ECX4" s="386"/>
      <c r="ECY4" s="386"/>
      <c r="ECZ4" s="386"/>
      <c r="EDA4" s="386"/>
      <c r="EDB4" s="386"/>
      <c r="EDC4" s="386"/>
      <c r="EDD4" s="386"/>
      <c r="EDE4" s="386">
        <v>45870</v>
      </c>
      <c r="EDF4" s="386"/>
      <c r="EDG4" s="386"/>
      <c r="EDH4" s="386"/>
      <c r="EDI4" s="386"/>
      <c r="EDJ4" s="386"/>
      <c r="EDK4" s="386"/>
      <c r="EDL4" s="386"/>
      <c r="EDM4" s="386"/>
      <c r="EDN4" s="386"/>
      <c r="EDO4" s="386"/>
      <c r="EDP4" s="386"/>
      <c r="EDQ4" s="386"/>
      <c r="EDR4" s="386"/>
      <c r="EDS4" s="386"/>
      <c r="EDT4" s="386"/>
      <c r="EDU4" s="386">
        <v>45870</v>
      </c>
      <c r="EDV4" s="386"/>
      <c r="EDW4" s="386"/>
      <c r="EDX4" s="386"/>
      <c r="EDY4" s="386"/>
      <c r="EDZ4" s="386"/>
      <c r="EEA4" s="386"/>
      <c r="EEB4" s="386"/>
      <c r="EEC4" s="386"/>
      <c r="EED4" s="386"/>
      <c r="EEE4" s="386"/>
      <c r="EEF4" s="386"/>
      <c r="EEG4" s="386"/>
      <c r="EEH4" s="386"/>
      <c r="EEI4" s="386"/>
      <c r="EEJ4" s="386"/>
      <c r="EEK4" s="386">
        <v>45870</v>
      </c>
      <c r="EEL4" s="386"/>
      <c r="EEM4" s="386"/>
      <c r="EEN4" s="386"/>
      <c r="EEO4" s="386"/>
      <c r="EEP4" s="386"/>
      <c r="EEQ4" s="386"/>
      <c r="EER4" s="386"/>
      <c r="EES4" s="386"/>
      <c r="EET4" s="386"/>
      <c r="EEU4" s="386"/>
      <c r="EEV4" s="386"/>
      <c r="EEW4" s="386"/>
      <c r="EEX4" s="386"/>
      <c r="EEY4" s="386"/>
      <c r="EEZ4" s="386"/>
      <c r="EFA4" s="386">
        <v>45870</v>
      </c>
      <c r="EFB4" s="386"/>
      <c r="EFC4" s="386"/>
      <c r="EFD4" s="386"/>
      <c r="EFE4" s="386"/>
      <c r="EFF4" s="386"/>
      <c r="EFG4" s="386"/>
      <c r="EFH4" s="386"/>
      <c r="EFI4" s="386"/>
      <c r="EFJ4" s="386"/>
      <c r="EFK4" s="386"/>
      <c r="EFL4" s="386"/>
      <c r="EFM4" s="386"/>
      <c r="EFN4" s="386"/>
      <c r="EFO4" s="386"/>
      <c r="EFP4" s="386"/>
      <c r="EFQ4" s="386">
        <v>45870</v>
      </c>
      <c r="EFR4" s="386"/>
      <c r="EFS4" s="386"/>
      <c r="EFT4" s="386"/>
      <c r="EFU4" s="386"/>
      <c r="EFV4" s="386"/>
      <c r="EFW4" s="386"/>
      <c r="EFX4" s="386"/>
      <c r="EFY4" s="386"/>
      <c r="EFZ4" s="386"/>
      <c r="EGA4" s="386"/>
      <c r="EGB4" s="386"/>
      <c r="EGC4" s="386"/>
      <c r="EGD4" s="386"/>
      <c r="EGE4" s="386"/>
      <c r="EGF4" s="386"/>
      <c r="EGG4" s="386">
        <v>45870</v>
      </c>
      <c r="EGH4" s="386"/>
      <c r="EGI4" s="386"/>
      <c r="EGJ4" s="386"/>
      <c r="EGK4" s="386"/>
      <c r="EGL4" s="386"/>
      <c r="EGM4" s="386"/>
      <c r="EGN4" s="386"/>
      <c r="EGO4" s="386"/>
      <c r="EGP4" s="386"/>
      <c r="EGQ4" s="386"/>
      <c r="EGR4" s="386"/>
      <c r="EGS4" s="386"/>
      <c r="EGT4" s="386"/>
      <c r="EGU4" s="386"/>
      <c r="EGV4" s="386"/>
      <c r="EGW4" s="386">
        <v>45870</v>
      </c>
      <c r="EGX4" s="386"/>
      <c r="EGY4" s="386"/>
      <c r="EGZ4" s="386"/>
      <c r="EHA4" s="386"/>
      <c r="EHB4" s="386"/>
      <c r="EHC4" s="386"/>
      <c r="EHD4" s="386"/>
      <c r="EHE4" s="386"/>
      <c r="EHF4" s="386"/>
      <c r="EHG4" s="386"/>
      <c r="EHH4" s="386"/>
      <c r="EHI4" s="386"/>
      <c r="EHJ4" s="386"/>
      <c r="EHK4" s="386"/>
      <c r="EHL4" s="386"/>
      <c r="EHM4" s="386">
        <v>45870</v>
      </c>
      <c r="EHN4" s="386"/>
      <c r="EHO4" s="386"/>
      <c r="EHP4" s="386"/>
      <c r="EHQ4" s="386"/>
      <c r="EHR4" s="386"/>
      <c r="EHS4" s="386"/>
      <c r="EHT4" s="386"/>
      <c r="EHU4" s="386"/>
      <c r="EHV4" s="386"/>
      <c r="EHW4" s="386"/>
      <c r="EHX4" s="386"/>
      <c r="EHY4" s="386"/>
      <c r="EHZ4" s="386"/>
      <c r="EIA4" s="386"/>
      <c r="EIB4" s="386"/>
      <c r="EIC4" s="386">
        <v>45870</v>
      </c>
      <c r="EID4" s="386"/>
      <c r="EIE4" s="386"/>
      <c r="EIF4" s="386"/>
      <c r="EIG4" s="386"/>
      <c r="EIH4" s="386"/>
      <c r="EII4" s="386"/>
      <c r="EIJ4" s="386"/>
      <c r="EIK4" s="386"/>
      <c r="EIL4" s="386"/>
      <c r="EIM4" s="386"/>
      <c r="EIN4" s="386"/>
      <c r="EIO4" s="386"/>
      <c r="EIP4" s="386"/>
      <c r="EIQ4" s="386"/>
      <c r="EIR4" s="386"/>
      <c r="EIS4" s="386">
        <v>45870</v>
      </c>
      <c r="EIT4" s="386"/>
      <c r="EIU4" s="386"/>
      <c r="EIV4" s="386"/>
      <c r="EIW4" s="386"/>
      <c r="EIX4" s="386"/>
      <c r="EIY4" s="386"/>
      <c r="EIZ4" s="386"/>
      <c r="EJA4" s="386"/>
      <c r="EJB4" s="386"/>
      <c r="EJC4" s="386"/>
      <c r="EJD4" s="386"/>
      <c r="EJE4" s="386"/>
      <c r="EJF4" s="386"/>
      <c r="EJG4" s="386"/>
      <c r="EJH4" s="386"/>
      <c r="EJI4" s="386">
        <v>45870</v>
      </c>
      <c r="EJJ4" s="386"/>
      <c r="EJK4" s="386"/>
      <c r="EJL4" s="386"/>
      <c r="EJM4" s="386"/>
      <c r="EJN4" s="386"/>
      <c r="EJO4" s="386"/>
      <c r="EJP4" s="386"/>
      <c r="EJQ4" s="386"/>
      <c r="EJR4" s="386"/>
      <c r="EJS4" s="386"/>
      <c r="EJT4" s="386"/>
      <c r="EJU4" s="386"/>
      <c r="EJV4" s="386"/>
      <c r="EJW4" s="386"/>
      <c r="EJX4" s="386"/>
      <c r="EJY4" s="386">
        <v>45870</v>
      </c>
      <c r="EJZ4" s="386"/>
      <c r="EKA4" s="386"/>
      <c r="EKB4" s="386"/>
      <c r="EKC4" s="386"/>
      <c r="EKD4" s="386"/>
      <c r="EKE4" s="386"/>
      <c r="EKF4" s="386"/>
      <c r="EKG4" s="386"/>
      <c r="EKH4" s="386"/>
      <c r="EKI4" s="386"/>
      <c r="EKJ4" s="386"/>
      <c r="EKK4" s="386"/>
      <c r="EKL4" s="386"/>
      <c r="EKM4" s="386"/>
      <c r="EKN4" s="386"/>
      <c r="EKO4" s="386">
        <v>45870</v>
      </c>
      <c r="EKP4" s="386"/>
      <c r="EKQ4" s="386"/>
      <c r="EKR4" s="386"/>
      <c r="EKS4" s="386"/>
      <c r="EKT4" s="386"/>
      <c r="EKU4" s="386"/>
      <c r="EKV4" s="386"/>
      <c r="EKW4" s="386"/>
      <c r="EKX4" s="386"/>
      <c r="EKY4" s="386"/>
      <c r="EKZ4" s="386"/>
      <c r="ELA4" s="386"/>
      <c r="ELB4" s="386"/>
      <c r="ELC4" s="386"/>
      <c r="ELD4" s="386"/>
      <c r="ELE4" s="386">
        <v>45870</v>
      </c>
      <c r="ELF4" s="386"/>
      <c r="ELG4" s="386"/>
      <c r="ELH4" s="386"/>
      <c r="ELI4" s="386"/>
      <c r="ELJ4" s="386"/>
      <c r="ELK4" s="386"/>
      <c r="ELL4" s="386"/>
      <c r="ELM4" s="386"/>
      <c r="ELN4" s="386"/>
      <c r="ELO4" s="386"/>
      <c r="ELP4" s="386"/>
      <c r="ELQ4" s="386"/>
      <c r="ELR4" s="386"/>
      <c r="ELS4" s="386"/>
      <c r="ELT4" s="386"/>
      <c r="ELU4" s="386">
        <v>45870</v>
      </c>
      <c r="ELV4" s="386"/>
      <c r="ELW4" s="386"/>
      <c r="ELX4" s="386"/>
      <c r="ELY4" s="386"/>
      <c r="ELZ4" s="386"/>
      <c r="EMA4" s="386"/>
      <c r="EMB4" s="386"/>
      <c r="EMC4" s="386"/>
      <c r="EMD4" s="386"/>
      <c r="EME4" s="386"/>
      <c r="EMF4" s="386"/>
      <c r="EMG4" s="386"/>
      <c r="EMH4" s="386"/>
      <c r="EMI4" s="386"/>
      <c r="EMJ4" s="386"/>
      <c r="EMK4" s="386">
        <v>45870</v>
      </c>
      <c r="EML4" s="386"/>
      <c r="EMM4" s="386"/>
      <c r="EMN4" s="386"/>
      <c r="EMO4" s="386"/>
      <c r="EMP4" s="386"/>
      <c r="EMQ4" s="386"/>
      <c r="EMR4" s="386"/>
      <c r="EMS4" s="386"/>
      <c r="EMT4" s="386"/>
      <c r="EMU4" s="386"/>
      <c r="EMV4" s="386"/>
      <c r="EMW4" s="386"/>
      <c r="EMX4" s="386"/>
      <c r="EMY4" s="386"/>
      <c r="EMZ4" s="386"/>
      <c r="ENA4" s="386">
        <v>45870</v>
      </c>
      <c r="ENB4" s="386"/>
      <c r="ENC4" s="386"/>
      <c r="END4" s="386"/>
      <c r="ENE4" s="386"/>
      <c r="ENF4" s="386"/>
      <c r="ENG4" s="386"/>
      <c r="ENH4" s="386"/>
      <c r="ENI4" s="386"/>
      <c r="ENJ4" s="386"/>
      <c r="ENK4" s="386"/>
      <c r="ENL4" s="386"/>
      <c r="ENM4" s="386"/>
      <c r="ENN4" s="386"/>
      <c r="ENO4" s="386"/>
      <c r="ENP4" s="386"/>
      <c r="ENQ4" s="386">
        <v>45870</v>
      </c>
      <c r="ENR4" s="386"/>
      <c r="ENS4" s="386"/>
      <c r="ENT4" s="386"/>
      <c r="ENU4" s="386"/>
      <c r="ENV4" s="386"/>
      <c r="ENW4" s="386"/>
      <c r="ENX4" s="386"/>
      <c r="ENY4" s="386"/>
      <c r="ENZ4" s="386"/>
      <c r="EOA4" s="386"/>
      <c r="EOB4" s="386"/>
      <c r="EOC4" s="386"/>
      <c r="EOD4" s="386"/>
      <c r="EOE4" s="386"/>
      <c r="EOF4" s="386"/>
      <c r="EOG4" s="386">
        <v>45870</v>
      </c>
      <c r="EOH4" s="386"/>
      <c r="EOI4" s="386"/>
      <c r="EOJ4" s="386"/>
      <c r="EOK4" s="386"/>
      <c r="EOL4" s="386"/>
      <c r="EOM4" s="386"/>
      <c r="EON4" s="386"/>
      <c r="EOO4" s="386"/>
      <c r="EOP4" s="386"/>
      <c r="EOQ4" s="386"/>
      <c r="EOR4" s="386"/>
      <c r="EOS4" s="386"/>
      <c r="EOT4" s="386"/>
      <c r="EOU4" s="386"/>
      <c r="EOV4" s="386"/>
      <c r="EOW4" s="386">
        <v>45870</v>
      </c>
      <c r="EOX4" s="386"/>
      <c r="EOY4" s="386"/>
      <c r="EOZ4" s="386"/>
      <c r="EPA4" s="386"/>
      <c r="EPB4" s="386"/>
      <c r="EPC4" s="386"/>
      <c r="EPD4" s="386"/>
      <c r="EPE4" s="386"/>
      <c r="EPF4" s="386"/>
      <c r="EPG4" s="386"/>
      <c r="EPH4" s="386"/>
      <c r="EPI4" s="386"/>
      <c r="EPJ4" s="386"/>
      <c r="EPK4" s="386"/>
      <c r="EPL4" s="386"/>
      <c r="EPM4" s="386">
        <v>45870</v>
      </c>
      <c r="EPN4" s="386"/>
      <c r="EPO4" s="386"/>
      <c r="EPP4" s="386"/>
      <c r="EPQ4" s="386"/>
      <c r="EPR4" s="386"/>
      <c r="EPS4" s="386"/>
      <c r="EPT4" s="386"/>
      <c r="EPU4" s="386"/>
      <c r="EPV4" s="386"/>
      <c r="EPW4" s="386"/>
      <c r="EPX4" s="386"/>
      <c r="EPY4" s="386"/>
      <c r="EPZ4" s="386"/>
      <c r="EQA4" s="386"/>
      <c r="EQB4" s="386"/>
      <c r="EQC4" s="386">
        <v>45870</v>
      </c>
      <c r="EQD4" s="386"/>
      <c r="EQE4" s="386"/>
      <c r="EQF4" s="386"/>
      <c r="EQG4" s="386"/>
      <c r="EQH4" s="386"/>
      <c r="EQI4" s="386"/>
      <c r="EQJ4" s="386"/>
      <c r="EQK4" s="386"/>
      <c r="EQL4" s="386"/>
      <c r="EQM4" s="386"/>
      <c r="EQN4" s="386"/>
      <c r="EQO4" s="386"/>
      <c r="EQP4" s="386"/>
      <c r="EQQ4" s="386"/>
      <c r="EQR4" s="386"/>
      <c r="EQS4" s="386">
        <v>45870</v>
      </c>
      <c r="EQT4" s="386"/>
      <c r="EQU4" s="386"/>
      <c r="EQV4" s="386"/>
      <c r="EQW4" s="386"/>
      <c r="EQX4" s="386"/>
      <c r="EQY4" s="386"/>
      <c r="EQZ4" s="386"/>
      <c r="ERA4" s="386"/>
      <c r="ERB4" s="386"/>
      <c r="ERC4" s="386"/>
      <c r="ERD4" s="386"/>
      <c r="ERE4" s="386"/>
      <c r="ERF4" s="386"/>
      <c r="ERG4" s="386"/>
      <c r="ERH4" s="386"/>
      <c r="ERI4" s="386">
        <v>45870</v>
      </c>
      <c r="ERJ4" s="386"/>
      <c r="ERK4" s="386"/>
      <c r="ERL4" s="386"/>
      <c r="ERM4" s="386"/>
      <c r="ERN4" s="386"/>
      <c r="ERO4" s="386"/>
      <c r="ERP4" s="386"/>
      <c r="ERQ4" s="386"/>
      <c r="ERR4" s="386"/>
      <c r="ERS4" s="386"/>
      <c r="ERT4" s="386"/>
      <c r="ERU4" s="386"/>
      <c r="ERV4" s="386"/>
      <c r="ERW4" s="386"/>
      <c r="ERX4" s="386"/>
      <c r="ERY4" s="386">
        <v>45870</v>
      </c>
      <c r="ERZ4" s="386"/>
      <c r="ESA4" s="386"/>
      <c r="ESB4" s="386"/>
      <c r="ESC4" s="386"/>
      <c r="ESD4" s="386"/>
      <c r="ESE4" s="386"/>
      <c r="ESF4" s="386"/>
      <c r="ESG4" s="386"/>
      <c r="ESH4" s="386"/>
      <c r="ESI4" s="386"/>
      <c r="ESJ4" s="386"/>
      <c r="ESK4" s="386"/>
      <c r="ESL4" s="386"/>
      <c r="ESM4" s="386"/>
      <c r="ESN4" s="386"/>
      <c r="ESO4" s="386">
        <v>45870</v>
      </c>
      <c r="ESP4" s="386"/>
      <c r="ESQ4" s="386"/>
      <c r="ESR4" s="386"/>
      <c r="ESS4" s="386"/>
      <c r="EST4" s="386"/>
      <c r="ESU4" s="386"/>
      <c r="ESV4" s="386"/>
      <c r="ESW4" s="386"/>
      <c r="ESX4" s="386"/>
      <c r="ESY4" s="386"/>
      <c r="ESZ4" s="386"/>
      <c r="ETA4" s="386"/>
      <c r="ETB4" s="386"/>
      <c r="ETC4" s="386"/>
      <c r="ETD4" s="386"/>
      <c r="ETE4" s="386">
        <v>45870</v>
      </c>
      <c r="ETF4" s="386"/>
      <c r="ETG4" s="386"/>
      <c r="ETH4" s="386"/>
      <c r="ETI4" s="386"/>
      <c r="ETJ4" s="386"/>
      <c r="ETK4" s="386"/>
      <c r="ETL4" s="386"/>
      <c r="ETM4" s="386"/>
      <c r="ETN4" s="386"/>
      <c r="ETO4" s="386"/>
      <c r="ETP4" s="386"/>
      <c r="ETQ4" s="386"/>
      <c r="ETR4" s="386"/>
      <c r="ETS4" s="386"/>
      <c r="ETT4" s="386"/>
      <c r="ETU4" s="386">
        <v>45870</v>
      </c>
      <c r="ETV4" s="386"/>
      <c r="ETW4" s="386"/>
      <c r="ETX4" s="386"/>
      <c r="ETY4" s="386"/>
      <c r="ETZ4" s="386"/>
      <c r="EUA4" s="386"/>
      <c r="EUB4" s="386"/>
      <c r="EUC4" s="386"/>
      <c r="EUD4" s="386"/>
      <c r="EUE4" s="386"/>
      <c r="EUF4" s="386"/>
      <c r="EUG4" s="386"/>
      <c r="EUH4" s="386"/>
      <c r="EUI4" s="386"/>
      <c r="EUJ4" s="386"/>
      <c r="EUK4" s="386">
        <v>45870</v>
      </c>
      <c r="EUL4" s="386"/>
      <c r="EUM4" s="386"/>
      <c r="EUN4" s="386"/>
      <c r="EUO4" s="386"/>
      <c r="EUP4" s="386"/>
      <c r="EUQ4" s="386"/>
      <c r="EUR4" s="386"/>
      <c r="EUS4" s="386"/>
      <c r="EUT4" s="386"/>
      <c r="EUU4" s="386"/>
      <c r="EUV4" s="386"/>
      <c r="EUW4" s="386"/>
      <c r="EUX4" s="386"/>
      <c r="EUY4" s="386"/>
      <c r="EUZ4" s="386"/>
      <c r="EVA4" s="386">
        <v>45870</v>
      </c>
      <c r="EVB4" s="386"/>
      <c r="EVC4" s="386"/>
      <c r="EVD4" s="386"/>
      <c r="EVE4" s="386"/>
      <c r="EVF4" s="386"/>
      <c r="EVG4" s="386"/>
      <c r="EVH4" s="386"/>
      <c r="EVI4" s="386"/>
      <c r="EVJ4" s="386"/>
      <c r="EVK4" s="386"/>
      <c r="EVL4" s="386"/>
      <c r="EVM4" s="386"/>
      <c r="EVN4" s="386"/>
      <c r="EVO4" s="386"/>
      <c r="EVP4" s="386"/>
      <c r="EVQ4" s="386">
        <v>45870</v>
      </c>
      <c r="EVR4" s="386"/>
      <c r="EVS4" s="386"/>
      <c r="EVT4" s="386"/>
      <c r="EVU4" s="386"/>
      <c r="EVV4" s="386"/>
      <c r="EVW4" s="386"/>
      <c r="EVX4" s="386"/>
      <c r="EVY4" s="386"/>
      <c r="EVZ4" s="386"/>
      <c r="EWA4" s="386"/>
      <c r="EWB4" s="386"/>
      <c r="EWC4" s="386"/>
      <c r="EWD4" s="386"/>
      <c r="EWE4" s="386"/>
      <c r="EWF4" s="386"/>
      <c r="EWG4" s="386">
        <v>45870</v>
      </c>
      <c r="EWH4" s="386"/>
      <c r="EWI4" s="386"/>
      <c r="EWJ4" s="386"/>
      <c r="EWK4" s="386"/>
      <c r="EWL4" s="386"/>
      <c r="EWM4" s="386"/>
      <c r="EWN4" s="386"/>
      <c r="EWO4" s="386"/>
      <c r="EWP4" s="386"/>
      <c r="EWQ4" s="386"/>
      <c r="EWR4" s="386"/>
      <c r="EWS4" s="386"/>
      <c r="EWT4" s="386"/>
      <c r="EWU4" s="386"/>
      <c r="EWV4" s="386"/>
      <c r="EWW4" s="386">
        <v>45870</v>
      </c>
      <c r="EWX4" s="386"/>
      <c r="EWY4" s="386"/>
      <c r="EWZ4" s="386"/>
      <c r="EXA4" s="386"/>
      <c r="EXB4" s="386"/>
      <c r="EXC4" s="386"/>
      <c r="EXD4" s="386"/>
      <c r="EXE4" s="386"/>
      <c r="EXF4" s="386"/>
      <c r="EXG4" s="386"/>
      <c r="EXH4" s="386"/>
      <c r="EXI4" s="386"/>
      <c r="EXJ4" s="386"/>
      <c r="EXK4" s="386"/>
      <c r="EXL4" s="386"/>
      <c r="EXM4" s="386">
        <v>45870</v>
      </c>
      <c r="EXN4" s="386"/>
      <c r="EXO4" s="386"/>
      <c r="EXP4" s="386"/>
      <c r="EXQ4" s="386"/>
      <c r="EXR4" s="386"/>
      <c r="EXS4" s="386"/>
      <c r="EXT4" s="386"/>
      <c r="EXU4" s="386"/>
      <c r="EXV4" s="386"/>
      <c r="EXW4" s="386"/>
      <c r="EXX4" s="386"/>
      <c r="EXY4" s="386"/>
      <c r="EXZ4" s="386"/>
      <c r="EYA4" s="386"/>
      <c r="EYB4" s="386"/>
      <c r="EYC4" s="386">
        <v>45870</v>
      </c>
      <c r="EYD4" s="386"/>
      <c r="EYE4" s="386"/>
      <c r="EYF4" s="386"/>
      <c r="EYG4" s="386"/>
      <c r="EYH4" s="386"/>
      <c r="EYI4" s="386"/>
      <c r="EYJ4" s="386"/>
      <c r="EYK4" s="386"/>
      <c r="EYL4" s="386"/>
      <c r="EYM4" s="386"/>
      <c r="EYN4" s="386"/>
      <c r="EYO4" s="386"/>
      <c r="EYP4" s="386"/>
      <c r="EYQ4" s="386"/>
      <c r="EYR4" s="386"/>
      <c r="EYS4" s="386">
        <v>45870</v>
      </c>
      <c r="EYT4" s="386"/>
      <c r="EYU4" s="386"/>
      <c r="EYV4" s="386"/>
      <c r="EYW4" s="386"/>
      <c r="EYX4" s="386"/>
      <c r="EYY4" s="386"/>
      <c r="EYZ4" s="386"/>
      <c r="EZA4" s="386"/>
      <c r="EZB4" s="386"/>
      <c r="EZC4" s="386"/>
      <c r="EZD4" s="386"/>
      <c r="EZE4" s="386"/>
      <c r="EZF4" s="386"/>
      <c r="EZG4" s="386"/>
      <c r="EZH4" s="386"/>
      <c r="EZI4" s="386">
        <v>45870</v>
      </c>
      <c r="EZJ4" s="386"/>
      <c r="EZK4" s="386"/>
      <c r="EZL4" s="386"/>
      <c r="EZM4" s="386"/>
      <c r="EZN4" s="386"/>
      <c r="EZO4" s="386"/>
      <c r="EZP4" s="386"/>
      <c r="EZQ4" s="386"/>
      <c r="EZR4" s="386"/>
      <c r="EZS4" s="386"/>
      <c r="EZT4" s="386"/>
      <c r="EZU4" s="386"/>
      <c r="EZV4" s="386"/>
      <c r="EZW4" s="386"/>
      <c r="EZX4" s="386"/>
      <c r="EZY4" s="386">
        <v>45870</v>
      </c>
      <c r="EZZ4" s="386"/>
      <c r="FAA4" s="386"/>
      <c r="FAB4" s="386"/>
      <c r="FAC4" s="386"/>
      <c r="FAD4" s="386"/>
      <c r="FAE4" s="386"/>
      <c r="FAF4" s="386"/>
      <c r="FAG4" s="386"/>
      <c r="FAH4" s="386"/>
      <c r="FAI4" s="386"/>
      <c r="FAJ4" s="386"/>
      <c r="FAK4" s="386"/>
      <c r="FAL4" s="386"/>
      <c r="FAM4" s="386"/>
      <c r="FAN4" s="386"/>
      <c r="FAO4" s="386">
        <v>45870</v>
      </c>
      <c r="FAP4" s="386"/>
      <c r="FAQ4" s="386"/>
      <c r="FAR4" s="386"/>
      <c r="FAS4" s="386"/>
      <c r="FAT4" s="386"/>
      <c r="FAU4" s="386"/>
      <c r="FAV4" s="386"/>
      <c r="FAW4" s="386"/>
      <c r="FAX4" s="386"/>
      <c r="FAY4" s="386"/>
      <c r="FAZ4" s="386"/>
      <c r="FBA4" s="386"/>
      <c r="FBB4" s="386"/>
      <c r="FBC4" s="386"/>
      <c r="FBD4" s="386"/>
      <c r="FBE4" s="386">
        <v>45870</v>
      </c>
      <c r="FBF4" s="386"/>
      <c r="FBG4" s="386"/>
      <c r="FBH4" s="386"/>
      <c r="FBI4" s="386"/>
      <c r="FBJ4" s="386"/>
      <c r="FBK4" s="386"/>
      <c r="FBL4" s="386"/>
      <c r="FBM4" s="386"/>
      <c r="FBN4" s="386"/>
      <c r="FBO4" s="386"/>
      <c r="FBP4" s="386"/>
      <c r="FBQ4" s="386"/>
      <c r="FBR4" s="386"/>
      <c r="FBS4" s="386"/>
      <c r="FBT4" s="386"/>
      <c r="FBU4" s="386">
        <v>45870</v>
      </c>
      <c r="FBV4" s="386"/>
      <c r="FBW4" s="386"/>
      <c r="FBX4" s="386"/>
      <c r="FBY4" s="386"/>
      <c r="FBZ4" s="386"/>
      <c r="FCA4" s="386"/>
      <c r="FCB4" s="386"/>
      <c r="FCC4" s="386"/>
      <c r="FCD4" s="386"/>
      <c r="FCE4" s="386"/>
      <c r="FCF4" s="386"/>
      <c r="FCG4" s="386"/>
      <c r="FCH4" s="386"/>
      <c r="FCI4" s="386"/>
      <c r="FCJ4" s="386"/>
      <c r="FCK4" s="386">
        <v>45870</v>
      </c>
      <c r="FCL4" s="386"/>
      <c r="FCM4" s="386"/>
      <c r="FCN4" s="386"/>
      <c r="FCO4" s="386"/>
      <c r="FCP4" s="386"/>
      <c r="FCQ4" s="386"/>
      <c r="FCR4" s="386"/>
      <c r="FCS4" s="386"/>
      <c r="FCT4" s="386"/>
      <c r="FCU4" s="386"/>
      <c r="FCV4" s="386"/>
      <c r="FCW4" s="386"/>
      <c r="FCX4" s="386"/>
      <c r="FCY4" s="386"/>
      <c r="FCZ4" s="386"/>
      <c r="FDA4" s="386">
        <v>45870</v>
      </c>
      <c r="FDB4" s="386"/>
      <c r="FDC4" s="386"/>
      <c r="FDD4" s="386"/>
      <c r="FDE4" s="386"/>
      <c r="FDF4" s="386"/>
      <c r="FDG4" s="386"/>
      <c r="FDH4" s="386"/>
      <c r="FDI4" s="386"/>
      <c r="FDJ4" s="386"/>
      <c r="FDK4" s="386"/>
      <c r="FDL4" s="386"/>
      <c r="FDM4" s="386"/>
      <c r="FDN4" s="386"/>
      <c r="FDO4" s="386"/>
      <c r="FDP4" s="386"/>
      <c r="FDQ4" s="386">
        <v>45870</v>
      </c>
      <c r="FDR4" s="386"/>
      <c r="FDS4" s="386"/>
      <c r="FDT4" s="386"/>
      <c r="FDU4" s="386"/>
      <c r="FDV4" s="386"/>
      <c r="FDW4" s="386"/>
      <c r="FDX4" s="386"/>
      <c r="FDY4" s="386"/>
      <c r="FDZ4" s="386"/>
      <c r="FEA4" s="386"/>
      <c r="FEB4" s="386"/>
      <c r="FEC4" s="386"/>
      <c r="FED4" s="386"/>
      <c r="FEE4" s="386"/>
      <c r="FEF4" s="386"/>
      <c r="FEG4" s="386">
        <v>45870</v>
      </c>
      <c r="FEH4" s="386"/>
      <c r="FEI4" s="386"/>
      <c r="FEJ4" s="386"/>
      <c r="FEK4" s="386"/>
      <c r="FEL4" s="386"/>
      <c r="FEM4" s="386"/>
      <c r="FEN4" s="386"/>
      <c r="FEO4" s="386"/>
      <c r="FEP4" s="386"/>
      <c r="FEQ4" s="386"/>
      <c r="FER4" s="386"/>
      <c r="FES4" s="386"/>
      <c r="FET4" s="386"/>
      <c r="FEU4" s="386"/>
      <c r="FEV4" s="386"/>
      <c r="FEW4" s="386">
        <v>45870</v>
      </c>
      <c r="FEX4" s="386"/>
      <c r="FEY4" s="386"/>
      <c r="FEZ4" s="386"/>
      <c r="FFA4" s="386"/>
      <c r="FFB4" s="386"/>
      <c r="FFC4" s="386"/>
      <c r="FFD4" s="386"/>
      <c r="FFE4" s="386"/>
      <c r="FFF4" s="386"/>
      <c r="FFG4" s="386"/>
      <c r="FFH4" s="386"/>
      <c r="FFI4" s="386"/>
      <c r="FFJ4" s="386"/>
      <c r="FFK4" s="386"/>
      <c r="FFL4" s="386"/>
      <c r="FFM4" s="386">
        <v>45870</v>
      </c>
      <c r="FFN4" s="386"/>
      <c r="FFO4" s="386"/>
      <c r="FFP4" s="386"/>
      <c r="FFQ4" s="386"/>
      <c r="FFR4" s="386"/>
      <c r="FFS4" s="386"/>
      <c r="FFT4" s="386"/>
      <c r="FFU4" s="386"/>
      <c r="FFV4" s="386"/>
      <c r="FFW4" s="386"/>
      <c r="FFX4" s="386"/>
      <c r="FFY4" s="386"/>
      <c r="FFZ4" s="386"/>
      <c r="FGA4" s="386"/>
      <c r="FGB4" s="386"/>
      <c r="FGC4" s="386">
        <v>45870</v>
      </c>
      <c r="FGD4" s="386"/>
      <c r="FGE4" s="386"/>
      <c r="FGF4" s="386"/>
      <c r="FGG4" s="386"/>
      <c r="FGH4" s="386"/>
      <c r="FGI4" s="386"/>
      <c r="FGJ4" s="386"/>
      <c r="FGK4" s="386"/>
      <c r="FGL4" s="386"/>
      <c r="FGM4" s="386"/>
      <c r="FGN4" s="386"/>
      <c r="FGO4" s="386"/>
      <c r="FGP4" s="386"/>
      <c r="FGQ4" s="386"/>
      <c r="FGR4" s="386"/>
      <c r="FGS4" s="386">
        <v>45870</v>
      </c>
      <c r="FGT4" s="386"/>
      <c r="FGU4" s="386"/>
      <c r="FGV4" s="386"/>
      <c r="FGW4" s="386"/>
      <c r="FGX4" s="386"/>
      <c r="FGY4" s="386"/>
      <c r="FGZ4" s="386"/>
      <c r="FHA4" s="386"/>
      <c r="FHB4" s="386"/>
      <c r="FHC4" s="386"/>
      <c r="FHD4" s="386"/>
      <c r="FHE4" s="386"/>
      <c r="FHF4" s="386"/>
      <c r="FHG4" s="386"/>
      <c r="FHH4" s="386"/>
      <c r="FHI4" s="386">
        <v>45870</v>
      </c>
      <c r="FHJ4" s="386"/>
      <c r="FHK4" s="386"/>
      <c r="FHL4" s="386"/>
      <c r="FHM4" s="386"/>
      <c r="FHN4" s="386"/>
      <c r="FHO4" s="386"/>
      <c r="FHP4" s="386"/>
      <c r="FHQ4" s="386"/>
      <c r="FHR4" s="386"/>
      <c r="FHS4" s="386"/>
      <c r="FHT4" s="386"/>
      <c r="FHU4" s="386"/>
      <c r="FHV4" s="386"/>
      <c r="FHW4" s="386"/>
      <c r="FHX4" s="386"/>
      <c r="FHY4" s="386">
        <v>45870</v>
      </c>
      <c r="FHZ4" s="386"/>
      <c r="FIA4" s="386"/>
      <c r="FIB4" s="386"/>
      <c r="FIC4" s="386"/>
      <c r="FID4" s="386"/>
      <c r="FIE4" s="386"/>
      <c r="FIF4" s="386"/>
      <c r="FIG4" s="386"/>
      <c r="FIH4" s="386"/>
      <c r="FII4" s="386"/>
      <c r="FIJ4" s="386"/>
      <c r="FIK4" s="386"/>
      <c r="FIL4" s="386"/>
      <c r="FIM4" s="386"/>
      <c r="FIN4" s="386"/>
      <c r="FIO4" s="386">
        <v>45870</v>
      </c>
      <c r="FIP4" s="386"/>
      <c r="FIQ4" s="386"/>
      <c r="FIR4" s="386"/>
      <c r="FIS4" s="386"/>
      <c r="FIT4" s="386"/>
      <c r="FIU4" s="386"/>
      <c r="FIV4" s="386"/>
      <c r="FIW4" s="386"/>
      <c r="FIX4" s="386"/>
      <c r="FIY4" s="386"/>
      <c r="FIZ4" s="386"/>
      <c r="FJA4" s="386"/>
      <c r="FJB4" s="386"/>
      <c r="FJC4" s="386"/>
      <c r="FJD4" s="386"/>
      <c r="FJE4" s="386">
        <v>45870</v>
      </c>
      <c r="FJF4" s="386"/>
      <c r="FJG4" s="386"/>
      <c r="FJH4" s="386"/>
      <c r="FJI4" s="386"/>
      <c r="FJJ4" s="386"/>
      <c r="FJK4" s="386"/>
      <c r="FJL4" s="386"/>
      <c r="FJM4" s="386"/>
      <c r="FJN4" s="386"/>
      <c r="FJO4" s="386"/>
      <c r="FJP4" s="386"/>
      <c r="FJQ4" s="386"/>
      <c r="FJR4" s="386"/>
      <c r="FJS4" s="386"/>
      <c r="FJT4" s="386"/>
      <c r="FJU4" s="386">
        <v>45870</v>
      </c>
      <c r="FJV4" s="386"/>
      <c r="FJW4" s="386"/>
      <c r="FJX4" s="386"/>
      <c r="FJY4" s="386"/>
      <c r="FJZ4" s="386"/>
      <c r="FKA4" s="386"/>
      <c r="FKB4" s="386"/>
      <c r="FKC4" s="386"/>
      <c r="FKD4" s="386"/>
      <c r="FKE4" s="386"/>
      <c r="FKF4" s="386"/>
      <c r="FKG4" s="386"/>
      <c r="FKH4" s="386"/>
      <c r="FKI4" s="386"/>
      <c r="FKJ4" s="386"/>
      <c r="FKK4" s="386">
        <v>45870</v>
      </c>
      <c r="FKL4" s="386"/>
      <c r="FKM4" s="386"/>
      <c r="FKN4" s="386"/>
      <c r="FKO4" s="386"/>
      <c r="FKP4" s="386"/>
      <c r="FKQ4" s="386"/>
      <c r="FKR4" s="386"/>
      <c r="FKS4" s="386"/>
      <c r="FKT4" s="386"/>
      <c r="FKU4" s="386"/>
      <c r="FKV4" s="386"/>
      <c r="FKW4" s="386"/>
      <c r="FKX4" s="386"/>
      <c r="FKY4" s="386"/>
      <c r="FKZ4" s="386"/>
      <c r="FLA4" s="386">
        <v>45870</v>
      </c>
      <c r="FLB4" s="386"/>
      <c r="FLC4" s="386"/>
      <c r="FLD4" s="386"/>
      <c r="FLE4" s="386"/>
      <c r="FLF4" s="386"/>
      <c r="FLG4" s="386"/>
      <c r="FLH4" s="386"/>
      <c r="FLI4" s="386"/>
      <c r="FLJ4" s="386"/>
      <c r="FLK4" s="386"/>
      <c r="FLL4" s="386"/>
      <c r="FLM4" s="386"/>
      <c r="FLN4" s="386"/>
      <c r="FLO4" s="386"/>
      <c r="FLP4" s="386"/>
      <c r="FLQ4" s="386">
        <v>45870</v>
      </c>
      <c r="FLR4" s="386"/>
      <c r="FLS4" s="386"/>
      <c r="FLT4" s="386"/>
      <c r="FLU4" s="386"/>
      <c r="FLV4" s="386"/>
      <c r="FLW4" s="386"/>
      <c r="FLX4" s="386"/>
      <c r="FLY4" s="386"/>
      <c r="FLZ4" s="386"/>
      <c r="FMA4" s="386"/>
      <c r="FMB4" s="386"/>
      <c r="FMC4" s="386"/>
      <c r="FMD4" s="386"/>
      <c r="FME4" s="386"/>
      <c r="FMF4" s="386"/>
      <c r="FMG4" s="386">
        <v>45870</v>
      </c>
      <c r="FMH4" s="386"/>
      <c r="FMI4" s="386"/>
      <c r="FMJ4" s="386"/>
      <c r="FMK4" s="386"/>
      <c r="FML4" s="386"/>
      <c r="FMM4" s="386"/>
      <c r="FMN4" s="386"/>
      <c r="FMO4" s="386"/>
      <c r="FMP4" s="386"/>
      <c r="FMQ4" s="386"/>
      <c r="FMR4" s="386"/>
      <c r="FMS4" s="386"/>
      <c r="FMT4" s="386"/>
      <c r="FMU4" s="386"/>
      <c r="FMV4" s="386"/>
      <c r="FMW4" s="386">
        <v>45870</v>
      </c>
      <c r="FMX4" s="386"/>
      <c r="FMY4" s="386"/>
      <c r="FMZ4" s="386"/>
      <c r="FNA4" s="386"/>
      <c r="FNB4" s="386"/>
      <c r="FNC4" s="386"/>
      <c r="FND4" s="386"/>
      <c r="FNE4" s="386"/>
      <c r="FNF4" s="386"/>
      <c r="FNG4" s="386"/>
      <c r="FNH4" s="386"/>
      <c r="FNI4" s="386"/>
      <c r="FNJ4" s="386"/>
      <c r="FNK4" s="386"/>
      <c r="FNL4" s="386"/>
      <c r="FNM4" s="386">
        <v>45870</v>
      </c>
      <c r="FNN4" s="386"/>
      <c r="FNO4" s="386"/>
      <c r="FNP4" s="386"/>
      <c r="FNQ4" s="386"/>
      <c r="FNR4" s="386"/>
      <c r="FNS4" s="386"/>
      <c r="FNT4" s="386"/>
      <c r="FNU4" s="386"/>
      <c r="FNV4" s="386"/>
      <c r="FNW4" s="386"/>
      <c r="FNX4" s="386"/>
      <c r="FNY4" s="386"/>
      <c r="FNZ4" s="386"/>
      <c r="FOA4" s="386"/>
      <c r="FOB4" s="386"/>
      <c r="FOC4" s="386">
        <v>45870</v>
      </c>
      <c r="FOD4" s="386"/>
      <c r="FOE4" s="386"/>
      <c r="FOF4" s="386"/>
      <c r="FOG4" s="386"/>
      <c r="FOH4" s="386"/>
      <c r="FOI4" s="386"/>
      <c r="FOJ4" s="386"/>
      <c r="FOK4" s="386"/>
      <c r="FOL4" s="386"/>
      <c r="FOM4" s="386"/>
      <c r="FON4" s="386"/>
      <c r="FOO4" s="386"/>
      <c r="FOP4" s="386"/>
      <c r="FOQ4" s="386"/>
      <c r="FOR4" s="386"/>
      <c r="FOS4" s="386">
        <v>45870</v>
      </c>
      <c r="FOT4" s="386"/>
      <c r="FOU4" s="386"/>
      <c r="FOV4" s="386"/>
      <c r="FOW4" s="386"/>
      <c r="FOX4" s="386"/>
      <c r="FOY4" s="386"/>
      <c r="FOZ4" s="386"/>
      <c r="FPA4" s="386"/>
      <c r="FPB4" s="386"/>
      <c r="FPC4" s="386"/>
      <c r="FPD4" s="386"/>
      <c r="FPE4" s="386"/>
      <c r="FPF4" s="386"/>
      <c r="FPG4" s="386"/>
      <c r="FPH4" s="386"/>
      <c r="FPI4" s="386">
        <v>45870</v>
      </c>
      <c r="FPJ4" s="386"/>
      <c r="FPK4" s="386"/>
      <c r="FPL4" s="386"/>
      <c r="FPM4" s="386"/>
      <c r="FPN4" s="386"/>
      <c r="FPO4" s="386"/>
      <c r="FPP4" s="386"/>
      <c r="FPQ4" s="386"/>
      <c r="FPR4" s="386"/>
      <c r="FPS4" s="386"/>
      <c r="FPT4" s="386"/>
      <c r="FPU4" s="386"/>
      <c r="FPV4" s="386"/>
      <c r="FPW4" s="386"/>
      <c r="FPX4" s="386"/>
      <c r="FPY4" s="386">
        <v>45870</v>
      </c>
      <c r="FPZ4" s="386"/>
      <c r="FQA4" s="386"/>
      <c r="FQB4" s="386"/>
      <c r="FQC4" s="386"/>
      <c r="FQD4" s="386"/>
      <c r="FQE4" s="386"/>
      <c r="FQF4" s="386"/>
      <c r="FQG4" s="386"/>
      <c r="FQH4" s="386"/>
      <c r="FQI4" s="386"/>
      <c r="FQJ4" s="386"/>
      <c r="FQK4" s="386"/>
      <c r="FQL4" s="386"/>
      <c r="FQM4" s="386"/>
      <c r="FQN4" s="386"/>
      <c r="FQO4" s="386">
        <v>45870</v>
      </c>
      <c r="FQP4" s="386"/>
      <c r="FQQ4" s="386"/>
      <c r="FQR4" s="386"/>
      <c r="FQS4" s="386"/>
      <c r="FQT4" s="386"/>
      <c r="FQU4" s="386"/>
      <c r="FQV4" s="386"/>
      <c r="FQW4" s="386"/>
      <c r="FQX4" s="386"/>
      <c r="FQY4" s="386"/>
      <c r="FQZ4" s="386"/>
      <c r="FRA4" s="386"/>
      <c r="FRB4" s="386"/>
      <c r="FRC4" s="386"/>
      <c r="FRD4" s="386"/>
      <c r="FRE4" s="386">
        <v>45870</v>
      </c>
      <c r="FRF4" s="386"/>
      <c r="FRG4" s="386"/>
      <c r="FRH4" s="386"/>
      <c r="FRI4" s="386"/>
      <c r="FRJ4" s="386"/>
      <c r="FRK4" s="386"/>
      <c r="FRL4" s="386"/>
      <c r="FRM4" s="386"/>
      <c r="FRN4" s="386"/>
      <c r="FRO4" s="386"/>
      <c r="FRP4" s="386"/>
      <c r="FRQ4" s="386"/>
      <c r="FRR4" s="386"/>
      <c r="FRS4" s="386"/>
      <c r="FRT4" s="386"/>
      <c r="FRU4" s="386">
        <v>45870</v>
      </c>
      <c r="FRV4" s="386"/>
      <c r="FRW4" s="386"/>
      <c r="FRX4" s="386"/>
      <c r="FRY4" s="386"/>
      <c r="FRZ4" s="386"/>
      <c r="FSA4" s="386"/>
      <c r="FSB4" s="386"/>
      <c r="FSC4" s="386"/>
      <c r="FSD4" s="386"/>
      <c r="FSE4" s="386"/>
      <c r="FSF4" s="386"/>
      <c r="FSG4" s="386"/>
      <c r="FSH4" s="386"/>
      <c r="FSI4" s="386"/>
      <c r="FSJ4" s="386"/>
      <c r="FSK4" s="386">
        <v>45870</v>
      </c>
      <c r="FSL4" s="386"/>
      <c r="FSM4" s="386"/>
      <c r="FSN4" s="386"/>
      <c r="FSO4" s="386"/>
      <c r="FSP4" s="386"/>
      <c r="FSQ4" s="386"/>
      <c r="FSR4" s="386"/>
      <c r="FSS4" s="386"/>
      <c r="FST4" s="386"/>
      <c r="FSU4" s="386"/>
      <c r="FSV4" s="386"/>
      <c r="FSW4" s="386"/>
      <c r="FSX4" s="386"/>
      <c r="FSY4" s="386"/>
      <c r="FSZ4" s="386"/>
      <c r="FTA4" s="386">
        <v>45870</v>
      </c>
      <c r="FTB4" s="386"/>
      <c r="FTC4" s="386"/>
      <c r="FTD4" s="386"/>
      <c r="FTE4" s="386"/>
      <c r="FTF4" s="386"/>
      <c r="FTG4" s="386"/>
      <c r="FTH4" s="386"/>
      <c r="FTI4" s="386"/>
      <c r="FTJ4" s="386"/>
      <c r="FTK4" s="386"/>
      <c r="FTL4" s="386"/>
      <c r="FTM4" s="386"/>
      <c r="FTN4" s="386"/>
      <c r="FTO4" s="386"/>
      <c r="FTP4" s="386"/>
      <c r="FTQ4" s="386">
        <v>45870</v>
      </c>
      <c r="FTR4" s="386"/>
      <c r="FTS4" s="386"/>
      <c r="FTT4" s="386"/>
      <c r="FTU4" s="386"/>
      <c r="FTV4" s="386"/>
      <c r="FTW4" s="386"/>
      <c r="FTX4" s="386"/>
      <c r="FTY4" s="386"/>
      <c r="FTZ4" s="386"/>
      <c r="FUA4" s="386"/>
      <c r="FUB4" s="386"/>
      <c r="FUC4" s="386"/>
      <c r="FUD4" s="386"/>
      <c r="FUE4" s="386"/>
      <c r="FUF4" s="386"/>
      <c r="FUG4" s="386">
        <v>45870</v>
      </c>
      <c r="FUH4" s="386"/>
      <c r="FUI4" s="386"/>
      <c r="FUJ4" s="386"/>
      <c r="FUK4" s="386"/>
      <c r="FUL4" s="386"/>
      <c r="FUM4" s="386"/>
      <c r="FUN4" s="386"/>
      <c r="FUO4" s="386"/>
      <c r="FUP4" s="386"/>
      <c r="FUQ4" s="386"/>
      <c r="FUR4" s="386"/>
      <c r="FUS4" s="386"/>
      <c r="FUT4" s="386"/>
      <c r="FUU4" s="386"/>
      <c r="FUV4" s="386"/>
      <c r="FUW4" s="386">
        <v>45870</v>
      </c>
      <c r="FUX4" s="386"/>
      <c r="FUY4" s="386"/>
      <c r="FUZ4" s="386"/>
      <c r="FVA4" s="386"/>
      <c r="FVB4" s="386"/>
      <c r="FVC4" s="386"/>
      <c r="FVD4" s="386"/>
      <c r="FVE4" s="386"/>
      <c r="FVF4" s="386"/>
      <c r="FVG4" s="386"/>
      <c r="FVH4" s="386"/>
      <c r="FVI4" s="386"/>
      <c r="FVJ4" s="386"/>
      <c r="FVK4" s="386"/>
      <c r="FVL4" s="386"/>
      <c r="FVM4" s="386">
        <v>45870</v>
      </c>
      <c r="FVN4" s="386"/>
      <c r="FVO4" s="386"/>
      <c r="FVP4" s="386"/>
      <c r="FVQ4" s="386"/>
      <c r="FVR4" s="386"/>
      <c r="FVS4" s="386"/>
      <c r="FVT4" s="386"/>
      <c r="FVU4" s="386"/>
      <c r="FVV4" s="386"/>
      <c r="FVW4" s="386"/>
      <c r="FVX4" s="386"/>
      <c r="FVY4" s="386"/>
      <c r="FVZ4" s="386"/>
      <c r="FWA4" s="386"/>
      <c r="FWB4" s="386"/>
      <c r="FWC4" s="386">
        <v>45870</v>
      </c>
      <c r="FWD4" s="386"/>
      <c r="FWE4" s="386"/>
      <c r="FWF4" s="386"/>
      <c r="FWG4" s="386"/>
      <c r="FWH4" s="386"/>
      <c r="FWI4" s="386"/>
      <c r="FWJ4" s="386"/>
      <c r="FWK4" s="386"/>
      <c r="FWL4" s="386"/>
      <c r="FWM4" s="386"/>
      <c r="FWN4" s="386"/>
      <c r="FWO4" s="386"/>
      <c r="FWP4" s="386"/>
      <c r="FWQ4" s="386"/>
      <c r="FWR4" s="386"/>
      <c r="FWS4" s="386">
        <v>45870</v>
      </c>
      <c r="FWT4" s="386"/>
      <c r="FWU4" s="386"/>
      <c r="FWV4" s="386"/>
      <c r="FWW4" s="386"/>
      <c r="FWX4" s="386"/>
      <c r="FWY4" s="386"/>
      <c r="FWZ4" s="386"/>
      <c r="FXA4" s="386"/>
      <c r="FXB4" s="386"/>
      <c r="FXC4" s="386"/>
      <c r="FXD4" s="386"/>
      <c r="FXE4" s="386"/>
      <c r="FXF4" s="386"/>
      <c r="FXG4" s="386"/>
      <c r="FXH4" s="386"/>
      <c r="FXI4" s="386">
        <v>45870</v>
      </c>
      <c r="FXJ4" s="386"/>
      <c r="FXK4" s="386"/>
      <c r="FXL4" s="386"/>
      <c r="FXM4" s="386"/>
      <c r="FXN4" s="386"/>
      <c r="FXO4" s="386"/>
      <c r="FXP4" s="386"/>
      <c r="FXQ4" s="386"/>
      <c r="FXR4" s="386"/>
      <c r="FXS4" s="386"/>
      <c r="FXT4" s="386"/>
      <c r="FXU4" s="386"/>
      <c r="FXV4" s="386"/>
      <c r="FXW4" s="386"/>
      <c r="FXX4" s="386"/>
      <c r="FXY4" s="386">
        <v>45870</v>
      </c>
      <c r="FXZ4" s="386"/>
      <c r="FYA4" s="386"/>
      <c r="FYB4" s="386"/>
      <c r="FYC4" s="386"/>
      <c r="FYD4" s="386"/>
      <c r="FYE4" s="386"/>
      <c r="FYF4" s="386"/>
      <c r="FYG4" s="386"/>
      <c r="FYH4" s="386"/>
      <c r="FYI4" s="386"/>
      <c r="FYJ4" s="386"/>
      <c r="FYK4" s="386"/>
      <c r="FYL4" s="386"/>
      <c r="FYM4" s="386"/>
      <c r="FYN4" s="386"/>
      <c r="FYO4" s="386">
        <v>45870</v>
      </c>
      <c r="FYP4" s="386"/>
      <c r="FYQ4" s="386"/>
      <c r="FYR4" s="386"/>
      <c r="FYS4" s="386"/>
      <c r="FYT4" s="386"/>
      <c r="FYU4" s="386"/>
      <c r="FYV4" s="386"/>
      <c r="FYW4" s="386"/>
      <c r="FYX4" s="386"/>
      <c r="FYY4" s="386"/>
      <c r="FYZ4" s="386"/>
      <c r="FZA4" s="386"/>
      <c r="FZB4" s="386"/>
      <c r="FZC4" s="386"/>
      <c r="FZD4" s="386"/>
      <c r="FZE4" s="386">
        <v>45870</v>
      </c>
      <c r="FZF4" s="386"/>
      <c r="FZG4" s="386"/>
      <c r="FZH4" s="386"/>
      <c r="FZI4" s="386"/>
      <c r="FZJ4" s="386"/>
      <c r="FZK4" s="386"/>
      <c r="FZL4" s="386"/>
      <c r="FZM4" s="386"/>
      <c r="FZN4" s="386"/>
      <c r="FZO4" s="386"/>
      <c r="FZP4" s="386"/>
      <c r="FZQ4" s="386"/>
      <c r="FZR4" s="386"/>
      <c r="FZS4" s="386"/>
      <c r="FZT4" s="386"/>
      <c r="FZU4" s="386">
        <v>45870</v>
      </c>
      <c r="FZV4" s="386"/>
      <c r="FZW4" s="386"/>
      <c r="FZX4" s="386"/>
      <c r="FZY4" s="386"/>
      <c r="FZZ4" s="386"/>
      <c r="GAA4" s="386"/>
      <c r="GAB4" s="386"/>
      <c r="GAC4" s="386"/>
      <c r="GAD4" s="386"/>
      <c r="GAE4" s="386"/>
      <c r="GAF4" s="386"/>
      <c r="GAG4" s="386"/>
      <c r="GAH4" s="386"/>
      <c r="GAI4" s="386"/>
      <c r="GAJ4" s="386"/>
      <c r="GAK4" s="386">
        <v>45870</v>
      </c>
      <c r="GAL4" s="386"/>
      <c r="GAM4" s="386"/>
      <c r="GAN4" s="386"/>
      <c r="GAO4" s="386"/>
      <c r="GAP4" s="386"/>
      <c r="GAQ4" s="386"/>
      <c r="GAR4" s="386"/>
      <c r="GAS4" s="386"/>
      <c r="GAT4" s="386"/>
      <c r="GAU4" s="386"/>
      <c r="GAV4" s="386"/>
      <c r="GAW4" s="386"/>
      <c r="GAX4" s="386"/>
      <c r="GAY4" s="386"/>
      <c r="GAZ4" s="386"/>
      <c r="GBA4" s="386">
        <v>45870</v>
      </c>
      <c r="GBB4" s="386"/>
      <c r="GBC4" s="386"/>
      <c r="GBD4" s="386"/>
      <c r="GBE4" s="386"/>
      <c r="GBF4" s="386"/>
      <c r="GBG4" s="386"/>
      <c r="GBH4" s="386"/>
      <c r="GBI4" s="386"/>
      <c r="GBJ4" s="386"/>
      <c r="GBK4" s="386"/>
      <c r="GBL4" s="386"/>
      <c r="GBM4" s="386"/>
      <c r="GBN4" s="386"/>
      <c r="GBO4" s="386"/>
      <c r="GBP4" s="386"/>
      <c r="GBQ4" s="386">
        <v>45870</v>
      </c>
      <c r="GBR4" s="386"/>
      <c r="GBS4" s="386"/>
      <c r="GBT4" s="386"/>
      <c r="GBU4" s="386"/>
      <c r="GBV4" s="386"/>
      <c r="GBW4" s="386"/>
      <c r="GBX4" s="386"/>
      <c r="GBY4" s="386"/>
      <c r="GBZ4" s="386"/>
      <c r="GCA4" s="386"/>
      <c r="GCB4" s="386"/>
      <c r="GCC4" s="386"/>
      <c r="GCD4" s="386"/>
      <c r="GCE4" s="386"/>
      <c r="GCF4" s="386"/>
      <c r="GCG4" s="386">
        <v>45870</v>
      </c>
      <c r="GCH4" s="386"/>
      <c r="GCI4" s="386"/>
      <c r="GCJ4" s="386"/>
      <c r="GCK4" s="386"/>
      <c r="GCL4" s="386"/>
      <c r="GCM4" s="386"/>
      <c r="GCN4" s="386"/>
      <c r="GCO4" s="386"/>
      <c r="GCP4" s="386"/>
      <c r="GCQ4" s="386"/>
      <c r="GCR4" s="386"/>
      <c r="GCS4" s="386"/>
      <c r="GCT4" s="386"/>
      <c r="GCU4" s="386"/>
      <c r="GCV4" s="386"/>
      <c r="GCW4" s="386">
        <v>45870</v>
      </c>
      <c r="GCX4" s="386"/>
      <c r="GCY4" s="386"/>
      <c r="GCZ4" s="386"/>
      <c r="GDA4" s="386"/>
      <c r="GDB4" s="386"/>
      <c r="GDC4" s="386"/>
      <c r="GDD4" s="386"/>
      <c r="GDE4" s="386"/>
      <c r="GDF4" s="386"/>
      <c r="GDG4" s="386"/>
      <c r="GDH4" s="386"/>
      <c r="GDI4" s="386"/>
      <c r="GDJ4" s="386"/>
      <c r="GDK4" s="386"/>
      <c r="GDL4" s="386"/>
      <c r="GDM4" s="386">
        <v>45870</v>
      </c>
      <c r="GDN4" s="386"/>
      <c r="GDO4" s="386"/>
      <c r="GDP4" s="386"/>
      <c r="GDQ4" s="386"/>
      <c r="GDR4" s="386"/>
      <c r="GDS4" s="386"/>
      <c r="GDT4" s="386"/>
      <c r="GDU4" s="386"/>
      <c r="GDV4" s="386"/>
      <c r="GDW4" s="386"/>
      <c r="GDX4" s="386"/>
      <c r="GDY4" s="386"/>
      <c r="GDZ4" s="386"/>
      <c r="GEA4" s="386"/>
      <c r="GEB4" s="386"/>
      <c r="GEC4" s="386">
        <v>45870</v>
      </c>
      <c r="GED4" s="386"/>
      <c r="GEE4" s="386"/>
      <c r="GEF4" s="386"/>
      <c r="GEG4" s="386"/>
      <c r="GEH4" s="386"/>
      <c r="GEI4" s="386"/>
      <c r="GEJ4" s="386"/>
      <c r="GEK4" s="386"/>
      <c r="GEL4" s="386"/>
      <c r="GEM4" s="386"/>
      <c r="GEN4" s="386"/>
      <c r="GEO4" s="386"/>
      <c r="GEP4" s="386"/>
      <c r="GEQ4" s="386"/>
      <c r="GER4" s="386"/>
      <c r="GES4" s="386">
        <v>45870</v>
      </c>
      <c r="GET4" s="386"/>
      <c r="GEU4" s="386"/>
      <c r="GEV4" s="386"/>
      <c r="GEW4" s="386"/>
      <c r="GEX4" s="386"/>
      <c r="GEY4" s="386"/>
      <c r="GEZ4" s="386"/>
      <c r="GFA4" s="386"/>
      <c r="GFB4" s="386"/>
      <c r="GFC4" s="386"/>
      <c r="GFD4" s="386"/>
      <c r="GFE4" s="386"/>
      <c r="GFF4" s="386"/>
      <c r="GFG4" s="386"/>
      <c r="GFH4" s="386"/>
      <c r="GFI4" s="386">
        <v>45870</v>
      </c>
      <c r="GFJ4" s="386"/>
      <c r="GFK4" s="386"/>
      <c r="GFL4" s="386"/>
      <c r="GFM4" s="386"/>
      <c r="GFN4" s="386"/>
      <c r="GFO4" s="386"/>
      <c r="GFP4" s="386"/>
      <c r="GFQ4" s="386"/>
      <c r="GFR4" s="386"/>
      <c r="GFS4" s="386"/>
      <c r="GFT4" s="386"/>
      <c r="GFU4" s="386"/>
      <c r="GFV4" s="386"/>
      <c r="GFW4" s="386"/>
      <c r="GFX4" s="386"/>
      <c r="GFY4" s="386">
        <v>45870</v>
      </c>
      <c r="GFZ4" s="386"/>
      <c r="GGA4" s="386"/>
      <c r="GGB4" s="386"/>
      <c r="GGC4" s="386"/>
      <c r="GGD4" s="386"/>
      <c r="GGE4" s="386"/>
      <c r="GGF4" s="386"/>
      <c r="GGG4" s="386"/>
      <c r="GGH4" s="386"/>
      <c r="GGI4" s="386"/>
      <c r="GGJ4" s="386"/>
      <c r="GGK4" s="386"/>
      <c r="GGL4" s="386"/>
      <c r="GGM4" s="386"/>
      <c r="GGN4" s="386"/>
      <c r="GGO4" s="386">
        <v>45870</v>
      </c>
      <c r="GGP4" s="386"/>
      <c r="GGQ4" s="386"/>
      <c r="GGR4" s="386"/>
      <c r="GGS4" s="386"/>
      <c r="GGT4" s="386"/>
      <c r="GGU4" s="386"/>
      <c r="GGV4" s="386"/>
      <c r="GGW4" s="386"/>
      <c r="GGX4" s="386"/>
      <c r="GGY4" s="386"/>
      <c r="GGZ4" s="386"/>
      <c r="GHA4" s="386"/>
      <c r="GHB4" s="386"/>
      <c r="GHC4" s="386"/>
      <c r="GHD4" s="386"/>
      <c r="GHE4" s="386">
        <v>45870</v>
      </c>
      <c r="GHF4" s="386"/>
      <c r="GHG4" s="386"/>
      <c r="GHH4" s="386"/>
      <c r="GHI4" s="386"/>
      <c r="GHJ4" s="386"/>
      <c r="GHK4" s="386"/>
      <c r="GHL4" s="386"/>
      <c r="GHM4" s="386"/>
      <c r="GHN4" s="386"/>
      <c r="GHO4" s="386"/>
      <c r="GHP4" s="386"/>
      <c r="GHQ4" s="386"/>
      <c r="GHR4" s="386"/>
      <c r="GHS4" s="386"/>
      <c r="GHT4" s="386"/>
      <c r="GHU4" s="386">
        <v>45870</v>
      </c>
      <c r="GHV4" s="386"/>
      <c r="GHW4" s="386"/>
      <c r="GHX4" s="386"/>
      <c r="GHY4" s="386"/>
      <c r="GHZ4" s="386"/>
      <c r="GIA4" s="386"/>
      <c r="GIB4" s="386"/>
      <c r="GIC4" s="386"/>
      <c r="GID4" s="386"/>
      <c r="GIE4" s="386"/>
      <c r="GIF4" s="386"/>
      <c r="GIG4" s="386"/>
      <c r="GIH4" s="386"/>
      <c r="GII4" s="386"/>
      <c r="GIJ4" s="386"/>
      <c r="GIK4" s="386">
        <v>45870</v>
      </c>
      <c r="GIL4" s="386"/>
      <c r="GIM4" s="386"/>
      <c r="GIN4" s="386"/>
      <c r="GIO4" s="386"/>
      <c r="GIP4" s="386"/>
      <c r="GIQ4" s="386"/>
      <c r="GIR4" s="386"/>
      <c r="GIS4" s="386"/>
      <c r="GIT4" s="386"/>
      <c r="GIU4" s="386"/>
      <c r="GIV4" s="386"/>
      <c r="GIW4" s="386"/>
      <c r="GIX4" s="386"/>
      <c r="GIY4" s="386"/>
      <c r="GIZ4" s="386"/>
      <c r="GJA4" s="386">
        <v>45870</v>
      </c>
      <c r="GJB4" s="386"/>
      <c r="GJC4" s="386"/>
      <c r="GJD4" s="386"/>
      <c r="GJE4" s="386"/>
      <c r="GJF4" s="386"/>
      <c r="GJG4" s="386"/>
      <c r="GJH4" s="386"/>
      <c r="GJI4" s="386"/>
      <c r="GJJ4" s="386"/>
      <c r="GJK4" s="386"/>
      <c r="GJL4" s="386"/>
      <c r="GJM4" s="386"/>
      <c r="GJN4" s="386"/>
      <c r="GJO4" s="386"/>
      <c r="GJP4" s="386"/>
      <c r="GJQ4" s="386">
        <v>45870</v>
      </c>
      <c r="GJR4" s="386"/>
      <c r="GJS4" s="386"/>
      <c r="GJT4" s="386"/>
      <c r="GJU4" s="386"/>
      <c r="GJV4" s="386"/>
      <c r="GJW4" s="386"/>
      <c r="GJX4" s="386"/>
      <c r="GJY4" s="386"/>
      <c r="GJZ4" s="386"/>
      <c r="GKA4" s="386"/>
      <c r="GKB4" s="386"/>
      <c r="GKC4" s="386"/>
      <c r="GKD4" s="386"/>
      <c r="GKE4" s="386"/>
      <c r="GKF4" s="386"/>
      <c r="GKG4" s="386">
        <v>45870</v>
      </c>
      <c r="GKH4" s="386"/>
      <c r="GKI4" s="386"/>
      <c r="GKJ4" s="386"/>
      <c r="GKK4" s="386"/>
      <c r="GKL4" s="386"/>
      <c r="GKM4" s="386"/>
      <c r="GKN4" s="386"/>
      <c r="GKO4" s="386"/>
      <c r="GKP4" s="386"/>
      <c r="GKQ4" s="386"/>
      <c r="GKR4" s="386"/>
      <c r="GKS4" s="386"/>
      <c r="GKT4" s="386"/>
      <c r="GKU4" s="386"/>
      <c r="GKV4" s="386"/>
      <c r="GKW4" s="386">
        <v>45870</v>
      </c>
      <c r="GKX4" s="386"/>
      <c r="GKY4" s="386"/>
      <c r="GKZ4" s="386"/>
      <c r="GLA4" s="386"/>
      <c r="GLB4" s="386"/>
      <c r="GLC4" s="386"/>
      <c r="GLD4" s="386"/>
      <c r="GLE4" s="386"/>
      <c r="GLF4" s="386"/>
      <c r="GLG4" s="386"/>
      <c r="GLH4" s="386"/>
      <c r="GLI4" s="386"/>
      <c r="GLJ4" s="386"/>
      <c r="GLK4" s="386"/>
      <c r="GLL4" s="386"/>
      <c r="GLM4" s="386">
        <v>45870</v>
      </c>
      <c r="GLN4" s="386"/>
      <c r="GLO4" s="386"/>
      <c r="GLP4" s="386"/>
      <c r="GLQ4" s="386"/>
      <c r="GLR4" s="386"/>
      <c r="GLS4" s="386"/>
      <c r="GLT4" s="386"/>
      <c r="GLU4" s="386"/>
      <c r="GLV4" s="386"/>
      <c r="GLW4" s="386"/>
      <c r="GLX4" s="386"/>
      <c r="GLY4" s="386"/>
      <c r="GLZ4" s="386"/>
      <c r="GMA4" s="386"/>
      <c r="GMB4" s="386"/>
      <c r="GMC4" s="386">
        <v>45870</v>
      </c>
      <c r="GMD4" s="386"/>
      <c r="GME4" s="386"/>
      <c r="GMF4" s="386"/>
      <c r="GMG4" s="386"/>
      <c r="GMH4" s="386"/>
      <c r="GMI4" s="386"/>
      <c r="GMJ4" s="386"/>
      <c r="GMK4" s="386"/>
      <c r="GML4" s="386"/>
      <c r="GMM4" s="386"/>
      <c r="GMN4" s="386"/>
      <c r="GMO4" s="386"/>
      <c r="GMP4" s="386"/>
      <c r="GMQ4" s="386"/>
      <c r="GMR4" s="386"/>
      <c r="GMS4" s="386">
        <v>45870</v>
      </c>
      <c r="GMT4" s="386"/>
      <c r="GMU4" s="386"/>
      <c r="GMV4" s="386"/>
      <c r="GMW4" s="386"/>
      <c r="GMX4" s="386"/>
      <c r="GMY4" s="386"/>
      <c r="GMZ4" s="386"/>
      <c r="GNA4" s="386"/>
      <c r="GNB4" s="386"/>
      <c r="GNC4" s="386"/>
      <c r="GND4" s="386"/>
      <c r="GNE4" s="386"/>
      <c r="GNF4" s="386"/>
      <c r="GNG4" s="386"/>
      <c r="GNH4" s="386"/>
      <c r="GNI4" s="386">
        <v>45870</v>
      </c>
      <c r="GNJ4" s="386"/>
      <c r="GNK4" s="386"/>
      <c r="GNL4" s="386"/>
      <c r="GNM4" s="386"/>
      <c r="GNN4" s="386"/>
      <c r="GNO4" s="386"/>
      <c r="GNP4" s="386"/>
      <c r="GNQ4" s="386"/>
      <c r="GNR4" s="386"/>
      <c r="GNS4" s="386"/>
      <c r="GNT4" s="386"/>
      <c r="GNU4" s="386"/>
      <c r="GNV4" s="386"/>
      <c r="GNW4" s="386"/>
      <c r="GNX4" s="386"/>
      <c r="GNY4" s="386">
        <v>45870</v>
      </c>
      <c r="GNZ4" s="386"/>
      <c r="GOA4" s="386"/>
      <c r="GOB4" s="386"/>
      <c r="GOC4" s="386"/>
      <c r="GOD4" s="386"/>
      <c r="GOE4" s="386"/>
      <c r="GOF4" s="386"/>
      <c r="GOG4" s="386"/>
      <c r="GOH4" s="386"/>
      <c r="GOI4" s="386"/>
      <c r="GOJ4" s="386"/>
      <c r="GOK4" s="386"/>
      <c r="GOL4" s="386"/>
      <c r="GOM4" s="386"/>
      <c r="GON4" s="386"/>
      <c r="GOO4" s="386">
        <v>45870</v>
      </c>
      <c r="GOP4" s="386"/>
      <c r="GOQ4" s="386"/>
      <c r="GOR4" s="386"/>
      <c r="GOS4" s="386"/>
      <c r="GOT4" s="386"/>
      <c r="GOU4" s="386"/>
      <c r="GOV4" s="386"/>
      <c r="GOW4" s="386"/>
      <c r="GOX4" s="386"/>
      <c r="GOY4" s="386"/>
      <c r="GOZ4" s="386"/>
      <c r="GPA4" s="386"/>
      <c r="GPB4" s="386"/>
      <c r="GPC4" s="386"/>
      <c r="GPD4" s="386"/>
      <c r="GPE4" s="386">
        <v>45870</v>
      </c>
      <c r="GPF4" s="386"/>
      <c r="GPG4" s="386"/>
      <c r="GPH4" s="386"/>
      <c r="GPI4" s="386"/>
      <c r="GPJ4" s="386"/>
      <c r="GPK4" s="386"/>
      <c r="GPL4" s="386"/>
      <c r="GPM4" s="386"/>
      <c r="GPN4" s="386"/>
      <c r="GPO4" s="386"/>
      <c r="GPP4" s="386"/>
      <c r="GPQ4" s="386"/>
      <c r="GPR4" s="386"/>
      <c r="GPS4" s="386"/>
      <c r="GPT4" s="386"/>
      <c r="GPU4" s="386">
        <v>45870</v>
      </c>
      <c r="GPV4" s="386"/>
      <c r="GPW4" s="386"/>
      <c r="GPX4" s="386"/>
      <c r="GPY4" s="386"/>
      <c r="GPZ4" s="386"/>
      <c r="GQA4" s="386"/>
      <c r="GQB4" s="386"/>
      <c r="GQC4" s="386"/>
      <c r="GQD4" s="386"/>
      <c r="GQE4" s="386"/>
      <c r="GQF4" s="386"/>
      <c r="GQG4" s="386"/>
      <c r="GQH4" s="386"/>
      <c r="GQI4" s="386"/>
      <c r="GQJ4" s="386"/>
      <c r="GQK4" s="386">
        <v>45870</v>
      </c>
      <c r="GQL4" s="386"/>
      <c r="GQM4" s="386"/>
      <c r="GQN4" s="386"/>
      <c r="GQO4" s="386"/>
      <c r="GQP4" s="386"/>
      <c r="GQQ4" s="386"/>
      <c r="GQR4" s="386"/>
      <c r="GQS4" s="386"/>
      <c r="GQT4" s="386"/>
      <c r="GQU4" s="386"/>
      <c r="GQV4" s="386"/>
      <c r="GQW4" s="386"/>
      <c r="GQX4" s="386"/>
      <c r="GQY4" s="386"/>
      <c r="GQZ4" s="386"/>
      <c r="GRA4" s="386">
        <v>45870</v>
      </c>
      <c r="GRB4" s="386"/>
      <c r="GRC4" s="386"/>
      <c r="GRD4" s="386"/>
      <c r="GRE4" s="386"/>
      <c r="GRF4" s="386"/>
      <c r="GRG4" s="386"/>
      <c r="GRH4" s="386"/>
      <c r="GRI4" s="386"/>
      <c r="GRJ4" s="386"/>
      <c r="GRK4" s="386"/>
      <c r="GRL4" s="386"/>
      <c r="GRM4" s="386"/>
      <c r="GRN4" s="386"/>
      <c r="GRO4" s="386"/>
      <c r="GRP4" s="386"/>
      <c r="GRQ4" s="386">
        <v>45870</v>
      </c>
      <c r="GRR4" s="386"/>
      <c r="GRS4" s="386"/>
      <c r="GRT4" s="386"/>
      <c r="GRU4" s="386"/>
      <c r="GRV4" s="386"/>
      <c r="GRW4" s="386"/>
      <c r="GRX4" s="386"/>
      <c r="GRY4" s="386"/>
      <c r="GRZ4" s="386"/>
      <c r="GSA4" s="386"/>
      <c r="GSB4" s="386"/>
      <c r="GSC4" s="386"/>
      <c r="GSD4" s="386"/>
      <c r="GSE4" s="386"/>
      <c r="GSF4" s="386"/>
      <c r="GSG4" s="386">
        <v>45870</v>
      </c>
      <c r="GSH4" s="386"/>
      <c r="GSI4" s="386"/>
      <c r="GSJ4" s="386"/>
      <c r="GSK4" s="386"/>
      <c r="GSL4" s="386"/>
      <c r="GSM4" s="386"/>
      <c r="GSN4" s="386"/>
      <c r="GSO4" s="386"/>
      <c r="GSP4" s="386"/>
      <c r="GSQ4" s="386"/>
      <c r="GSR4" s="386"/>
      <c r="GSS4" s="386"/>
      <c r="GST4" s="386"/>
      <c r="GSU4" s="386"/>
      <c r="GSV4" s="386"/>
      <c r="GSW4" s="386">
        <v>45870</v>
      </c>
      <c r="GSX4" s="386"/>
      <c r="GSY4" s="386"/>
      <c r="GSZ4" s="386"/>
      <c r="GTA4" s="386"/>
      <c r="GTB4" s="386"/>
      <c r="GTC4" s="386"/>
      <c r="GTD4" s="386"/>
      <c r="GTE4" s="386"/>
      <c r="GTF4" s="386"/>
      <c r="GTG4" s="386"/>
      <c r="GTH4" s="386"/>
      <c r="GTI4" s="386"/>
      <c r="GTJ4" s="386"/>
      <c r="GTK4" s="386"/>
      <c r="GTL4" s="386"/>
      <c r="GTM4" s="386">
        <v>45870</v>
      </c>
      <c r="GTN4" s="386"/>
      <c r="GTO4" s="386"/>
      <c r="GTP4" s="386"/>
      <c r="GTQ4" s="386"/>
      <c r="GTR4" s="386"/>
      <c r="GTS4" s="386"/>
      <c r="GTT4" s="386"/>
      <c r="GTU4" s="386"/>
      <c r="GTV4" s="386"/>
      <c r="GTW4" s="386"/>
      <c r="GTX4" s="386"/>
      <c r="GTY4" s="386"/>
      <c r="GTZ4" s="386"/>
      <c r="GUA4" s="386"/>
      <c r="GUB4" s="386"/>
      <c r="GUC4" s="386">
        <v>45870</v>
      </c>
      <c r="GUD4" s="386"/>
      <c r="GUE4" s="386"/>
      <c r="GUF4" s="386"/>
      <c r="GUG4" s="386"/>
      <c r="GUH4" s="386"/>
      <c r="GUI4" s="386"/>
      <c r="GUJ4" s="386"/>
      <c r="GUK4" s="386"/>
      <c r="GUL4" s="386"/>
      <c r="GUM4" s="386"/>
      <c r="GUN4" s="386"/>
      <c r="GUO4" s="386"/>
      <c r="GUP4" s="386"/>
      <c r="GUQ4" s="386"/>
      <c r="GUR4" s="386"/>
      <c r="GUS4" s="386">
        <v>45870</v>
      </c>
      <c r="GUT4" s="386"/>
      <c r="GUU4" s="386"/>
      <c r="GUV4" s="386"/>
      <c r="GUW4" s="386"/>
      <c r="GUX4" s="386"/>
      <c r="GUY4" s="386"/>
      <c r="GUZ4" s="386"/>
      <c r="GVA4" s="386"/>
      <c r="GVB4" s="386"/>
      <c r="GVC4" s="386"/>
      <c r="GVD4" s="386"/>
      <c r="GVE4" s="386"/>
      <c r="GVF4" s="386"/>
      <c r="GVG4" s="386"/>
      <c r="GVH4" s="386"/>
      <c r="GVI4" s="386">
        <v>45870</v>
      </c>
      <c r="GVJ4" s="386"/>
      <c r="GVK4" s="386"/>
      <c r="GVL4" s="386"/>
      <c r="GVM4" s="386"/>
      <c r="GVN4" s="386"/>
      <c r="GVO4" s="386"/>
      <c r="GVP4" s="386"/>
      <c r="GVQ4" s="386"/>
      <c r="GVR4" s="386"/>
      <c r="GVS4" s="386"/>
      <c r="GVT4" s="386"/>
      <c r="GVU4" s="386"/>
      <c r="GVV4" s="386"/>
      <c r="GVW4" s="386"/>
      <c r="GVX4" s="386"/>
      <c r="GVY4" s="386">
        <v>45870</v>
      </c>
      <c r="GVZ4" s="386"/>
      <c r="GWA4" s="386"/>
      <c r="GWB4" s="386"/>
      <c r="GWC4" s="386"/>
      <c r="GWD4" s="386"/>
      <c r="GWE4" s="386"/>
      <c r="GWF4" s="386"/>
      <c r="GWG4" s="386"/>
      <c r="GWH4" s="386"/>
      <c r="GWI4" s="386"/>
      <c r="GWJ4" s="386"/>
      <c r="GWK4" s="386"/>
      <c r="GWL4" s="386"/>
      <c r="GWM4" s="386"/>
      <c r="GWN4" s="386"/>
      <c r="GWO4" s="386">
        <v>45870</v>
      </c>
      <c r="GWP4" s="386"/>
      <c r="GWQ4" s="386"/>
      <c r="GWR4" s="386"/>
      <c r="GWS4" s="386"/>
      <c r="GWT4" s="386"/>
      <c r="GWU4" s="386"/>
      <c r="GWV4" s="386"/>
      <c r="GWW4" s="386"/>
      <c r="GWX4" s="386"/>
      <c r="GWY4" s="386"/>
      <c r="GWZ4" s="386"/>
      <c r="GXA4" s="386"/>
      <c r="GXB4" s="386"/>
      <c r="GXC4" s="386"/>
      <c r="GXD4" s="386"/>
      <c r="GXE4" s="386">
        <v>45870</v>
      </c>
      <c r="GXF4" s="386"/>
      <c r="GXG4" s="386"/>
      <c r="GXH4" s="386"/>
      <c r="GXI4" s="386"/>
      <c r="GXJ4" s="386"/>
      <c r="GXK4" s="386"/>
      <c r="GXL4" s="386"/>
      <c r="GXM4" s="386"/>
      <c r="GXN4" s="386"/>
      <c r="GXO4" s="386"/>
      <c r="GXP4" s="386"/>
      <c r="GXQ4" s="386"/>
      <c r="GXR4" s="386"/>
      <c r="GXS4" s="386"/>
      <c r="GXT4" s="386"/>
      <c r="GXU4" s="386">
        <v>45870</v>
      </c>
      <c r="GXV4" s="386"/>
      <c r="GXW4" s="386"/>
      <c r="GXX4" s="386"/>
      <c r="GXY4" s="386"/>
      <c r="GXZ4" s="386"/>
      <c r="GYA4" s="386"/>
      <c r="GYB4" s="386"/>
      <c r="GYC4" s="386"/>
      <c r="GYD4" s="386"/>
      <c r="GYE4" s="386"/>
      <c r="GYF4" s="386"/>
      <c r="GYG4" s="386"/>
      <c r="GYH4" s="386"/>
      <c r="GYI4" s="386"/>
      <c r="GYJ4" s="386"/>
      <c r="GYK4" s="386">
        <v>45870</v>
      </c>
      <c r="GYL4" s="386"/>
      <c r="GYM4" s="386"/>
      <c r="GYN4" s="386"/>
      <c r="GYO4" s="386"/>
      <c r="GYP4" s="386"/>
      <c r="GYQ4" s="386"/>
      <c r="GYR4" s="386"/>
      <c r="GYS4" s="386"/>
      <c r="GYT4" s="386"/>
      <c r="GYU4" s="386"/>
      <c r="GYV4" s="386"/>
      <c r="GYW4" s="386"/>
      <c r="GYX4" s="386"/>
      <c r="GYY4" s="386"/>
      <c r="GYZ4" s="386"/>
      <c r="GZA4" s="386">
        <v>45870</v>
      </c>
      <c r="GZB4" s="386"/>
      <c r="GZC4" s="386"/>
      <c r="GZD4" s="386"/>
      <c r="GZE4" s="386"/>
      <c r="GZF4" s="386"/>
      <c r="GZG4" s="386"/>
      <c r="GZH4" s="386"/>
      <c r="GZI4" s="386"/>
      <c r="GZJ4" s="386"/>
      <c r="GZK4" s="386"/>
      <c r="GZL4" s="386"/>
      <c r="GZM4" s="386"/>
      <c r="GZN4" s="386"/>
      <c r="GZO4" s="386"/>
      <c r="GZP4" s="386"/>
      <c r="GZQ4" s="386">
        <v>45870</v>
      </c>
      <c r="GZR4" s="386"/>
      <c r="GZS4" s="386"/>
      <c r="GZT4" s="386"/>
      <c r="GZU4" s="386"/>
      <c r="GZV4" s="386"/>
      <c r="GZW4" s="386"/>
      <c r="GZX4" s="386"/>
      <c r="GZY4" s="386"/>
      <c r="GZZ4" s="386"/>
      <c r="HAA4" s="386"/>
      <c r="HAB4" s="386"/>
      <c r="HAC4" s="386"/>
      <c r="HAD4" s="386"/>
      <c r="HAE4" s="386"/>
      <c r="HAF4" s="386"/>
      <c r="HAG4" s="386">
        <v>45870</v>
      </c>
      <c r="HAH4" s="386"/>
      <c r="HAI4" s="386"/>
      <c r="HAJ4" s="386"/>
      <c r="HAK4" s="386"/>
      <c r="HAL4" s="386"/>
      <c r="HAM4" s="386"/>
      <c r="HAN4" s="386"/>
      <c r="HAO4" s="386"/>
      <c r="HAP4" s="386"/>
      <c r="HAQ4" s="386"/>
      <c r="HAR4" s="386"/>
      <c r="HAS4" s="386"/>
      <c r="HAT4" s="386"/>
      <c r="HAU4" s="386"/>
      <c r="HAV4" s="386"/>
      <c r="HAW4" s="386">
        <v>45870</v>
      </c>
      <c r="HAX4" s="386"/>
      <c r="HAY4" s="386"/>
      <c r="HAZ4" s="386"/>
      <c r="HBA4" s="386"/>
      <c r="HBB4" s="386"/>
      <c r="HBC4" s="386"/>
      <c r="HBD4" s="386"/>
      <c r="HBE4" s="386"/>
      <c r="HBF4" s="386"/>
      <c r="HBG4" s="386"/>
      <c r="HBH4" s="386"/>
      <c r="HBI4" s="386"/>
      <c r="HBJ4" s="386"/>
      <c r="HBK4" s="386"/>
      <c r="HBL4" s="386"/>
      <c r="HBM4" s="386">
        <v>45870</v>
      </c>
      <c r="HBN4" s="386"/>
      <c r="HBO4" s="386"/>
      <c r="HBP4" s="386"/>
      <c r="HBQ4" s="386"/>
      <c r="HBR4" s="386"/>
      <c r="HBS4" s="386"/>
      <c r="HBT4" s="386"/>
      <c r="HBU4" s="386"/>
      <c r="HBV4" s="386"/>
      <c r="HBW4" s="386"/>
      <c r="HBX4" s="386"/>
      <c r="HBY4" s="386"/>
      <c r="HBZ4" s="386"/>
      <c r="HCA4" s="386"/>
      <c r="HCB4" s="386"/>
      <c r="HCC4" s="386">
        <v>45870</v>
      </c>
      <c r="HCD4" s="386"/>
      <c r="HCE4" s="386"/>
      <c r="HCF4" s="386"/>
      <c r="HCG4" s="386"/>
      <c r="HCH4" s="386"/>
      <c r="HCI4" s="386"/>
      <c r="HCJ4" s="386"/>
      <c r="HCK4" s="386"/>
      <c r="HCL4" s="386"/>
      <c r="HCM4" s="386"/>
      <c r="HCN4" s="386"/>
      <c r="HCO4" s="386"/>
      <c r="HCP4" s="386"/>
      <c r="HCQ4" s="386"/>
      <c r="HCR4" s="386"/>
      <c r="HCS4" s="386">
        <v>45870</v>
      </c>
      <c r="HCT4" s="386"/>
      <c r="HCU4" s="386"/>
      <c r="HCV4" s="386"/>
      <c r="HCW4" s="386"/>
      <c r="HCX4" s="386"/>
      <c r="HCY4" s="386"/>
      <c r="HCZ4" s="386"/>
      <c r="HDA4" s="386"/>
      <c r="HDB4" s="386"/>
      <c r="HDC4" s="386"/>
      <c r="HDD4" s="386"/>
      <c r="HDE4" s="386"/>
      <c r="HDF4" s="386"/>
      <c r="HDG4" s="386"/>
      <c r="HDH4" s="386"/>
      <c r="HDI4" s="386">
        <v>45870</v>
      </c>
      <c r="HDJ4" s="386"/>
      <c r="HDK4" s="386"/>
      <c r="HDL4" s="386"/>
      <c r="HDM4" s="386"/>
      <c r="HDN4" s="386"/>
      <c r="HDO4" s="386"/>
      <c r="HDP4" s="386"/>
      <c r="HDQ4" s="386"/>
      <c r="HDR4" s="386"/>
      <c r="HDS4" s="386"/>
      <c r="HDT4" s="386"/>
      <c r="HDU4" s="386"/>
      <c r="HDV4" s="386"/>
      <c r="HDW4" s="386"/>
      <c r="HDX4" s="386"/>
      <c r="HDY4" s="386">
        <v>45870</v>
      </c>
      <c r="HDZ4" s="386"/>
      <c r="HEA4" s="386"/>
      <c r="HEB4" s="386"/>
      <c r="HEC4" s="386"/>
      <c r="HED4" s="386"/>
      <c r="HEE4" s="386"/>
      <c r="HEF4" s="386"/>
      <c r="HEG4" s="386"/>
      <c r="HEH4" s="386"/>
      <c r="HEI4" s="386"/>
      <c r="HEJ4" s="386"/>
      <c r="HEK4" s="386"/>
      <c r="HEL4" s="386"/>
      <c r="HEM4" s="386"/>
      <c r="HEN4" s="386"/>
      <c r="HEO4" s="386">
        <v>45870</v>
      </c>
      <c r="HEP4" s="386"/>
      <c r="HEQ4" s="386"/>
      <c r="HER4" s="386"/>
      <c r="HES4" s="386"/>
      <c r="HET4" s="386"/>
      <c r="HEU4" s="386"/>
      <c r="HEV4" s="386"/>
      <c r="HEW4" s="386"/>
      <c r="HEX4" s="386"/>
      <c r="HEY4" s="386"/>
      <c r="HEZ4" s="386"/>
      <c r="HFA4" s="386"/>
      <c r="HFB4" s="386"/>
      <c r="HFC4" s="386"/>
      <c r="HFD4" s="386"/>
      <c r="HFE4" s="386">
        <v>45870</v>
      </c>
      <c r="HFF4" s="386"/>
      <c r="HFG4" s="386"/>
      <c r="HFH4" s="386"/>
      <c r="HFI4" s="386"/>
      <c r="HFJ4" s="386"/>
      <c r="HFK4" s="386"/>
      <c r="HFL4" s="386"/>
      <c r="HFM4" s="386"/>
      <c r="HFN4" s="386"/>
      <c r="HFO4" s="386"/>
      <c r="HFP4" s="386"/>
      <c r="HFQ4" s="386"/>
      <c r="HFR4" s="386"/>
      <c r="HFS4" s="386"/>
      <c r="HFT4" s="386"/>
      <c r="HFU4" s="386">
        <v>45870</v>
      </c>
      <c r="HFV4" s="386"/>
      <c r="HFW4" s="386"/>
      <c r="HFX4" s="386"/>
      <c r="HFY4" s="386"/>
      <c r="HFZ4" s="386"/>
      <c r="HGA4" s="386"/>
      <c r="HGB4" s="386"/>
      <c r="HGC4" s="386"/>
      <c r="HGD4" s="386"/>
      <c r="HGE4" s="386"/>
      <c r="HGF4" s="386"/>
      <c r="HGG4" s="386"/>
      <c r="HGH4" s="386"/>
      <c r="HGI4" s="386"/>
      <c r="HGJ4" s="386"/>
      <c r="HGK4" s="386">
        <v>45870</v>
      </c>
      <c r="HGL4" s="386"/>
      <c r="HGM4" s="386"/>
      <c r="HGN4" s="386"/>
      <c r="HGO4" s="386"/>
      <c r="HGP4" s="386"/>
      <c r="HGQ4" s="386"/>
      <c r="HGR4" s="386"/>
      <c r="HGS4" s="386"/>
      <c r="HGT4" s="386"/>
      <c r="HGU4" s="386"/>
      <c r="HGV4" s="386"/>
      <c r="HGW4" s="386"/>
      <c r="HGX4" s="386"/>
      <c r="HGY4" s="386"/>
      <c r="HGZ4" s="386"/>
      <c r="HHA4" s="386">
        <v>45870</v>
      </c>
      <c r="HHB4" s="386"/>
      <c r="HHC4" s="386"/>
      <c r="HHD4" s="386"/>
      <c r="HHE4" s="386"/>
      <c r="HHF4" s="386"/>
      <c r="HHG4" s="386"/>
      <c r="HHH4" s="386"/>
      <c r="HHI4" s="386"/>
      <c r="HHJ4" s="386"/>
      <c r="HHK4" s="386"/>
      <c r="HHL4" s="386"/>
      <c r="HHM4" s="386"/>
      <c r="HHN4" s="386"/>
      <c r="HHO4" s="386"/>
      <c r="HHP4" s="386"/>
      <c r="HHQ4" s="386">
        <v>45870</v>
      </c>
      <c r="HHR4" s="386"/>
      <c r="HHS4" s="386"/>
      <c r="HHT4" s="386"/>
      <c r="HHU4" s="386"/>
      <c r="HHV4" s="386"/>
      <c r="HHW4" s="386"/>
      <c r="HHX4" s="386"/>
      <c r="HHY4" s="386"/>
      <c r="HHZ4" s="386"/>
      <c r="HIA4" s="386"/>
      <c r="HIB4" s="386"/>
      <c r="HIC4" s="386"/>
      <c r="HID4" s="386"/>
      <c r="HIE4" s="386"/>
      <c r="HIF4" s="386"/>
      <c r="HIG4" s="386">
        <v>45870</v>
      </c>
      <c r="HIH4" s="386"/>
      <c r="HII4" s="386"/>
      <c r="HIJ4" s="386"/>
      <c r="HIK4" s="386"/>
      <c r="HIL4" s="386"/>
      <c r="HIM4" s="386"/>
      <c r="HIN4" s="386"/>
      <c r="HIO4" s="386"/>
      <c r="HIP4" s="386"/>
      <c r="HIQ4" s="386"/>
      <c r="HIR4" s="386"/>
      <c r="HIS4" s="386"/>
      <c r="HIT4" s="386"/>
      <c r="HIU4" s="386"/>
      <c r="HIV4" s="386"/>
      <c r="HIW4" s="386">
        <v>45870</v>
      </c>
      <c r="HIX4" s="386"/>
      <c r="HIY4" s="386"/>
      <c r="HIZ4" s="386"/>
      <c r="HJA4" s="386"/>
      <c r="HJB4" s="386"/>
      <c r="HJC4" s="386"/>
      <c r="HJD4" s="386"/>
      <c r="HJE4" s="386"/>
      <c r="HJF4" s="386"/>
      <c r="HJG4" s="386"/>
      <c r="HJH4" s="386"/>
      <c r="HJI4" s="386"/>
      <c r="HJJ4" s="386"/>
      <c r="HJK4" s="386"/>
      <c r="HJL4" s="386"/>
      <c r="HJM4" s="386">
        <v>45870</v>
      </c>
      <c r="HJN4" s="386"/>
      <c r="HJO4" s="386"/>
      <c r="HJP4" s="386"/>
      <c r="HJQ4" s="386"/>
      <c r="HJR4" s="386"/>
      <c r="HJS4" s="386"/>
      <c r="HJT4" s="386"/>
      <c r="HJU4" s="386"/>
      <c r="HJV4" s="386"/>
      <c r="HJW4" s="386"/>
      <c r="HJX4" s="386"/>
      <c r="HJY4" s="386"/>
      <c r="HJZ4" s="386"/>
      <c r="HKA4" s="386"/>
      <c r="HKB4" s="386"/>
      <c r="HKC4" s="386">
        <v>45870</v>
      </c>
      <c r="HKD4" s="386"/>
      <c r="HKE4" s="386"/>
      <c r="HKF4" s="386"/>
      <c r="HKG4" s="386"/>
      <c r="HKH4" s="386"/>
      <c r="HKI4" s="386"/>
      <c r="HKJ4" s="386"/>
      <c r="HKK4" s="386"/>
      <c r="HKL4" s="386"/>
      <c r="HKM4" s="386"/>
      <c r="HKN4" s="386"/>
      <c r="HKO4" s="386"/>
      <c r="HKP4" s="386"/>
      <c r="HKQ4" s="386"/>
      <c r="HKR4" s="386"/>
      <c r="HKS4" s="386">
        <v>45870</v>
      </c>
      <c r="HKT4" s="386"/>
      <c r="HKU4" s="386"/>
      <c r="HKV4" s="386"/>
      <c r="HKW4" s="386"/>
      <c r="HKX4" s="386"/>
      <c r="HKY4" s="386"/>
      <c r="HKZ4" s="386"/>
      <c r="HLA4" s="386"/>
      <c r="HLB4" s="386"/>
      <c r="HLC4" s="386"/>
      <c r="HLD4" s="386"/>
      <c r="HLE4" s="386"/>
      <c r="HLF4" s="386"/>
      <c r="HLG4" s="386"/>
      <c r="HLH4" s="386"/>
      <c r="HLI4" s="386">
        <v>45870</v>
      </c>
      <c r="HLJ4" s="386"/>
      <c r="HLK4" s="386"/>
      <c r="HLL4" s="386"/>
      <c r="HLM4" s="386"/>
      <c r="HLN4" s="386"/>
      <c r="HLO4" s="386"/>
      <c r="HLP4" s="386"/>
      <c r="HLQ4" s="386"/>
      <c r="HLR4" s="386"/>
      <c r="HLS4" s="386"/>
      <c r="HLT4" s="386"/>
      <c r="HLU4" s="386"/>
      <c r="HLV4" s="386"/>
      <c r="HLW4" s="386"/>
      <c r="HLX4" s="386"/>
      <c r="HLY4" s="386">
        <v>45870</v>
      </c>
      <c r="HLZ4" s="386"/>
      <c r="HMA4" s="386"/>
      <c r="HMB4" s="386"/>
      <c r="HMC4" s="386"/>
      <c r="HMD4" s="386"/>
      <c r="HME4" s="386"/>
      <c r="HMF4" s="386"/>
      <c r="HMG4" s="386"/>
      <c r="HMH4" s="386"/>
      <c r="HMI4" s="386"/>
      <c r="HMJ4" s="386"/>
      <c r="HMK4" s="386"/>
      <c r="HML4" s="386"/>
      <c r="HMM4" s="386"/>
      <c r="HMN4" s="386"/>
      <c r="HMO4" s="386">
        <v>45870</v>
      </c>
      <c r="HMP4" s="386"/>
      <c r="HMQ4" s="386"/>
      <c r="HMR4" s="386"/>
      <c r="HMS4" s="386"/>
      <c r="HMT4" s="386"/>
      <c r="HMU4" s="386"/>
      <c r="HMV4" s="386"/>
      <c r="HMW4" s="386"/>
      <c r="HMX4" s="386"/>
      <c r="HMY4" s="386"/>
      <c r="HMZ4" s="386"/>
      <c r="HNA4" s="386"/>
      <c r="HNB4" s="386"/>
      <c r="HNC4" s="386"/>
      <c r="HND4" s="386"/>
      <c r="HNE4" s="386">
        <v>45870</v>
      </c>
      <c r="HNF4" s="386"/>
      <c r="HNG4" s="386"/>
      <c r="HNH4" s="386"/>
      <c r="HNI4" s="386"/>
      <c r="HNJ4" s="386"/>
      <c r="HNK4" s="386"/>
      <c r="HNL4" s="386"/>
      <c r="HNM4" s="386"/>
      <c r="HNN4" s="386"/>
      <c r="HNO4" s="386"/>
      <c r="HNP4" s="386"/>
      <c r="HNQ4" s="386"/>
      <c r="HNR4" s="386"/>
      <c r="HNS4" s="386"/>
      <c r="HNT4" s="386"/>
      <c r="HNU4" s="386">
        <v>45870</v>
      </c>
      <c r="HNV4" s="386"/>
      <c r="HNW4" s="386"/>
      <c r="HNX4" s="386"/>
      <c r="HNY4" s="386"/>
      <c r="HNZ4" s="386"/>
      <c r="HOA4" s="386"/>
      <c r="HOB4" s="386"/>
      <c r="HOC4" s="386"/>
      <c r="HOD4" s="386"/>
      <c r="HOE4" s="386"/>
      <c r="HOF4" s="386"/>
      <c r="HOG4" s="386"/>
      <c r="HOH4" s="386"/>
      <c r="HOI4" s="386"/>
      <c r="HOJ4" s="386"/>
      <c r="HOK4" s="386">
        <v>45870</v>
      </c>
      <c r="HOL4" s="386"/>
      <c r="HOM4" s="386"/>
      <c r="HON4" s="386"/>
      <c r="HOO4" s="386"/>
      <c r="HOP4" s="386"/>
      <c r="HOQ4" s="386"/>
      <c r="HOR4" s="386"/>
      <c r="HOS4" s="386"/>
      <c r="HOT4" s="386"/>
      <c r="HOU4" s="386"/>
      <c r="HOV4" s="386"/>
      <c r="HOW4" s="386"/>
      <c r="HOX4" s="386"/>
      <c r="HOY4" s="386"/>
      <c r="HOZ4" s="386"/>
      <c r="HPA4" s="386">
        <v>45870</v>
      </c>
      <c r="HPB4" s="386"/>
      <c r="HPC4" s="386"/>
      <c r="HPD4" s="386"/>
      <c r="HPE4" s="386"/>
      <c r="HPF4" s="386"/>
      <c r="HPG4" s="386"/>
      <c r="HPH4" s="386"/>
      <c r="HPI4" s="386"/>
      <c r="HPJ4" s="386"/>
      <c r="HPK4" s="386"/>
      <c r="HPL4" s="386"/>
      <c r="HPM4" s="386"/>
      <c r="HPN4" s="386"/>
      <c r="HPO4" s="386"/>
      <c r="HPP4" s="386"/>
      <c r="HPQ4" s="386">
        <v>45870</v>
      </c>
      <c r="HPR4" s="386"/>
      <c r="HPS4" s="386"/>
      <c r="HPT4" s="386"/>
      <c r="HPU4" s="386"/>
      <c r="HPV4" s="386"/>
      <c r="HPW4" s="386"/>
      <c r="HPX4" s="386"/>
      <c r="HPY4" s="386"/>
      <c r="HPZ4" s="386"/>
      <c r="HQA4" s="386"/>
      <c r="HQB4" s="386"/>
      <c r="HQC4" s="386"/>
      <c r="HQD4" s="386"/>
      <c r="HQE4" s="386"/>
      <c r="HQF4" s="386"/>
      <c r="HQG4" s="386">
        <v>45870</v>
      </c>
      <c r="HQH4" s="386"/>
      <c r="HQI4" s="386"/>
      <c r="HQJ4" s="386"/>
      <c r="HQK4" s="386"/>
      <c r="HQL4" s="386"/>
      <c r="HQM4" s="386"/>
      <c r="HQN4" s="386"/>
      <c r="HQO4" s="386"/>
      <c r="HQP4" s="386"/>
      <c r="HQQ4" s="386"/>
      <c r="HQR4" s="386"/>
      <c r="HQS4" s="386"/>
      <c r="HQT4" s="386"/>
      <c r="HQU4" s="386"/>
      <c r="HQV4" s="386"/>
      <c r="HQW4" s="386">
        <v>45870</v>
      </c>
      <c r="HQX4" s="386"/>
      <c r="HQY4" s="386"/>
      <c r="HQZ4" s="386"/>
      <c r="HRA4" s="386"/>
      <c r="HRB4" s="386"/>
      <c r="HRC4" s="386"/>
      <c r="HRD4" s="386"/>
      <c r="HRE4" s="386"/>
      <c r="HRF4" s="386"/>
      <c r="HRG4" s="386"/>
      <c r="HRH4" s="386"/>
      <c r="HRI4" s="386"/>
      <c r="HRJ4" s="386"/>
      <c r="HRK4" s="386"/>
      <c r="HRL4" s="386"/>
      <c r="HRM4" s="386">
        <v>45870</v>
      </c>
      <c r="HRN4" s="386"/>
      <c r="HRO4" s="386"/>
      <c r="HRP4" s="386"/>
      <c r="HRQ4" s="386"/>
      <c r="HRR4" s="386"/>
      <c r="HRS4" s="386"/>
      <c r="HRT4" s="386"/>
      <c r="HRU4" s="386"/>
      <c r="HRV4" s="386"/>
      <c r="HRW4" s="386"/>
      <c r="HRX4" s="386"/>
      <c r="HRY4" s="386"/>
      <c r="HRZ4" s="386"/>
      <c r="HSA4" s="386"/>
      <c r="HSB4" s="386"/>
      <c r="HSC4" s="386">
        <v>45870</v>
      </c>
      <c r="HSD4" s="386"/>
      <c r="HSE4" s="386"/>
      <c r="HSF4" s="386"/>
      <c r="HSG4" s="386"/>
      <c r="HSH4" s="386"/>
      <c r="HSI4" s="386"/>
      <c r="HSJ4" s="386"/>
      <c r="HSK4" s="386"/>
      <c r="HSL4" s="386"/>
      <c r="HSM4" s="386"/>
      <c r="HSN4" s="386"/>
      <c r="HSO4" s="386"/>
      <c r="HSP4" s="386"/>
      <c r="HSQ4" s="386"/>
      <c r="HSR4" s="386"/>
      <c r="HSS4" s="386">
        <v>45870</v>
      </c>
      <c r="HST4" s="386"/>
      <c r="HSU4" s="386"/>
      <c r="HSV4" s="386"/>
      <c r="HSW4" s="386"/>
      <c r="HSX4" s="386"/>
      <c r="HSY4" s="386"/>
      <c r="HSZ4" s="386"/>
      <c r="HTA4" s="386"/>
      <c r="HTB4" s="386"/>
      <c r="HTC4" s="386"/>
      <c r="HTD4" s="386"/>
      <c r="HTE4" s="386"/>
      <c r="HTF4" s="386"/>
      <c r="HTG4" s="386"/>
      <c r="HTH4" s="386"/>
      <c r="HTI4" s="386">
        <v>45870</v>
      </c>
      <c r="HTJ4" s="386"/>
      <c r="HTK4" s="386"/>
      <c r="HTL4" s="386"/>
      <c r="HTM4" s="386"/>
      <c r="HTN4" s="386"/>
      <c r="HTO4" s="386"/>
      <c r="HTP4" s="386"/>
      <c r="HTQ4" s="386"/>
      <c r="HTR4" s="386"/>
      <c r="HTS4" s="386"/>
      <c r="HTT4" s="386"/>
      <c r="HTU4" s="386"/>
      <c r="HTV4" s="386"/>
      <c r="HTW4" s="386"/>
      <c r="HTX4" s="386"/>
      <c r="HTY4" s="386">
        <v>45870</v>
      </c>
      <c r="HTZ4" s="386"/>
      <c r="HUA4" s="386"/>
      <c r="HUB4" s="386"/>
      <c r="HUC4" s="386"/>
      <c r="HUD4" s="386"/>
      <c r="HUE4" s="386"/>
      <c r="HUF4" s="386"/>
      <c r="HUG4" s="386"/>
      <c r="HUH4" s="386"/>
      <c r="HUI4" s="386"/>
      <c r="HUJ4" s="386"/>
      <c r="HUK4" s="386"/>
      <c r="HUL4" s="386"/>
      <c r="HUM4" s="386"/>
      <c r="HUN4" s="386"/>
      <c r="HUO4" s="386">
        <v>45870</v>
      </c>
      <c r="HUP4" s="386"/>
      <c r="HUQ4" s="386"/>
      <c r="HUR4" s="386"/>
      <c r="HUS4" s="386"/>
      <c r="HUT4" s="386"/>
      <c r="HUU4" s="386"/>
      <c r="HUV4" s="386"/>
      <c r="HUW4" s="386"/>
      <c r="HUX4" s="386"/>
      <c r="HUY4" s="386"/>
      <c r="HUZ4" s="386"/>
      <c r="HVA4" s="386"/>
      <c r="HVB4" s="386"/>
      <c r="HVC4" s="386"/>
      <c r="HVD4" s="386"/>
      <c r="HVE4" s="386">
        <v>45870</v>
      </c>
      <c r="HVF4" s="386"/>
      <c r="HVG4" s="386"/>
      <c r="HVH4" s="386"/>
      <c r="HVI4" s="386"/>
      <c r="HVJ4" s="386"/>
      <c r="HVK4" s="386"/>
      <c r="HVL4" s="386"/>
      <c r="HVM4" s="386"/>
      <c r="HVN4" s="386"/>
      <c r="HVO4" s="386"/>
      <c r="HVP4" s="386"/>
      <c r="HVQ4" s="386"/>
      <c r="HVR4" s="386"/>
      <c r="HVS4" s="386"/>
      <c r="HVT4" s="386"/>
      <c r="HVU4" s="386">
        <v>45870</v>
      </c>
      <c r="HVV4" s="386"/>
      <c r="HVW4" s="386"/>
      <c r="HVX4" s="386"/>
      <c r="HVY4" s="386"/>
      <c r="HVZ4" s="386"/>
      <c r="HWA4" s="386"/>
      <c r="HWB4" s="386"/>
      <c r="HWC4" s="386"/>
      <c r="HWD4" s="386"/>
      <c r="HWE4" s="386"/>
      <c r="HWF4" s="386"/>
      <c r="HWG4" s="386"/>
      <c r="HWH4" s="386"/>
      <c r="HWI4" s="386"/>
      <c r="HWJ4" s="386"/>
      <c r="HWK4" s="386">
        <v>45870</v>
      </c>
      <c r="HWL4" s="386"/>
      <c r="HWM4" s="386"/>
      <c r="HWN4" s="386"/>
      <c r="HWO4" s="386"/>
      <c r="HWP4" s="386"/>
      <c r="HWQ4" s="386"/>
      <c r="HWR4" s="386"/>
      <c r="HWS4" s="386"/>
      <c r="HWT4" s="386"/>
      <c r="HWU4" s="386"/>
      <c r="HWV4" s="386"/>
      <c r="HWW4" s="386"/>
      <c r="HWX4" s="386"/>
      <c r="HWY4" s="386"/>
      <c r="HWZ4" s="386"/>
      <c r="HXA4" s="386">
        <v>45870</v>
      </c>
      <c r="HXB4" s="386"/>
      <c r="HXC4" s="386"/>
      <c r="HXD4" s="386"/>
      <c r="HXE4" s="386"/>
      <c r="HXF4" s="386"/>
      <c r="HXG4" s="386"/>
      <c r="HXH4" s="386"/>
      <c r="HXI4" s="386"/>
      <c r="HXJ4" s="386"/>
      <c r="HXK4" s="386"/>
      <c r="HXL4" s="386"/>
      <c r="HXM4" s="386"/>
      <c r="HXN4" s="386"/>
      <c r="HXO4" s="386"/>
      <c r="HXP4" s="386"/>
      <c r="HXQ4" s="386">
        <v>45870</v>
      </c>
      <c r="HXR4" s="386"/>
      <c r="HXS4" s="386"/>
      <c r="HXT4" s="386"/>
      <c r="HXU4" s="386"/>
      <c r="HXV4" s="386"/>
      <c r="HXW4" s="386"/>
      <c r="HXX4" s="386"/>
      <c r="HXY4" s="386"/>
      <c r="HXZ4" s="386"/>
      <c r="HYA4" s="386"/>
      <c r="HYB4" s="386"/>
      <c r="HYC4" s="386"/>
      <c r="HYD4" s="386"/>
      <c r="HYE4" s="386"/>
      <c r="HYF4" s="386"/>
      <c r="HYG4" s="386">
        <v>45870</v>
      </c>
      <c r="HYH4" s="386"/>
      <c r="HYI4" s="386"/>
      <c r="HYJ4" s="386"/>
      <c r="HYK4" s="386"/>
      <c r="HYL4" s="386"/>
      <c r="HYM4" s="386"/>
      <c r="HYN4" s="386"/>
      <c r="HYO4" s="386"/>
      <c r="HYP4" s="386"/>
      <c r="HYQ4" s="386"/>
      <c r="HYR4" s="386"/>
      <c r="HYS4" s="386"/>
      <c r="HYT4" s="386"/>
      <c r="HYU4" s="386"/>
      <c r="HYV4" s="386"/>
      <c r="HYW4" s="386">
        <v>45870</v>
      </c>
      <c r="HYX4" s="386"/>
      <c r="HYY4" s="386"/>
      <c r="HYZ4" s="386"/>
      <c r="HZA4" s="386"/>
      <c r="HZB4" s="386"/>
      <c r="HZC4" s="386"/>
      <c r="HZD4" s="386"/>
      <c r="HZE4" s="386"/>
      <c r="HZF4" s="386"/>
      <c r="HZG4" s="386"/>
      <c r="HZH4" s="386"/>
      <c r="HZI4" s="386"/>
      <c r="HZJ4" s="386"/>
      <c r="HZK4" s="386"/>
      <c r="HZL4" s="386"/>
      <c r="HZM4" s="386">
        <v>45870</v>
      </c>
      <c r="HZN4" s="386"/>
      <c r="HZO4" s="386"/>
      <c r="HZP4" s="386"/>
      <c r="HZQ4" s="386"/>
      <c r="HZR4" s="386"/>
      <c r="HZS4" s="386"/>
      <c r="HZT4" s="386"/>
      <c r="HZU4" s="386"/>
      <c r="HZV4" s="386"/>
      <c r="HZW4" s="386"/>
      <c r="HZX4" s="386"/>
      <c r="HZY4" s="386"/>
      <c r="HZZ4" s="386"/>
      <c r="IAA4" s="386"/>
      <c r="IAB4" s="386"/>
      <c r="IAC4" s="386">
        <v>45870</v>
      </c>
      <c r="IAD4" s="386"/>
      <c r="IAE4" s="386"/>
      <c r="IAF4" s="386"/>
      <c r="IAG4" s="386"/>
      <c r="IAH4" s="386"/>
      <c r="IAI4" s="386"/>
      <c r="IAJ4" s="386"/>
      <c r="IAK4" s="386"/>
      <c r="IAL4" s="386"/>
      <c r="IAM4" s="386"/>
      <c r="IAN4" s="386"/>
      <c r="IAO4" s="386"/>
      <c r="IAP4" s="386"/>
      <c r="IAQ4" s="386"/>
      <c r="IAR4" s="386"/>
      <c r="IAS4" s="386">
        <v>45870</v>
      </c>
      <c r="IAT4" s="386"/>
      <c r="IAU4" s="386"/>
      <c r="IAV4" s="386"/>
      <c r="IAW4" s="386"/>
      <c r="IAX4" s="386"/>
      <c r="IAY4" s="386"/>
      <c r="IAZ4" s="386"/>
      <c r="IBA4" s="386"/>
      <c r="IBB4" s="386"/>
      <c r="IBC4" s="386"/>
      <c r="IBD4" s="386"/>
      <c r="IBE4" s="386"/>
      <c r="IBF4" s="386"/>
      <c r="IBG4" s="386"/>
      <c r="IBH4" s="386"/>
      <c r="IBI4" s="386">
        <v>45870</v>
      </c>
      <c r="IBJ4" s="386"/>
      <c r="IBK4" s="386"/>
      <c r="IBL4" s="386"/>
      <c r="IBM4" s="386"/>
      <c r="IBN4" s="386"/>
      <c r="IBO4" s="386"/>
      <c r="IBP4" s="386"/>
      <c r="IBQ4" s="386"/>
      <c r="IBR4" s="386"/>
      <c r="IBS4" s="386"/>
      <c r="IBT4" s="386"/>
      <c r="IBU4" s="386"/>
      <c r="IBV4" s="386"/>
      <c r="IBW4" s="386"/>
      <c r="IBX4" s="386"/>
      <c r="IBY4" s="386">
        <v>45870</v>
      </c>
      <c r="IBZ4" s="386"/>
      <c r="ICA4" s="386"/>
      <c r="ICB4" s="386"/>
      <c r="ICC4" s="386"/>
      <c r="ICD4" s="386"/>
      <c r="ICE4" s="386"/>
      <c r="ICF4" s="386"/>
      <c r="ICG4" s="386"/>
      <c r="ICH4" s="386"/>
      <c r="ICI4" s="386"/>
      <c r="ICJ4" s="386"/>
      <c r="ICK4" s="386"/>
      <c r="ICL4" s="386"/>
      <c r="ICM4" s="386"/>
      <c r="ICN4" s="386"/>
      <c r="ICO4" s="386">
        <v>45870</v>
      </c>
      <c r="ICP4" s="386"/>
      <c r="ICQ4" s="386"/>
      <c r="ICR4" s="386"/>
      <c r="ICS4" s="386"/>
      <c r="ICT4" s="386"/>
      <c r="ICU4" s="386"/>
      <c r="ICV4" s="386"/>
      <c r="ICW4" s="386"/>
      <c r="ICX4" s="386"/>
      <c r="ICY4" s="386"/>
      <c r="ICZ4" s="386"/>
      <c r="IDA4" s="386"/>
      <c r="IDB4" s="386"/>
      <c r="IDC4" s="386"/>
      <c r="IDD4" s="386"/>
      <c r="IDE4" s="386">
        <v>45870</v>
      </c>
      <c r="IDF4" s="386"/>
      <c r="IDG4" s="386"/>
      <c r="IDH4" s="386"/>
      <c r="IDI4" s="386"/>
      <c r="IDJ4" s="386"/>
      <c r="IDK4" s="386"/>
      <c r="IDL4" s="386"/>
      <c r="IDM4" s="386"/>
      <c r="IDN4" s="386"/>
      <c r="IDO4" s="386"/>
      <c r="IDP4" s="386"/>
      <c r="IDQ4" s="386"/>
      <c r="IDR4" s="386"/>
      <c r="IDS4" s="386"/>
      <c r="IDT4" s="386"/>
      <c r="IDU4" s="386">
        <v>45870</v>
      </c>
      <c r="IDV4" s="386"/>
      <c r="IDW4" s="386"/>
      <c r="IDX4" s="386"/>
      <c r="IDY4" s="386"/>
      <c r="IDZ4" s="386"/>
      <c r="IEA4" s="386"/>
      <c r="IEB4" s="386"/>
      <c r="IEC4" s="386"/>
      <c r="IED4" s="386"/>
      <c r="IEE4" s="386"/>
      <c r="IEF4" s="386"/>
      <c r="IEG4" s="386"/>
      <c r="IEH4" s="386"/>
      <c r="IEI4" s="386"/>
      <c r="IEJ4" s="386"/>
      <c r="IEK4" s="386">
        <v>45870</v>
      </c>
      <c r="IEL4" s="386"/>
      <c r="IEM4" s="386"/>
      <c r="IEN4" s="386"/>
      <c r="IEO4" s="386"/>
      <c r="IEP4" s="386"/>
      <c r="IEQ4" s="386"/>
      <c r="IER4" s="386"/>
      <c r="IES4" s="386"/>
      <c r="IET4" s="386"/>
      <c r="IEU4" s="386"/>
      <c r="IEV4" s="386"/>
      <c r="IEW4" s="386"/>
      <c r="IEX4" s="386"/>
      <c r="IEY4" s="386"/>
      <c r="IEZ4" s="386"/>
      <c r="IFA4" s="386">
        <v>45870</v>
      </c>
      <c r="IFB4" s="386"/>
      <c r="IFC4" s="386"/>
      <c r="IFD4" s="386"/>
      <c r="IFE4" s="386"/>
      <c r="IFF4" s="386"/>
      <c r="IFG4" s="386"/>
      <c r="IFH4" s="386"/>
      <c r="IFI4" s="386"/>
      <c r="IFJ4" s="386"/>
      <c r="IFK4" s="386"/>
      <c r="IFL4" s="386"/>
      <c r="IFM4" s="386"/>
      <c r="IFN4" s="386"/>
      <c r="IFO4" s="386"/>
      <c r="IFP4" s="386"/>
      <c r="IFQ4" s="386">
        <v>45870</v>
      </c>
      <c r="IFR4" s="386"/>
      <c r="IFS4" s="386"/>
      <c r="IFT4" s="386"/>
      <c r="IFU4" s="386"/>
      <c r="IFV4" s="386"/>
      <c r="IFW4" s="386"/>
      <c r="IFX4" s="386"/>
      <c r="IFY4" s="386"/>
      <c r="IFZ4" s="386"/>
      <c r="IGA4" s="386"/>
      <c r="IGB4" s="386"/>
      <c r="IGC4" s="386"/>
      <c r="IGD4" s="386"/>
      <c r="IGE4" s="386"/>
      <c r="IGF4" s="386"/>
      <c r="IGG4" s="386">
        <v>45870</v>
      </c>
      <c r="IGH4" s="386"/>
      <c r="IGI4" s="386"/>
      <c r="IGJ4" s="386"/>
      <c r="IGK4" s="386"/>
      <c r="IGL4" s="386"/>
      <c r="IGM4" s="386"/>
      <c r="IGN4" s="386"/>
      <c r="IGO4" s="386"/>
      <c r="IGP4" s="386"/>
      <c r="IGQ4" s="386"/>
      <c r="IGR4" s="386"/>
      <c r="IGS4" s="386"/>
      <c r="IGT4" s="386"/>
      <c r="IGU4" s="386"/>
      <c r="IGV4" s="386"/>
      <c r="IGW4" s="386">
        <v>45870</v>
      </c>
      <c r="IGX4" s="386"/>
      <c r="IGY4" s="386"/>
      <c r="IGZ4" s="386"/>
      <c r="IHA4" s="386"/>
      <c r="IHB4" s="386"/>
      <c r="IHC4" s="386"/>
      <c r="IHD4" s="386"/>
      <c r="IHE4" s="386"/>
      <c r="IHF4" s="386"/>
      <c r="IHG4" s="386"/>
      <c r="IHH4" s="386"/>
      <c r="IHI4" s="386"/>
      <c r="IHJ4" s="386"/>
      <c r="IHK4" s="386"/>
      <c r="IHL4" s="386"/>
      <c r="IHM4" s="386">
        <v>45870</v>
      </c>
      <c r="IHN4" s="386"/>
      <c r="IHO4" s="386"/>
      <c r="IHP4" s="386"/>
      <c r="IHQ4" s="386"/>
      <c r="IHR4" s="386"/>
      <c r="IHS4" s="386"/>
      <c r="IHT4" s="386"/>
      <c r="IHU4" s="386"/>
      <c r="IHV4" s="386"/>
      <c r="IHW4" s="386"/>
      <c r="IHX4" s="386"/>
      <c r="IHY4" s="386"/>
      <c r="IHZ4" s="386"/>
      <c r="IIA4" s="386"/>
      <c r="IIB4" s="386"/>
      <c r="IIC4" s="386">
        <v>45870</v>
      </c>
      <c r="IID4" s="386"/>
      <c r="IIE4" s="386"/>
      <c r="IIF4" s="386"/>
      <c r="IIG4" s="386"/>
      <c r="IIH4" s="386"/>
      <c r="III4" s="386"/>
      <c r="IIJ4" s="386"/>
      <c r="IIK4" s="386"/>
      <c r="IIL4" s="386"/>
      <c r="IIM4" s="386"/>
      <c r="IIN4" s="386"/>
      <c r="IIO4" s="386"/>
      <c r="IIP4" s="386"/>
      <c r="IIQ4" s="386"/>
      <c r="IIR4" s="386"/>
      <c r="IIS4" s="386">
        <v>45870</v>
      </c>
      <c r="IIT4" s="386"/>
      <c r="IIU4" s="386"/>
      <c r="IIV4" s="386"/>
      <c r="IIW4" s="386"/>
      <c r="IIX4" s="386"/>
      <c r="IIY4" s="386"/>
      <c r="IIZ4" s="386"/>
      <c r="IJA4" s="386"/>
      <c r="IJB4" s="386"/>
      <c r="IJC4" s="386"/>
      <c r="IJD4" s="386"/>
      <c r="IJE4" s="386"/>
      <c r="IJF4" s="386"/>
      <c r="IJG4" s="386"/>
      <c r="IJH4" s="386"/>
      <c r="IJI4" s="386">
        <v>45870</v>
      </c>
      <c r="IJJ4" s="386"/>
      <c r="IJK4" s="386"/>
      <c r="IJL4" s="386"/>
      <c r="IJM4" s="386"/>
      <c r="IJN4" s="386"/>
      <c r="IJO4" s="386"/>
      <c r="IJP4" s="386"/>
      <c r="IJQ4" s="386"/>
      <c r="IJR4" s="386"/>
      <c r="IJS4" s="386"/>
      <c r="IJT4" s="386"/>
      <c r="IJU4" s="386"/>
      <c r="IJV4" s="386"/>
      <c r="IJW4" s="386"/>
      <c r="IJX4" s="386"/>
      <c r="IJY4" s="386">
        <v>45870</v>
      </c>
      <c r="IJZ4" s="386"/>
      <c r="IKA4" s="386"/>
      <c r="IKB4" s="386"/>
      <c r="IKC4" s="386"/>
      <c r="IKD4" s="386"/>
      <c r="IKE4" s="386"/>
      <c r="IKF4" s="386"/>
      <c r="IKG4" s="386"/>
      <c r="IKH4" s="386"/>
      <c r="IKI4" s="386"/>
      <c r="IKJ4" s="386"/>
      <c r="IKK4" s="386"/>
      <c r="IKL4" s="386"/>
      <c r="IKM4" s="386"/>
      <c r="IKN4" s="386"/>
      <c r="IKO4" s="386">
        <v>45870</v>
      </c>
      <c r="IKP4" s="386"/>
      <c r="IKQ4" s="386"/>
      <c r="IKR4" s="386"/>
      <c r="IKS4" s="386"/>
      <c r="IKT4" s="386"/>
      <c r="IKU4" s="386"/>
      <c r="IKV4" s="386"/>
      <c r="IKW4" s="386"/>
      <c r="IKX4" s="386"/>
      <c r="IKY4" s="386"/>
      <c r="IKZ4" s="386"/>
      <c r="ILA4" s="386"/>
      <c r="ILB4" s="386"/>
      <c r="ILC4" s="386"/>
      <c r="ILD4" s="386"/>
      <c r="ILE4" s="386">
        <v>45870</v>
      </c>
      <c r="ILF4" s="386"/>
      <c r="ILG4" s="386"/>
      <c r="ILH4" s="386"/>
      <c r="ILI4" s="386"/>
      <c r="ILJ4" s="386"/>
      <c r="ILK4" s="386"/>
      <c r="ILL4" s="386"/>
      <c r="ILM4" s="386"/>
      <c r="ILN4" s="386"/>
      <c r="ILO4" s="386"/>
      <c r="ILP4" s="386"/>
      <c r="ILQ4" s="386"/>
      <c r="ILR4" s="386"/>
      <c r="ILS4" s="386"/>
      <c r="ILT4" s="386"/>
      <c r="ILU4" s="386">
        <v>45870</v>
      </c>
      <c r="ILV4" s="386"/>
      <c r="ILW4" s="386"/>
      <c r="ILX4" s="386"/>
      <c r="ILY4" s="386"/>
      <c r="ILZ4" s="386"/>
      <c r="IMA4" s="386"/>
      <c r="IMB4" s="386"/>
      <c r="IMC4" s="386"/>
      <c r="IMD4" s="386"/>
      <c r="IME4" s="386"/>
      <c r="IMF4" s="386"/>
      <c r="IMG4" s="386"/>
      <c r="IMH4" s="386"/>
      <c r="IMI4" s="386"/>
      <c r="IMJ4" s="386"/>
      <c r="IMK4" s="386">
        <v>45870</v>
      </c>
      <c r="IML4" s="386"/>
      <c r="IMM4" s="386"/>
      <c r="IMN4" s="386"/>
      <c r="IMO4" s="386"/>
      <c r="IMP4" s="386"/>
      <c r="IMQ4" s="386"/>
      <c r="IMR4" s="386"/>
      <c r="IMS4" s="386"/>
      <c r="IMT4" s="386"/>
      <c r="IMU4" s="386"/>
      <c r="IMV4" s="386"/>
      <c r="IMW4" s="386"/>
      <c r="IMX4" s="386"/>
      <c r="IMY4" s="386"/>
      <c r="IMZ4" s="386"/>
      <c r="INA4" s="386">
        <v>45870</v>
      </c>
      <c r="INB4" s="386"/>
      <c r="INC4" s="386"/>
      <c r="IND4" s="386"/>
      <c r="INE4" s="386"/>
      <c r="INF4" s="386"/>
      <c r="ING4" s="386"/>
      <c r="INH4" s="386"/>
      <c r="INI4" s="386"/>
      <c r="INJ4" s="386"/>
      <c r="INK4" s="386"/>
      <c r="INL4" s="386"/>
      <c r="INM4" s="386"/>
      <c r="INN4" s="386"/>
      <c r="INO4" s="386"/>
      <c r="INP4" s="386"/>
      <c r="INQ4" s="386">
        <v>45870</v>
      </c>
      <c r="INR4" s="386"/>
      <c r="INS4" s="386"/>
      <c r="INT4" s="386"/>
      <c r="INU4" s="386"/>
      <c r="INV4" s="386"/>
      <c r="INW4" s="386"/>
      <c r="INX4" s="386"/>
      <c r="INY4" s="386"/>
      <c r="INZ4" s="386"/>
      <c r="IOA4" s="386"/>
      <c r="IOB4" s="386"/>
      <c r="IOC4" s="386"/>
      <c r="IOD4" s="386"/>
      <c r="IOE4" s="386"/>
      <c r="IOF4" s="386"/>
      <c r="IOG4" s="386">
        <v>45870</v>
      </c>
      <c r="IOH4" s="386"/>
      <c r="IOI4" s="386"/>
      <c r="IOJ4" s="386"/>
      <c r="IOK4" s="386"/>
      <c r="IOL4" s="386"/>
      <c r="IOM4" s="386"/>
      <c r="ION4" s="386"/>
      <c r="IOO4" s="386"/>
      <c r="IOP4" s="386"/>
      <c r="IOQ4" s="386"/>
      <c r="IOR4" s="386"/>
      <c r="IOS4" s="386"/>
      <c r="IOT4" s="386"/>
      <c r="IOU4" s="386"/>
      <c r="IOV4" s="386"/>
      <c r="IOW4" s="386">
        <v>45870</v>
      </c>
      <c r="IOX4" s="386"/>
      <c r="IOY4" s="386"/>
      <c r="IOZ4" s="386"/>
      <c r="IPA4" s="386"/>
      <c r="IPB4" s="386"/>
      <c r="IPC4" s="386"/>
      <c r="IPD4" s="386"/>
      <c r="IPE4" s="386"/>
      <c r="IPF4" s="386"/>
      <c r="IPG4" s="386"/>
      <c r="IPH4" s="386"/>
      <c r="IPI4" s="386"/>
      <c r="IPJ4" s="386"/>
      <c r="IPK4" s="386"/>
      <c r="IPL4" s="386"/>
      <c r="IPM4" s="386">
        <v>45870</v>
      </c>
      <c r="IPN4" s="386"/>
      <c r="IPO4" s="386"/>
      <c r="IPP4" s="386"/>
      <c r="IPQ4" s="386"/>
      <c r="IPR4" s="386"/>
      <c r="IPS4" s="386"/>
      <c r="IPT4" s="386"/>
      <c r="IPU4" s="386"/>
      <c r="IPV4" s="386"/>
      <c r="IPW4" s="386"/>
      <c r="IPX4" s="386"/>
      <c r="IPY4" s="386"/>
      <c r="IPZ4" s="386"/>
      <c r="IQA4" s="386"/>
      <c r="IQB4" s="386"/>
      <c r="IQC4" s="386">
        <v>45870</v>
      </c>
      <c r="IQD4" s="386"/>
      <c r="IQE4" s="386"/>
      <c r="IQF4" s="386"/>
      <c r="IQG4" s="386"/>
      <c r="IQH4" s="386"/>
      <c r="IQI4" s="386"/>
      <c r="IQJ4" s="386"/>
      <c r="IQK4" s="386"/>
      <c r="IQL4" s="386"/>
      <c r="IQM4" s="386"/>
      <c r="IQN4" s="386"/>
      <c r="IQO4" s="386"/>
      <c r="IQP4" s="386"/>
      <c r="IQQ4" s="386"/>
      <c r="IQR4" s="386"/>
      <c r="IQS4" s="386">
        <v>45870</v>
      </c>
      <c r="IQT4" s="386"/>
      <c r="IQU4" s="386"/>
      <c r="IQV4" s="386"/>
      <c r="IQW4" s="386"/>
      <c r="IQX4" s="386"/>
      <c r="IQY4" s="386"/>
      <c r="IQZ4" s="386"/>
      <c r="IRA4" s="386"/>
      <c r="IRB4" s="386"/>
      <c r="IRC4" s="386"/>
      <c r="IRD4" s="386"/>
      <c r="IRE4" s="386"/>
      <c r="IRF4" s="386"/>
      <c r="IRG4" s="386"/>
      <c r="IRH4" s="386"/>
      <c r="IRI4" s="386">
        <v>45870</v>
      </c>
      <c r="IRJ4" s="386"/>
      <c r="IRK4" s="386"/>
      <c r="IRL4" s="386"/>
      <c r="IRM4" s="386"/>
      <c r="IRN4" s="386"/>
      <c r="IRO4" s="386"/>
      <c r="IRP4" s="386"/>
      <c r="IRQ4" s="386"/>
      <c r="IRR4" s="386"/>
      <c r="IRS4" s="386"/>
      <c r="IRT4" s="386"/>
      <c r="IRU4" s="386"/>
      <c r="IRV4" s="386"/>
      <c r="IRW4" s="386"/>
      <c r="IRX4" s="386"/>
      <c r="IRY4" s="386">
        <v>45870</v>
      </c>
      <c r="IRZ4" s="386"/>
      <c r="ISA4" s="386"/>
      <c r="ISB4" s="386"/>
      <c r="ISC4" s="386"/>
      <c r="ISD4" s="386"/>
      <c r="ISE4" s="386"/>
      <c r="ISF4" s="386"/>
      <c r="ISG4" s="386"/>
      <c r="ISH4" s="386"/>
      <c r="ISI4" s="386"/>
      <c r="ISJ4" s="386"/>
      <c r="ISK4" s="386"/>
      <c r="ISL4" s="386"/>
      <c r="ISM4" s="386"/>
      <c r="ISN4" s="386"/>
      <c r="ISO4" s="386">
        <v>45870</v>
      </c>
      <c r="ISP4" s="386"/>
      <c r="ISQ4" s="386"/>
      <c r="ISR4" s="386"/>
      <c r="ISS4" s="386"/>
      <c r="IST4" s="386"/>
      <c r="ISU4" s="386"/>
      <c r="ISV4" s="386"/>
      <c r="ISW4" s="386"/>
      <c r="ISX4" s="386"/>
      <c r="ISY4" s="386"/>
      <c r="ISZ4" s="386"/>
      <c r="ITA4" s="386"/>
      <c r="ITB4" s="386"/>
      <c r="ITC4" s="386"/>
      <c r="ITD4" s="386"/>
      <c r="ITE4" s="386">
        <v>45870</v>
      </c>
      <c r="ITF4" s="386"/>
      <c r="ITG4" s="386"/>
      <c r="ITH4" s="386"/>
      <c r="ITI4" s="386"/>
      <c r="ITJ4" s="386"/>
      <c r="ITK4" s="386"/>
      <c r="ITL4" s="386"/>
      <c r="ITM4" s="386"/>
      <c r="ITN4" s="386"/>
      <c r="ITO4" s="386"/>
      <c r="ITP4" s="386"/>
      <c r="ITQ4" s="386"/>
      <c r="ITR4" s="386"/>
      <c r="ITS4" s="386"/>
      <c r="ITT4" s="386"/>
      <c r="ITU4" s="386">
        <v>45870</v>
      </c>
      <c r="ITV4" s="386"/>
      <c r="ITW4" s="386"/>
      <c r="ITX4" s="386"/>
      <c r="ITY4" s="386"/>
      <c r="ITZ4" s="386"/>
      <c r="IUA4" s="386"/>
      <c r="IUB4" s="386"/>
      <c r="IUC4" s="386"/>
      <c r="IUD4" s="386"/>
      <c r="IUE4" s="386"/>
      <c r="IUF4" s="386"/>
      <c r="IUG4" s="386"/>
      <c r="IUH4" s="386"/>
      <c r="IUI4" s="386"/>
      <c r="IUJ4" s="386"/>
      <c r="IUK4" s="386">
        <v>45870</v>
      </c>
      <c r="IUL4" s="386"/>
      <c r="IUM4" s="386"/>
      <c r="IUN4" s="386"/>
      <c r="IUO4" s="386"/>
      <c r="IUP4" s="386"/>
      <c r="IUQ4" s="386"/>
      <c r="IUR4" s="386"/>
      <c r="IUS4" s="386"/>
      <c r="IUT4" s="386"/>
      <c r="IUU4" s="386"/>
      <c r="IUV4" s="386"/>
      <c r="IUW4" s="386"/>
      <c r="IUX4" s="386"/>
      <c r="IUY4" s="386"/>
      <c r="IUZ4" s="386"/>
      <c r="IVA4" s="386">
        <v>45870</v>
      </c>
      <c r="IVB4" s="386"/>
      <c r="IVC4" s="386"/>
      <c r="IVD4" s="386"/>
      <c r="IVE4" s="386"/>
      <c r="IVF4" s="386"/>
      <c r="IVG4" s="386"/>
      <c r="IVH4" s="386"/>
      <c r="IVI4" s="386"/>
      <c r="IVJ4" s="386"/>
      <c r="IVK4" s="386"/>
      <c r="IVL4" s="386"/>
      <c r="IVM4" s="386"/>
      <c r="IVN4" s="386"/>
      <c r="IVO4" s="386"/>
      <c r="IVP4" s="386"/>
      <c r="IVQ4" s="386">
        <v>45870</v>
      </c>
      <c r="IVR4" s="386"/>
      <c r="IVS4" s="386"/>
      <c r="IVT4" s="386"/>
      <c r="IVU4" s="386"/>
      <c r="IVV4" s="386"/>
      <c r="IVW4" s="386"/>
      <c r="IVX4" s="386"/>
      <c r="IVY4" s="386"/>
      <c r="IVZ4" s="386"/>
      <c r="IWA4" s="386"/>
      <c r="IWB4" s="386"/>
      <c r="IWC4" s="386"/>
      <c r="IWD4" s="386"/>
      <c r="IWE4" s="386"/>
      <c r="IWF4" s="386"/>
      <c r="IWG4" s="386">
        <v>45870</v>
      </c>
      <c r="IWH4" s="386"/>
      <c r="IWI4" s="386"/>
      <c r="IWJ4" s="386"/>
      <c r="IWK4" s="386"/>
      <c r="IWL4" s="386"/>
      <c r="IWM4" s="386"/>
      <c r="IWN4" s="386"/>
      <c r="IWO4" s="386"/>
      <c r="IWP4" s="386"/>
      <c r="IWQ4" s="386"/>
      <c r="IWR4" s="386"/>
      <c r="IWS4" s="386"/>
      <c r="IWT4" s="386"/>
      <c r="IWU4" s="386"/>
      <c r="IWV4" s="386"/>
      <c r="IWW4" s="386">
        <v>45870</v>
      </c>
      <c r="IWX4" s="386"/>
      <c r="IWY4" s="386"/>
      <c r="IWZ4" s="386"/>
      <c r="IXA4" s="386"/>
      <c r="IXB4" s="386"/>
      <c r="IXC4" s="386"/>
      <c r="IXD4" s="386"/>
      <c r="IXE4" s="386"/>
      <c r="IXF4" s="386"/>
      <c r="IXG4" s="386"/>
      <c r="IXH4" s="386"/>
      <c r="IXI4" s="386"/>
      <c r="IXJ4" s="386"/>
      <c r="IXK4" s="386"/>
      <c r="IXL4" s="386"/>
      <c r="IXM4" s="386">
        <v>45870</v>
      </c>
      <c r="IXN4" s="386"/>
      <c r="IXO4" s="386"/>
      <c r="IXP4" s="386"/>
      <c r="IXQ4" s="386"/>
      <c r="IXR4" s="386"/>
      <c r="IXS4" s="386"/>
      <c r="IXT4" s="386"/>
      <c r="IXU4" s="386"/>
      <c r="IXV4" s="386"/>
      <c r="IXW4" s="386"/>
      <c r="IXX4" s="386"/>
      <c r="IXY4" s="386"/>
      <c r="IXZ4" s="386"/>
      <c r="IYA4" s="386"/>
      <c r="IYB4" s="386"/>
      <c r="IYC4" s="386">
        <v>45870</v>
      </c>
      <c r="IYD4" s="386"/>
      <c r="IYE4" s="386"/>
      <c r="IYF4" s="386"/>
      <c r="IYG4" s="386"/>
      <c r="IYH4" s="386"/>
      <c r="IYI4" s="386"/>
      <c r="IYJ4" s="386"/>
      <c r="IYK4" s="386"/>
      <c r="IYL4" s="386"/>
      <c r="IYM4" s="386"/>
      <c r="IYN4" s="386"/>
      <c r="IYO4" s="386"/>
      <c r="IYP4" s="386"/>
      <c r="IYQ4" s="386"/>
      <c r="IYR4" s="386"/>
      <c r="IYS4" s="386">
        <v>45870</v>
      </c>
      <c r="IYT4" s="386"/>
      <c r="IYU4" s="386"/>
      <c r="IYV4" s="386"/>
      <c r="IYW4" s="386"/>
      <c r="IYX4" s="386"/>
      <c r="IYY4" s="386"/>
      <c r="IYZ4" s="386"/>
      <c r="IZA4" s="386"/>
      <c r="IZB4" s="386"/>
      <c r="IZC4" s="386"/>
      <c r="IZD4" s="386"/>
      <c r="IZE4" s="386"/>
      <c r="IZF4" s="386"/>
      <c r="IZG4" s="386"/>
      <c r="IZH4" s="386"/>
      <c r="IZI4" s="386">
        <v>45870</v>
      </c>
      <c r="IZJ4" s="386"/>
      <c r="IZK4" s="386"/>
      <c r="IZL4" s="386"/>
      <c r="IZM4" s="386"/>
      <c r="IZN4" s="386"/>
      <c r="IZO4" s="386"/>
      <c r="IZP4" s="386"/>
      <c r="IZQ4" s="386"/>
      <c r="IZR4" s="386"/>
      <c r="IZS4" s="386"/>
      <c r="IZT4" s="386"/>
      <c r="IZU4" s="386"/>
      <c r="IZV4" s="386"/>
      <c r="IZW4" s="386"/>
      <c r="IZX4" s="386"/>
      <c r="IZY4" s="386">
        <v>45870</v>
      </c>
      <c r="IZZ4" s="386"/>
      <c r="JAA4" s="386"/>
      <c r="JAB4" s="386"/>
      <c r="JAC4" s="386"/>
      <c r="JAD4" s="386"/>
      <c r="JAE4" s="386"/>
      <c r="JAF4" s="386"/>
      <c r="JAG4" s="386"/>
      <c r="JAH4" s="386"/>
      <c r="JAI4" s="386"/>
      <c r="JAJ4" s="386"/>
      <c r="JAK4" s="386"/>
      <c r="JAL4" s="386"/>
      <c r="JAM4" s="386"/>
      <c r="JAN4" s="386"/>
      <c r="JAO4" s="386">
        <v>45870</v>
      </c>
      <c r="JAP4" s="386"/>
      <c r="JAQ4" s="386"/>
      <c r="JAR4" s="386"/>
      <c r="JAS4" s="386"/>
      <c r="JAT4" s="386"/>
      <c r="JAU4" s="386"/>
      <c r="JAV4" s="386"/>
      <c r="JAW4" s="386"/>
      <c r="JAX4" s="386"/>
      <c r="JAY4" s="386"/>
      <c r="JAZ4" s="386"/>
      <c r="JBA4" s="386"/>
      <c r="JBB4" s="386"/>
      <c r="JBC4" s="386"/>
      <c r="JBD4" s="386"/>
      <c r="JBE4" s="386">
        <v>45870</v>
      </c>
      <c r="JBF4" s="386"/>
      <c r="JBG4" s="386"/>
      <c r="JBH4" s="386"/>
      <c r="JBI4" s="386"/>
      <c r="JBJ4" s="386"/>
      <c r="JBK4" s="386"/>
      <c r="JBL4" s="386"/>
      <c r="JBM4" s="386"/>
      <c r="JBN4" s="386"/>
      <c r="JBO4" s="386"/>
      <c r="JBP4" s="386"/>
      <c r="JBQ4" s="386"/>
      <c r="JBR4" s="386"/>
      <c r="JBS4" s="386"/>
      <c r="JBT4" s="386"/>
      <c r="JBU4" s="386">
        <v>45870</v>
      </c>
      <c r="JBV4" s="386"/>
      <c r="JBW4" s="386"/>
      <c r="JBX4" s="386"/>
      <c r="JBY4" s="386"/>
      <c r="JBZ4" s="386"/>
      <c r="JCA4" s="386"/>
      <c r="JCB4" s="386"/>
      <c r="JCC4" s="386"/>
      <c r="JCD4" s="386"/>
      <c r="JCE4" s="386"/>
      <c r="JCF4" s="386"/>
      <c r="JCG4" s="386"/>
      <c r="JCH4" s="386"/>
      <c r="JCI4" s="386"/>
      <c r="JCJ4" s="386"/>
      <c r="JCK4" s="386">
        <v>45870</v>
      </c>
      <c r="JCL4" s="386"/>
      <c r="JCM4" s="386"/>
      <c r="JCN4" s="386"/>
      <c r="JCO4" s="386"/>
      <c r="JCP4" s="386"/>
      <c r="JCQ4" s="386"/>
      <c r="JCR4" s="386"/>
      <c r="JCS4" s="386"/>
      <c r="JCT4" s="386"/>
      <c r="JCU4" s="386"/>
      <c r="JCV4" s="386"/>
      <c r="JCW4" s="386"/>
      <c r="JCX4" s="386"/>
      <c r="JCY4" s="386"/>
      <c r="JCZ4" s="386"/>
      <c r="JDA4" s="386">
        <v>45870</v>
      </c>
      <c r="JDB4" s="386"/>
      <c r="JDC4" s="386"/>
      <c r="JDD4" s="386"/>
      <c r="JDE4" s="386"/>
      <c r="JDF4" s="386"/>
      <c r="JDG4" s="386"/>
      <c r="JDH4" s="386"/>
      <c r="JDI4" s="386"/>
      <c r="JDJ4" s="386"/>
      <c r="JDK4" s="386"/>
      <c r="JDL4" s="386"/>
      <c r="JDM4" s="386"/>
      <c r="JDN4" s="386"/>
      <c r="JDO4" s="386"/>
      <c r="JDP4" s="386"/>
      <c r="JDQ4" s="386">
        <v>45870</v>
      </c>
      <c r="JDR4" s="386"/>
      <c r="JDS4" s="386"/>
      <c r="JDT4" s="386"/>
      <c r="JDU4" s="386"/>
      <c r="JDV4" s="386"/>
      <c r="JDW4" s="386"/>
      <c r="JDX4" s="386"/>
      <c r="JDY4" s="386"/>
      <c r="JDZ4" s="386"/>
      <c r="JEA4" s="386"/>
      <c r="JEB4" s="386"/>
      <c r="JEC4" s="386"/>
      <c r="JED4" s="386"/>
      <c r="JEE4" s="386"/>
      <c r="JEF4" s="386"/>
      <c r="JEG4" s="386">
        <v>45870</v>
      </c>
      <c r="JEH4" s="386"/>
      <c r="JEI4" s="386"/>
      <c r="JEJ4" s="386"/>
      <c r="JEK4" s="386"/>
      <c r="JEL4" s="386"/>
      <c r="JEM4" s="386"/>
      <c r="JEN4" s="386"/>
      <c r="JEO4" s="386"/>
      <c r="JEP4" s="386"/>
      <c r="JEQ4" s="386"/>
      <c r="JER4" s="386"/>
      <c r="JES4" s="386"/>
      <c r="JET4" s="386"/>
      <c r="JEU4" s="386"/>
      <c r="JEV4" s="386"/>
      <c r="JEW4" s="386">
        <v>45870</v>
      </c>
      <c r="JEX4" s="386"/>
      <c r="JEY4" s="386"/>
      <c r="JEZ4" s="386"/>
      <c r="JFA4" s="386"/>
      <c r="JFB4" s="386"/>
      <c r="JFC4" s="386"/>
      <c r="JFD4" s="386"/>
      <c r="JFE4" s="386"/>
      <c r="JFF4" s="386"/>
      <c r="JFG4" s="386"/>
      <c r="JFH4" s="386"/>
      <c r="JFI4" s="386"/>
      <c r="JFJ4" s="386"/>
      <c r="JFK4" s="386"/>
      <c r="JFL4" s="386"/>
      <c r="JFM4" s="386">
        <v>45870</v>
      </c>
      <c r="JFN4" s="386"/>
      <c r="JFO4" s="386"/>
      <c r="JFP4" s="386"/>
      <c r="JFQ4" s="386"/>
      <c r="JFR4" s="386"/>
      <c r="JFS4" s="386"/>
      <c r="JFT4" s="386"/>
      <c r="JFU4" s="386"/>
      <c r="JFV4" s="386"/>
      <c r="JFW4" s="386"/>
      <c r="JFX4" s="386"/>
      <c r="JFY4" s="386"/>
      <c r="JFZ4" s="386"/>
      <c r="JGA4" s="386"/>
      <c r="JGB4" s="386"/>
      <c r="JGC4" s="386">
        <v>45870</v>
      </c>
      <c r="JGD4" s="386"/>
      <c r="JGE4" s="386"/>
      <c r="JGF4" s="386"/>
      <c r="JGG4" s="386"/>
      <c r="JGH4" s="386"/>
      <c r="JGI4" s="386"/>
      <c r="JGJ4" s="386"/>
      <c r="JGK4" s="386"/>
      <c r="JGL4" s="386"/>
      <c r="JGM4" s="386"/>
      <c r="JGN4" s="386"/>
      <c r="JGO4" s="386"/>
      <c r="JGP4" s="386"/>
      <c r="JGQ4" s="386"/>
      <c r="JGR4" s="386"/>
      <c r="JGS4" s="386">
        <v>45870</v>
      </c>
      <c r="JGT4" s="386"/>
      <c r="JGU4" s="386"/>
      <c r="JGV4" s="386"/>
      <c r="JGW4" s="386"/>
      <c r="JGX4" s="386"/>
      <c r="JGY4" s="386"/>
      <c r="JGZ4" s="386"/>
      <c r="JHA4" s="386"/>
      <c r="JHB4" s="386"/>
      <c r="JHC4" s="386"/>
      <c r="JHD4" s="386"/>
      <c r="JHE4" s="386"/>
      <c r="JHF4" s="386"/>
      <c r="JHG4" s="386"/>
      <c r="JHH4" s="386"/>
      <c r="JHI4" s="386">
        <v>45870</v>
      </c>
      <c r="JHJ4" s="386"/>
      <c r="JHK4" s="386"/>
      <c r="JHL4" s="386"/>
      <c r="JHM4" s="386"/>
      <c r="JHN4" s="386"/>
      <c r="JHO4" s="386"/>
      <c r="JHP4" s="386"/>
      <c r="JHQ4" s="386"/>
      <c r="JHR4" s="386"/>
      <c r="JHS4" s="386"/>
      <c r="JHT4" s="386"/>
      <c r="JHU4" s="386"/>
      <c r="JHV4" s="386"/>
      <c r="JHW4" s="386"/>
      <c r="JHX4" s="386"/>
      <c r="JHY4" s="386">
        <v>45870</v>
      </c>
      <c r="JHZ4" s="386"/>
      <c r="JIA4" s="386"/>
      <c r="JIB4" s="386"/>
      <c r="JIC4" s="386"/>
      <c r="JID4" s="386"/>
      <c r="JIE4" s="386"/>
      <c r="JIF4" s="386"/>
      <c r="JIG4" s="386"/>
      <c r="JIH4" s="386"/>
      <c r="JII4" s="386"/>
      <c r="JIJ4" s="386"/>
      <c r="JIK4" s="386"/>
      <c r="JIL4" s="386"/>
      <c r="JIM4" s="386"/>
      <c r="JIN4" s="386"/>
      <c r="JIO4" s="386">
        <v>45870</v>
      </c>
      <c r="JIP4" s="386"/>
      <c r="JIQ4" s="386"/>
      <c r="JIR4" s="386"/>
      <c r="JIS4" s="386"/>
      <c r="JIT4" s="386"/>
      <c r="JIU4" s="386"/>
      <c r="JIV4" s="386"/>
      <c r="JIW4" s="386"/>
      <c r="JIX4" s="386"/>
      <c r="JIY4" s="386"/>
      <c r="JIZ4" s="386"/>
      <c r="JJA4" s="386"/>
      <c r="JJB4" s="386"/>
      <c r="JJC4" s="386"/>
      <c r="JJD4" s="386"/>
      <c r="JJE4" s="386">
        <v>45870</v>
      </c>
      <c r="JJF4" s="386"/>
      <c r="JJG4" s="386"/>
      <c r="JJH4" s="386"/>
      <c r="JJI4" s="386"/>
      <c r="JJJ4" s="386"/>
      <c r="JJK4" s="386"/>
      <c r="JJL4" s="386"/>
      <c r="JJM4" s="386"/>
      <c r="JJN4" s="386"/>
      <c r="JJO4" s="386"/>
      <c r="JJP4" s="386"/>
      <c r="JJQ4" s="386"/>
      <c r="JJR4" s="386"/>
      <c r="JJS4" s="386"/>
      <c r="JJT4" s="386"/>
      <c r="JJU4" s="386">
        <v>45870</v>
      </c>
      <c r="JJV4" s="386"/>
      <c r="JJW4" s="386"/>
      <c r="JJX4" s="386"/>
      <c r="JJY4" s="386"/>
      <c r="JJZ4" s="386"/>
      <c r="JKA4" s="386"/>
      <c r="JKB4" s="386"/>
      <c r="JKC4" s="386"/>
      <c r="JKD4" s="386"/>
      <c r="JKE4" s="386"/>
      <c r="JKF4" s="386"/>
      <c r="JKG4" s="386"/>
      <c r="JKH4" s="386"/>
      <c r="JKI4" s="386"/>
      <c r="JKJ4" s="386"/>
      <c r="JKK4" s="386">
        <v>45870</v>
      </c>
      <c r="JKL4" s="386"/>
      <c r="JKM4" s="386"/>
      <c r="JKN4" s="386"/>
      <c r="JKO4" s="386"/>
      <c r="JKP4" s="386"/>
      <c r="JKQ4" s="386"/>
      <c r="JKR4" s="386"/>
      <c r="JKS4" s="386"/>
      <c r="JKT4" s="386"/>
      <c r="JKU4" s="386"/>
      <c r="JKV4" s="386"/>
      <c r="JKW4" s="386"/>
      <c r="JKX4" s="386"/>
      <c r="JKY4" s="386"/>
      <c r="JKZ4" s="386"/>
      <c r="JLA4" s="386">
        <v>45870</v>
      </c>
      <c r="JLB4" s="386"/>
      <c r="JLC4" s="386"/>
      <c r="JLD4" s="386"/>
      <c r="JLE4" s="386"/>
      <c r="JLF4" s="386"/>
      <c r="JLG4" s="386"/>
      <c r="JLH4" s="386"/>
      <c r="JLI4" s="386"/>
      <c r="JLJ4" s="386"/>
      <c r="JLK4" s="386"/>
      <c r="JLL4" s="386"/>
      <c r="JLM4" s="386"/>
      <c r="JLN4" s="386"/>
      <c r="JLO4" s="386"/>
      <c r="JLP4" s="386"/>
      <c r="JLQ4" s="386">
        <v>45870</v>
      </c>
      <c r="JLR4" s="386"/>
      <c r="JLS4" s="386"/>
      <c r="JLT4" s="386"/>
      <c r="JLU4" s="386"/>
      <c r="JLV4" s="386"/>
      <c r="JLW4" s="386"/>
      <c r="JLX4" s="386"/>
      <c r="JLY4" s="386"/>
      <c r="JLZ4" s="386"/>
      <c r="JMA4" s="386"/>
      <c r="JMB4" s="386"/>
      <c r="JMC4" s="386"/>
      <c r="JMD4" s="386"/>
      <c r="JME4" s="386"/>
      <c r="JMF4" s="386"/>
      <c r="JMG4" s="386">
        <v>45870</v>
      </c>
      <c r="JMH4" s="386"/>
      <c r="JMI4" s="386"/>
      <c r="JMJ4" s="386"/>
      <c r="JMK4" s="386"/>
      <c r="JML4" s="386"/>
      <c r="JMM4" s="386"/>
      <c r="JMN4" s="386"/>
      <c r="JMO4" s="386"/>
      <c r="JMP4" s="386"/>
      <c r="JMQ4" s="386"/>
      <c r="JMR4" s="386"/>
      <c r="JMS4" s="386"/>
      <c r="JMT4" s="386"/>
      <c r="JMU4" s="386"/>
      <c r="JMV4" s="386"/>
      <c r="JMW4" s="386">
        <v>45870</v>
      </c>
      <c r="JMX4" s="386"/>
      <c r="JMY4" s="386"/>
      <c r="JMZ4" s="386"/>
      <c r="JNA4" s="386"/>
      <c r="JNB4" s="386"/>
      <c r="JNC4" s="386"/>
      <c r="JND4" s="386"/>
      <c r="JNE4" s="386"/>
      <c r="JNF4" s="386"/>
      <c r="JNG4" s="386"/>
      <c r="JNH4" s="386"/>
      <c r="JNI4" s="386"/>
      <c r="JNJ4" s="386"/>
      <c r="JNK4" s="386"/>
      <c r="JNL4" s="386"/>
      <c r="JNM4" s="386">
        <v>45870</v>
      </c>
      <c r="JNN4" s="386"/>
      <c r="JNO4" s="386"/>
      <c r="JNP4" s="386"/>
      <c r="JNQ4" s="386"/>
      <c r="JNR4" s="386"/>
      <c r="JNS4" s="386"/>
      <c r="JNT4" s="386"/>
      <c r="JNU4" s="386"/>
      <c r="JNV4" s="386"/>
      <c r="JNW4" s="386"/>
      <c r="JNX4" s="386"/>
      <c r="JNY4" s="386"/>
      <c r="JNZ4" s="386"/>
      <c r="JOA4" s="386"/>
      <c r="JOB4" s="386"/>
      <c r="JOC4" s="386">
        <v>45870</v>
      </c>
      <c r="JOD4" s="386"/>
      <c r="JOE4" s="386"/>
      <c r="JOF4" s="386"/>
      <c r="JOG4" s="386"/>
      <c r="JOH4" s="386"/>
      <c r="JOI4" s="386"/>
      <c r="JOJ4" s="386"/>
      <c r="JOK4" s="386"/>
      <c r="JOL4" s="386"/>
      <c r="JOM4" s="386"/>
      <c r="JON4" s="386"/>
      <c r="JOO4" s="386"/>
      <c r="JOP4" s="386"/>
      <c r="JOQ4" s="386"/>
      <c r="JOR4" s="386"/>
      <c r="JOS4" s="386">
        <v>45870</v>
      </c>
      <c r="JOT4" s="386"/>
      <c r="JOU4" s="386"/>
      <c r="JOV4" s="386"/>
      <c r="JOW4" s="386"/>
      <c r="JOX4" s="386"/>
      <c r="JOY4" s="386"/>
      <c r="JOZ4" s="386"/>
      <c r="JPA4" s="386"/>
      <c r="JPB4" s="386"/>
      <c r="JPC4" s="386"/>
      <c r="JPD4" s="386"/>
      <c r="JPE4" s="386"/>
      <c r="JPF4" s="386"/>
      <c r="JPG4" s="386"/>
      <c r="JPH4" s="386"/>
      <c r="JPI4" s="386">
        <v>45870</v>
      </c>
      <c r="JPJ4" s="386"/>
      <c r="JPK4" s="386"/>
      <c r="JPL4" s="386"/>
      <c r="JPM4" s="386"/>
      <c r="JPN4" s="386"/>
      <c r="JPO4" s="386"/>
      <c r="JPP4" s="386"/>
      <c r="JPQ4" s="386"/>
      <c r="JPR4" s="386"/>
      <c r="JPS4" s="386"/>
      <c r="JPT4" s="386"/>
      <c r="JPU4" s="386"/>
      <c r="JPV4" s="386"/>
      <c r="JPW4" s="386"/>
      <c r="JPX4" s="386"/>
      <c r="JPY4" s="386">
        <v>45870</v>
      </c>
      <c r="JPZ4" s="386"/>
      <c r="JQA4" s="386"/>
      <c r="JQB4" s="386"/>
      <c r="JQC4" s="386"/>
      <c r="JQD4" s="386"/>
      <c r="JQE4" s="386"/>
      <c r="JQF4" s="386"/>
      <c r="JQG4" s="386"/>
      <c r="JQH4" s="386"/>
      <c r="JQI4" s="386"/>
      <c r="JQJ4" s="386"/>
      <c r="JQK4" s="386"/>
      <c r="JQL4" s="386"/>
      <c r="JQM4" s="386"/>
      <c r="JQN4" s="386"/>
      <c r="JQO4" s="386">
        <v>45870</v>
      </c>
      <c r="JQP4" s="386"/>
      <c r="JQQ4" s="386"/>
      <c r="JQR4" s="386"/>
      <c r="JQS4" s="386"/>
      <c r="JQT4" s="386"/>
      <c r="JQU4" s="386"/>
      <c r="JQV4" s="386"/>
      <c r="JQW4" s="386"/>
      <c r="JQX4" s="386"/>
      <c r="JQY4" s="386"/>
      <c r="JQZ4" s="386"/>
      <c r="JRA4" s="386"/>
      <c r="JRB4" s="386"/>
      <c r="JRC4" s="386"/>
      <c r="JRD4" s="386"/>
      <c r="JRE4" s="386">
        <v>45870</v>
      </c>
      <c r="JRF4" s="386"/>
      <c r="JRG4" s="386"/>
      <c r="JRH4" s="386"/>
      <c r="JRI4" s="386"/>
      <c r="JRJ4" s="386"/>
      <c r="JRK4" s="386"/>
      <c r="JRL4" s="386"/>
      <c r="JRM4" s="386"/>
      <c r="JRN4" s="386"/>
      <c r="JRO4" s="386"/>
      <c r="JRP4" s="386"/>
      <c r="JRQ4" s="386"/>
      <c r="JRR4" s="386"/>
      <c r="JRS4" s="386"/>
      <c r="JRT4" s="386"/>
      <c r="JRU4" s="386">
        <v>45870</v>
      </c>
      <c r="JRV4" s="386"/>
      <c r="JRW4" s="386"/>
      <c r="JRX4" s="386"/>
      <c r="JRY4" s="386"/>
      <c r="JRZ4" s="386"/>
      <c r="JSA4" s="386"/>
      <c r="JSB4" s="386"/>
      <c r="JSC4" s="386"/>
      <c r="JSD4" s="386"/>
      <c r="JSE4" s="386"/>
      <c r="JSF4" s="386"/>
      <c r="JSG4" s="386"/>
      <c r="JSH4" s="386"/>
      <c r="JSI4" s="386"/>
      <c r="JSJ4" s="386"/>
      <c r="JSK4" s="386">
        <v>45870</v>
      </c>
      <c r="JSL4" s="386"/>
      <c r="JSM4" s="386"/>
      <c r="JSN4" s="386"/>
      <c r="JSO4" s="386"/>
      <c r="JSP4" s="386"/>
      <c r="JSQ4" s="386"/>
      <c r="JSR4" s="386"/>
      <c r="JSS4" s="386"/>
      <c r="JST4" s="386"/>
      <c r="JSU4" s="386"/>
      <c r="JSV4" s="386"/>
      <c r="JSW4" s="386"/>
      <c r="JSX4" s="386"/>
      <c r="JSY4" s="386"/>
      <c r="JSZ4" s="386"/>
      <c r="JTA4" s="386">
        <v>45870</v>
      </c>
      <c r="JTB4" s="386"/>
      <c r="JTC4" s="386"/>
      <c r="JTD4" s="386"/>
      <c r="JTE4" s="386"/>
      <c r="JTF4" s="386"/>
      <c r="JTG4" s="386"/>
      <c r="JTH4" s="386"/>
      <c r="JTI4" s="386"/>
      <c r="JTJ4" s="386"/>
      <c r="JTK4" s="386"/>
      <c r="JTL4" s="386"/>
      <c r="JTM4" s="386"/>
      <c r="JTN4" s="386"/>
      <c r="JTO4" s="386"/>
      <c r="JTP4" s="386"/>
      <c r="JTQ4" s="386">
        <v>45870</v>
      </c>
      <c r="JTR4" s="386"/>
      <c r="JTS4" s="386"/>
      <c r="JTT4" s="386"/>
      <c r="JTU4" s="386"/>
      <c r="JTV4" s="386"/>
      <c r="JTW4" s="386"/>
      <c r="JTX4" s="386"/>
      <c r="JTY4" s="386"/>
      <c r="JTZ4" s="386"/>
      <c r="JUA4" s="386"/>
      <c r="JUB4" s="386"/>
      <c r="JUC4" s="386"/>
      <c r="JUD4" s="386"/>
      <c r="JUE4" s="386"/>
      <c r="JUF4" s="386"/>
      <c r="JUG4" s="386">
        <v>45870</v>
      </c>
      <c r="JUH4" s="386"/>
      <c r="JUI4" s="386"/>
      <c r="JUJ4" s="386"/>
      <c r="JUK4" s="386"/>
      <c r="JUL4" s="386"/>
      <c r="JUM4" s="386"/>
      <c r="JUN4" s="386"/>
      <c r="JUO4" s="386"/>
      <c r="JUP4" s="386"/>
      <c r="JUQ4" s="386"/>
      <c r="JUR4" s="386"/>
      <c r="JUS4" s="386"/>
      <c r="JUT4" s="386"/>
      <c r="JUU4" s="386"/>
      <c r="JUV4" s="386"/>
      <c r="JUW4" s="386">
        <v>45870</v>
      </c>
      <c r="JUX4" s="386"/>
      <c r="JUY4" s="386"/>
      <c r="JUZ4" s="386"/>
      <c r="JVA4" s="386"/>
      <c r="JVB4" s="386"/>
      <c r="JVC4" s="386"/>
      <c r="JVD4" s="386"/>
      <c r="JVE4" s="386"/>
      <c r="JVF4" s="386"/>
      <c r="JVG4" s="386"/>
      <c r="JVH4" s="386"/>
      <c r="JVI4" s="386"/>
      <c r="JVJ4" s="386"/>
      <c r="JVK4" s="386"/>
      <c r="JVL4" s="386"/>
      <c r="JVM4" s="386">
        <v>45870</v>
      </c>
      <c r="JVN4" s="386"/>
      <c r="JVO4" s="386"/>
      <c r="JVP4" s="386"/>
      <c r="JVQ4" s="386"/>
      <c r="JVR4" s="386"/>
      <c r="JVS4" s="386"/>
      <c r="JVT4" s="386"/>
      <c r="JVU4" s="386"/>
      <c r="JVV4" s="386"/>
      <c r="JVW4" s="386"/>
      <c r="JVX4" s="386"/>
      <c r="JVY4" s="386"/>
      <c r="JVZ4" s="386"/>
      <c r="JWA4" s="386"/>
      <c r="JWB4" s="386"/>
      <c r="JWC4" s="386">
        <v>45870</v>
      </c>
      <c r="JWD4" s="386"/>
      <c r="JWE4" s="386"/>
      <c r="JWF4" s="386"/>
      <c r="JWG4" s="386"/>
      <c r="JWH4" s="386"/>
      <c r="JWI4" s="386"/>
      <c r="JWJ4" s="386"/>
      <c r="JWK4" s="386"/>
      <c r="JWL4" s="386"/>
      <c r="JWM4" s="386"/>
      <c r="JWN4" s="386"/>
      <c r="JWO4" s="386"/>
      <c r="JWP4" s="386"/>
      <c r="JWQ4" s="386"/>
      <c r="JWR4" s="386"/>
      <c r="JWS4" s="386">
        <v>45870</v>
      </c>
      <c r="JWT4" s="386"/>
      <c r="JWU4" s="386"/>
      <c r="JWV4" s="386"/>
      <c r="JWW4" s="386"/>
      <c r="JWX4" s="386"/>
      <c r="JWY4" s="386"/>
      <c r="JWZ4" s="386"/>
      <c r="JXA4" s="386"/>
      <c r="JXB4" s="386"/>
      <c r="JXC4" s="386"/>
      <c r="JXD4" s="386"/>
      <c r="JXE4" s="386"/>
      <c r="JXF4" s="386"/>
      <c r="JXG4" s="386"/>
      <c r="JXH4" s="386"/>
      <c r="JXI4" s="386">
        <v>45870</v>
      </c>
      <c r="JXJ4" s="386"/>
      <c r="JXK4" s="386"/>
      <c r="JXL4" s="386"/>
      <c r="JXM4" s="386"/>
      <c r="JXN4" s="386"/>
      <c r="JXO4" s="386"/>
      <c r="JXP4" s="386"/>
      <c r="JXQ4" s="386"/>
      <c r="JXR4" s="386"/>
      <c r="JXS4" s="386"/>
      <c r="JXT4" s="386"/>
      <c r="JXU4" s="386"/>
      <c r="JXV4" s="386"/>
      <c r="JXW4" s="386"/>
      <c r="JXX4" s="386"/>
      <c r="JXY4" s="386">
        <v>45870</v>
      </c>
      <c r="JXZ4" s="386"/>
      <c r="JYA4" s="386"/>
      <c r="JYB4" s="386"/>
      <c r="JYC4" s="386"/>
      <c r="JYD4" s="386"/>
      <c r="JYE4" s="386"/>
      <c r="JYF4" s="386"/>
      <c r="JYG4" s="386"/>
      <c r="JYH4" s="386"/>
      <c r="JYI4" s="386"/>
      <c r="JYJ4" s="386"/>
      <c r="JYK4" s="386"/>
      <c r="JYL4" s="386"/>
      <c r="JYM4" s="386"/>
      <c r="JYN4" s="386"/>
      <c r="JYO4" s="386">
        <v>45870</v>
      </c>
      <c r="JYP4" s="386"/>
      <c r="JYQ4" s="386"/>
      <c r="JYR4" s="386"/>
      <c r="JYS4" s="386"/>
      <c r="JYT4" s="386"/>
      <c r="JYU4" s="386"/>
      <c r="JYV4" s="386"/>
      <c r="JYW4" s="386"/>
      <c r="JYX4" s="386"/>
      <c r="JYY4" s="386"/>
      <c r="JYZ4" s="386"/>
      <c r="JZA4" s="386"/>
      <c r="JZB4" s="386"/>
      <c r="JZC4" s="386"/>
      <c r="JZD4" s="386"/>
      <c r="JZE4" s="386">
        <v>45870</v>
      </c>
      <c r="JZF4" s="386"/>
      <c r="JZG4" s="386"/>
      <c r="JZH4" s="386"/>
      <c r="JZI4" s="386"/>
      <c r="JZJ4" s="386"/>
      <c r="JZK4" s="386"/>
      <c r="JZL4" s="386"/>
      <c r="JZM4" s="386"/>
      <c r="JZN4" s="386"/>
      <c r="JZO4" s="386"/>
      <c r="JZP4" s="386"/>
      <c r="JZQ4" s="386"/>
      <c r="JZR4" s="386"/>
      <c r="JZS4" s="386"/>
      <c r="JZT4" s="386"/>
      <c r="JZU4" s="386">
        <v>45870</v>
      </c>
      <c r="JZV4" s="386"/>
      <c r="JZW4" s="386"/>
      <c r="JZX4" s="386"/>
      <c r="JZY4" s="386"/>
      <c r="JZZ4" s="386"/>
      <c r="KAA4" s="386"/>
      <c r="KAB4" s="386"/>
      <c r="KAC4" s="386"/>
      <c r="KAD4" s="386"/>
      <c r="KAE4" s="386"/>
      <c r="KAF4" s="386"/>
      <c r="KAG4" s="386"/>
      <c r="KAH4" s="386"/>
      <c r="KAI4" s="386"/>
      <c r="KAJ4" s="386"/>
      <c r="KAK4" s="386">
        <v>45870</v>
      </c>
      <c r="KAL4" s="386"/>
      <c r="KAM4" s="386"/>
      <c r="KAN4" s="386"/>
      <c r="KAO4" s="386"/>
      <c r="KAP4" s="386"/>
      <c r="KAQ4" s="386"/>
      <c r="KAR4" s="386"/>
      <c r="KAS4" s="386"/>
      <c r="KAT4" s="386"/>
      <c r="KAU4" s="386"/>
      <c r="KAV4" s="386"/>
      <c r="KAW4" s="386"/>
      <c r="KAX4" s="386"/>
      <c r="KAY4" s="386"/>
      <c r="KAZ4" s="386"/>
      <c r="KBA4" s="386">
        <v>45870</v>
      </c>
      <c r="KBB4" s="386"/>
      <c r="KBC4" s="386"/>
      <c r="KBD4" s="386"/>
      <c r="KBE4" s="386"/>
      <c r="KBF4" s="386"/>
      <c r="KBG4" s="386"/>
      <c r="KBH4" s="386"/>
      <c r="KBI4" s="386"/>
      <c r="KBJ4" s="386"/>
      <c r="KBK4" s="386"/>
      <c r="KBL4" s="386"/>
      <c r="KBM4" s="386"/>
      <c r="KBN4" s="386"/>
      <c r="KBO4" s="386"/>
      <c r="KBP4" s="386"/>
      <c r="KBQ4" s="386">
        <v>45870</v>
      </c>
      <c r="KBR4" s="386"/>
      <c r="KBS4" s="386"/>
      <c r="KBT4" s="386"/>
      <c r="KBU4" s="386"/>
      <c r="KBV4" s="386"/>
      <c r="KBW4" s="386"/>
      <c r="KBX4" s="386"/>
      <c r="KBY4" s="386"/>
      <c r="KBZ4" s="386"/>
      <c r="KCA4" s="386"/>
      <c r="KCB4" s="386"/>
      <c r="KCC4" s="386"/>
      <c r="KCD4" s="386"/>
      <c r="KCE4" s="386"/>
      <c r="KCF4" s="386"/>
      <c r="KCG4" s="386">
        <v>45870</v>
      </c>
      <c r="KCH4" s="386"/>
      <c r="KCI4" s="386"/>
      <c r="KCJ4" s="386"/>
      <c r="KCK4" s="386"/>
      <c r="KCL4" s="386"/>
      <c r="KCM4" s="386"/>
      <c r="KCN4" s="386"/>
      <c r="KCO4" s="386"/>
      <c r="KCP4" s="386"/>
      <c r="KCQ4" s="386"/>
      <c r="KCR4" s="386"/>
      <c r="KCS4" s="386"/>
      <c r="KCT4" s="386"/>
      <c r="KCU4" s="386"/>
      <c r="KCV4" s="386"/>
      <c r="KCW4" s="386">
        <v>45870</v>
      </c>
      <c r="KCX4" s="386"/>
      <c r="KCY4" s="386"/>
      <c r="KCZ4" s="386"/>
      <c r="KDA4" s="386"/>
      <c r="KDB4" s="386"/>
      <c r="KDC4" s="386"/>
      <c r="KDD4" s="386"/>
      <c r="KDE4" s="386"/>
      <c r="KDF4" s="386"/>
      <c r="KDG4" s="386"/>
      <c r="KDH4" s="386"/>
      <c r="KDI4" s="386"/>
      <c r="KDJ4" s="386"/>
      <c r="KDK4" s="386"/>
      <c r="KDL4" s="386"/>
      <c r="KDM4" s="386">
        <v>45870</v>
      </c>
      <c r="KDN4" s="386"/>
      <c r="KDO4" s="386"/>
      <c r="KDP4" s="386"/>
      <c r="KDQ4" s="386"/>
      <c r="KDR4" s="386"/>
      <c r="KDS4" s="386"/>
      <c r="KDT4" s="386"/>
      <c r="KDU4" s="386"/>
      <c r="KDV4" s="386"/>
      <c r="KDW4" s="386"/>
      <c r="KDX4" s="386"/>
      <c r="KDY4" s="386"/>
      <c r="KDZ4" s="386"/>
      <c r="KEA4" s="386"/>
      <c r="KEB4" s="386"/>
      <c r="KEC4" s="386">
        <v>45870</v>
      </c>
      <c r="KED4" s="386"/>
      <c r="KEE4" s="386"/>
      <c r="KEF4" s="386"/>
      <c r="KEG4" s="386"/>
      <c r="KEH4" s="386"/>
      <c r="KEI4" s="386"/>
      <c r="KEJ4" s="386"/>
      <c r="KEK4" s="386"/>
      <c r="KEL4" s="386"/>
      <c r="KEM4" s="386"/>
      <c r="KEN4" s="386"/>
      <c r="KEO4" s="386"/>
      <c r="KEP4" s="386"/>
      <c r="KEQ4" s="386"/>
      <c r="KER4" s="386"/>
      <c r="KES4" s="386">
        <v>45870</v>
      </c>
      <c r="KET4" s="386"/>
      <c r="KEU4" s="386"/>
      <c r="KEV4" s="386"/>
      <c r="KEW4" s="386"/>
      <c r="KEX4" s="386"/>
      <c r="KEY4" s="386"/>
      <c r="KEZ4" s="386"/>
      <c r="KFA4" s="386"/>
      <c r="KFB4" s="386"/>
      <c r="KFC4" s="386"/>
      <c r="KFD4" s="386"/>
      <c r="KFE4" s="386"/>
      <c r="KFF4" s="386"/>
      <c r="KFG4" s="386"/>
      <c r="KFH4" s="386"/>
      <c r="KFI4" s="386">
        <v>45870</v>
      </c>
      <c r="KFJ4" s="386"/>
      <c r="KFK4" s="386"/>
      <c r="KFL4" s="386"/>
      <c r="KFM4" s="386"/>
      <c r="KFN4" s="386"/>
      <c r="KFO4" s="386"/>
      <c r="KFP4" s="386"/>
      <c r="KFQ4" s="386"/>
      <c r="KFR4" s="386"/>
      <c r="KFS4" s="386"/>
      <c r="KFT4" s="386"/>
      <c r="KFU4" s="386"/>
      <c r="KFV4" s="386"/>
      <c r="KFW4" s="386"/>
      <c r="KFX4" s="386"/>
      <c r="KFY4" s="386">
        <v>45870</v>
      </c>
      <c r="KFZ4" s="386"/>
      <c r="KGA4" s="386"/>
      <c r="KGB4" s="386"/>
      <c r="KGC4" s="386"/>
      <c r="KGD4" s="386"/>
      <c r="KGE4" s="386"/>
      <c r="KGF4" s="386"/>
      <c r="KGG4" s="386"/>
      <c r="KGH4" s="386"/>
      <c r="KGI4" s="386"/>
      <c r="KGJ4" s="386"/>
      <c r="KGK4" s="386"/>
      <c r="KGL4" s="386"/>
      <c r="KGM4" s="386"/>
      <c r="KGN4" s="386"/>
      <c r="KGO4" s="386">
        <v>45870</v>
      </c>
      <c r="KGP4" s="386"/>
      <c r="KGQ4" s="386"/>
      <c r="KGR4" s="386"/>
      <c r="KGS4" s="386"/>
      <c r="KGT4" s="386"/>
      <c r="KGU4" s="386"/>
      <c r="KGV4" s="386"/>
      <c r="KGW4" s="386"/>
      <c r="KGX4" s="386"/>
      <c r="KGY4" s="386"/>
      <c r="KGZ4" s="386"/>
      <c r="KHA4" s="386"/>
      <c r="KHB4" s="386"/>
      <c r="KHC4" s="386"/>
      <c r="KHD4" s="386"/>
      <c r="KHE4" s="386">
        <v>45870</v>
      </c>
      <c r="KHF4" s="386"/>
      <c r="KHG4" s="386"/>
      <c r="KHH4" s="386"/>
      <c r="KHI4" s="386"/>
      <c r="KHJ4" s="386"/>
      <c r="KHK4" s="386"/>
      <c r="KHL4" s="386"/>
      <c r="KHM4" s="386"/>
      <c r="KHN4" s="386"/>
      <c r="KHO4" s="386"/>
      <c r="KHP4" s="386"/>
      <c r="KHQ4" s="386"/>
      <c r="KHR4" s="386"/>
      <c r="KHS4" s="386"/>
      <c r="KHT4" s="386"/>
      <c r="KHU4" s="386">
        <v>45870</v>
      </c>
      <c r="KHV4" s="386"/>
      <c r="KHW4" s="386"/>
      <c r="KHX4" s="386"/>
      <c r="KHY4" s="386"/>
      <c r="KHZ4" s="386"/>
      <c r="KIA4" s="386"/>
      <c r="KIB4" s="386"/>
      <c r="KIC4" s="386"/>
      <c r="KID4" s="386"/>
      <c r="KIE4" s="386"/>
      <c r="KIF4" s="386"/>
      <c r="KIG4" s="386"/>
      <c r="KIH4" s="386"/>
      <c r="KII4" s="386"/>
      <c r="KIJ4" s="386"/>
      <c r="KIK4" s="386">
        <v>45870</v>
      </c>
      <c r="KIL4" s="386"/>
      <c r="KIM4" s="386"/>
      <c r="KIN4" s="386"/>
      <c r="KIO4" s="386"/>
      <c r="KIP4" s="386"/>
      <c r="KIQ4" s="386"/>
      <c r="KIR4" s="386"/>
      <c r="KIS4" s="386"/>
      <c r="KIT4" s="386"/>
      <c r="KIU4" s="386"/>
      <c r="KIV4" s="386"/>
      <c r="KIW4" s="386"/>
      <c r="KIX4" s="386"/>
      <c r="KIY4" s="386"/>
      <c r="KIZ4" s="386"/>
      <c r="KJA4" s="386">
        <v>45870</v>
      </c>
      <c r="KJB4" s="386"/>
      <c r="KJC4" s="386"/>
      <c r="KJD4" s="386"/>
      <c r="KJE4" s="386"/>
      <c r="KJF4" s="386"/>
      <c r="KJG4" s="386"/>
      <c r="KJH4" s="386"/>
      <c r="KJI4" s="386"/>
      <c r="KJJ4" s="386"/>
      <c r="KJK4" s="386"/>
      <c r="KJL4" s="386"/>
      <c r="KJM4" s="386"/>
      <c r="KJN4" s="386"/>
      <c r="KJO4" s="386"/>
      <c r="KJP4" s="386"/>
      <c r="KJQ4" s="386">
        <v>45870</v>
      </c>
      <c r="KJR4" s="386"/>
      <c r="KJS4" s="386"/>
      <c r="KJT4" s="386"/>
      <c r="KJU4" s="386"/>
      <c r="KJV4" s="386"/>
      <c r="KJW4" s="386"/>
      <c r="KJX4" s="386"/>
      <c r="KJY4" s="386"/>
      <c r="KJZ4" s="386"/>
      <c r="KKA4" s="386"/>
      <c r="KKB4" s="386"/>
      <c r="KKC4" s="386"/>
      <c r="KKD4" s="386"/>
      <c r="KKE4" s="386"/>
      <c r="KKF4" s="386"/>
      <c r="KKG4" s="386">
        <v>45870</v>
      </c>
      <c r="KKH4" s="386"/>
      <c r="KKI4" s="386"/>
      <c r="KKJ4" s="386"/>
      <c r="KKK4" s="386"/>
      <c r="KKL4" s="386"/>
      <c r="KKM4" s="386"/>
      <c r="KKN4" s="386"/>
      <c r="KKO4" s="386"/>
      <c r="KKP4" s="386"/>
      <c r="KKQ4" s="386"/>
      <c r="KKR4" s="386"/>
      <c r="KKS4" s="386"/>
      <c r="KKT4" s="386"/>
      <c r="KKU4" s="386"/>
      <c r="KKV4" s="386"/>
      <c r="KKW4" s="386">
        <v>45870</v>
      </c>
      <c r="KKX4" s="386"/>
      <c r="KKY4" s="386"/>
      <c r="KKZ4" s="386"/>
      <c r="KLA4" s="386"/>
      <c r="KLB4" s="386"/>
      <c r="KLC4" s="386"/>
      <c r="KLD4" s="386"/>
      <c r="KLE4" s="386"/>
      <c r="KLF4" s="386"/>
      <c r="KLG4" s="386"/>
      <c r="KLH4" s="386"/>
      <c r="KLI4" s="386"/>
      <c r="KLJ4" s="386"/>
      <c r="KLK4" s="386"/>
      <c r="KLL4" s="386"/>
      <c r="KLM4" s="386">
        <v>45870</v>
      </c>
      <c r="KLN4" s="386"/>
      <c r="KLO4" s="386"/>
      <c r="KLP4" s="386"/>
      <c r="KLQ4" s="386"/>
      <c r="KLR4" s="386"/>
      <c r="KLS4" s="386"/>
      <c r="KLT4" s="386"/>
      <c r="KLU4" s="386"/>
      <c r="KLV4" s="386"/>
      <c r="KLW4" s="386"/>
      <c r="KLX4" s="386"/>
      <c r="KLY4" s="386"/>
      <c r="KLZ4" s="386"/>
      <c r="KMA4" s="386"/>
      <c r="KMB4" s="386"/>
      <c r="KMC4" s="386">
        <v>45870</v>
      </c>
      <c r="KMD4" s="386"/>
      <c r="KME4" s="386"/>
      <c r="KMF4" s="386"/>
      <c r="KMG4" s="386"/>
      <c r="KMH4" s="386"/>
      <c r="KMI4" s="386"/>
      <c r="KMJ4" s="386"/>
      <c r="KMK4" s="386"/>
      <c r="KML4" s="386"/>
      <c r="KMM4" s="386"/>
      <c r="KMN4" s="386"/>
      <c r="KMO4" s="386"/>
      <c r="KMP4" s="386"/>
      <c r="KMQ4" s="386"/>
      <c r="KMR4" s="386"/>
      <c r="KMS4" s="386">
        <v>45870</v>
      </c>
      <c r="KMT4" s="386"/>
      <c r="KMU4" s="386"/>
      <c r="KMV4" s="386"/>
      <c r="KMW4" s="386"/>
      <c r="KMX4" s="386"/>
      <c r="KMY4" s="386"/>
      <c r="KMZ4" s="386"/>
      <c r="KNA4" s="386"/>
      <c r="KNB4" s="386"/>
      <c r="KNC4" s="386"/>
      <c r="KND4" s="386"/>
      <c r="KNE4" s="386"/>
      <c r="KNF4" s="386"/>
      <c r="KNG4" s="386"/>
      <c r="KNH4" s="386"/>
      <c r="KNI4" s="386">
        <v>45870</v>
      </c>
      <c r="KNJ4" s="386"/>
      <c r="KNK4" s="386"/>
      <c r="KNL4" s="386"/>
      <c r="KNM4" s="386"/>
      <c r="KNN4" s="386"/>
      <c r="KNO4" s="386"/>
      <c r="KNP4" s="386"/>
      <c r="KNQ4" s="386"/>
      <c r="KNR4" s="386"/>
      <c r="KNS4" s="386"/>
      <c r="KNT4" s="386"/>
      <c r="KNU4" s="386"/>
      <c r="KNV4" s="386"/>
      <c r="KNW4" s="386"/>
      <c r="KNX4" s="386"/>
      <c r="KNY4" s="386">
        <v>45870</v>
      </c>
      <c r="KNZ4" s="386"/>
      <c r="KOA4" s="386"/>
      <c r="KOB4" s="386"/>
      <c r="KOC4" s="386"/>
      <c r="KOD4" s="386"/>
      <c r="KOE4" s="386"/>
      <c r="KOF4" s="386"/>
      <c r="KOG4" s="386"/>
      <c r="KOH4" s="386"/>
      <c r="KOI4" s="386"/>
      <c r="KOJ4" s="386"/>
      <c r="KOK4" s="386"/>
      <c r="KOL4" s="386"/>
      <c r="KOM4" s="386"/>
      <c r="KON4" s="386"/>
      <c r="KOO4" s="386">
        <v>45870</v>
      </c>
      <c r="KOP4" s="386"/>
      <c r="KOQ4" s="386"/>
      <c r="KOR4" s="386"/>
      <c r="KOS4" s="386"/>
      <c r="KOT4" s="386"/>
      <c r="KOU4" s="386"/>
      <c r="KOV4" s="386"/>
      <c r="KOW4" s="386"/>
      <c r="KOX4" s="386"/>
      <c r="KOY4" s="386"/>
      <c r="KOZ4" s="386"/>
      <c r="KPA4" s="386"/>
      <c r="KPB4" s="386"/>
      <c r="KPC4" s="386"/>
      <c r="KPD4" s="386"/>
      <c r="KPE4" s="386">
        <v>45870</v>
      </c>
      <c r="KPF4" s="386"/>
      <c r="KPG4" s="386"/>
      <c r="KPH4" s="386"/>
      <c r="KPI4" s="386"/>
      <c r="KPJ4" s="386"/>
      <c r="KPK4" s="386"/>
      <c r="KPL4" s="386"/>
      <c r="KPM4" s="386"/>
      <c r="KPN4" s="386"/>
      <c r="KPO4" s="386"/>
      <c r="KPP4" s="386"/>
      <c r="KPQ4" s="386"/>
      <c r="KPR4" s="386"/>
      <c r="KPS4" s="386"/>
      <c r="KPT4" s="386"/>
      <c r="KPU4" s="386">
        <v>45870</v>
      </c>
      <c r="KPV4" s="386"/>
      <c r="KPW4" s="386"/>
      <c r="KPX4" s="386"/>
      <c r="KPY4" s="386"/>
      <c r="KPZ4" s="386"/>
      <c r="KQA4" s="386"/>
      <c r="KQB4" s="386"/>
      <c r="KQC4" s="386"/>
      <c r="KQD4" s="386"/>
      <c r="KQE4" s="386"/>
      <c r="KQF4" s="386"/>
      <c r="KQG4" s="386"/>
      <c r="KQH4" s="386"/>
      <c r="KQI4" s="386"/>
      <c r="KQJ4" s="386"/>
      <c r="KQK4" s="386">
        <v>45870</v>
      </c>
      <c r="KQL4" s="386"/>
      <c r="KQM4" s="386"/>
      <c r="KQN4" s="386"/>
      <c r="KQO4" s="386"/>
      <c r="KQP4" s="386"/>
      <c r="KQQ4" s="386"/>
      <c r="KQR4" s="386"/>
      <c r="KQS4" s="386"/>
      <c r="KQT4" s="386"/>
      <c r="KQU4" s="386"/>
      <c r="KQV4" s="386"/>
      <c r="KQW4" s="386"/>
      <c r="KQX4" s="386"/>
      <c r="KQY4" s="386"/>
      <c r="KQZ4" s="386"/>
      <c r="KRA4" s="386">
        <v>45870</v>
      </c>
      <c r="KRB4" s="386"/>
      <c r="KRC4" s="386"/>
      <c r="KRD4" s="386"/>
      <c r="KRE4" s="386"/>
      <c r="KRF4" s="386"/>
      <c r="KRG4" s="386"/>
      <c r="KRH4" s="386"/>
      <c r="KRI4" s="386"/>
      <c r="KRJ4" s="386"/>
      <c r="KRK4" s="386"/>
      <c r="KRL4" s="386"/>
      <c r="KRM4" s="386"/>
      <c r="KRN4" s="386"/>
      <c r="KRO4" s="386"/>
      <c r="KRP4" s="386"/>
      <c r="KRQ4" s="386">
        <v>45870</v>
      </c>
      <c r="KRR4" s="386"/>
      <c r="KRS4" s="386"/>
      <c r="KRT4" s="386"/>
      <c r="KRU4" s="386"/>
      <c r="KRV4" s="386"/>
      <c r="KRW4" s="386"/>
      <c r="KRX4" s="386"/>
      <c r="KRY4" s="386"/>
      <c r="KRZ4" s="386"/>
      <c r="KSA4" s="386"/>
      <c r="KSB4" s="386"/>
      <c r="KSC4" s="386"/>
      <c r="KSD4" s="386"/>
      <c r="KSE4" s="386"/>
      <c r="KSF4" s="386"/>
      <c r="KSG4" s="386">
        <v>45870</v>
      </c>
      <c r="KSH4" s="386"/>
      <c r="KSI4" s="386"/>
      <c r="KSJ4" s="386"/>
      <c r="KSK4" s="386"/>
      <c r="KSL4" s="386"/>
      <c r="KSM4" s="386"/>
      <c r="KSN4" s="386"/>
      <c r="KSO4" s="386"/>
      <c r="KSP4" s="386"/>
      <c r="KSQ4" s="386"/>
      <c r="KSR4" s="386"/>
      <c r="KSS4" s="386"/>
      <c r="KST4" s="386"/>
      <c r="KSU4" s="386"/>
      <c r="KSV4" s="386"/>
      <c r="KSW4" s="386">
        <v>45870</v>
      </c>
      <c r="KSX4" s="386"/>
      <c r="KSY4" s="386"/>
      <c r="KSZ4" s="386"/>
      <c r="KTA4" s="386"/>
      <c r="KTB4" s="386"/>
      <c r="KTC4" s="386"/>
      <c r="KTD4" s="386"/>
      <c r="KTE4" s="386"/>
      <c r="KTF4" s="386"/>
      <c r="KTG4" s="386"/>
      <c r="KTH4" s="386"/>
      <c r="KTI4" s="386"/>
      <c r="KTJ4" s="386"/>
      <c r="KTK4" s="386"/>
      <c r="KTL4" s="386"/>
      <c r="KTM4" s="386">
        <v>45870</v>
      </c>
      <c r="KTN4" s="386"/>
      <c r="KTO4" s="386"/>
      <c r="KTP4" s="386"/>
      <c r="KTQ4" s="386"/>
      <c r="KTR4" s="386"/>
      <c r="KTS4" s="386"/>
      <c r="KTT4" s="386"/>
      <c r="KTU4" s="386"/>
      <c r="KTV4" s="386"/>
      <c r="KTW4" s="386"/>
      <c r="KTX4" s="386"/>
      <c r="KTY4" s="386"/>
      <c r="KTZ4" s="386"/>
      <c r="KUA4" s="386"/>
      <c r="KUB4" s="386"/>
      <c r="KUC4" s="386">
        <v>45870</v>
      </c>
      <c r="KUD4" s="386"/>
      <c r="KUE4" s="386"/>
      <c r="KUF4" s="386"/>
      <c r="KUG4" s="386"/>
      <c r="KUH4" s="386"/>
      <c r="KUI4" s="386"/>
      <c r="KUJ4" s="386"/>
      <c r="KUK4" s="386"/>
      <c r="KUL4" s="386"/>
      <c r="KUM4" s="386"/>
      <c r="KUN4" s="386"/>
      <c r="KUO4" s="386"/>
      <c r="KUP4" s="386"/>
      <c r="KUQ4" s="386"/>
      <c r="KUR4" s="386"/>
      <c r="KUS4" s="386">
        <v>45870</v>
      </c>
      <c r="KUT4" s="386"/>
      <c r="KUU4" s="386"/>
      <c r="KUV4" s="386"/>
      <c r="KUW4" s="386"/>
      <c r="KUX4" s="386"/>
      <c r="KUY4" s="386"/>
      <c r="KUZ4" s="386"/>
      <c r="KVA4" s="386"/>
      <c r="KVB4" s="386"/>
      <c r="KVC4" s="386"/>
      <c r="KVD4" s="386"/>
      <c r="KVE4" s="386"/>
      <c r="KVF4" s="386"/>
      <c r="KVG4" s="386"/>
      <c r="KVH4" s="386"/>
      <c r="KVI4" s="386">
        <v>45870</v>
      </c>
      <c r="KVJ4" s="386"/>
      <c r="KVK4" s="386"/>
      <c r="KVL4" s="386"/>
      <c r="KVM4" s="386"/>
      <c r="KVN4" s="386"/>
      <c r="KVO4" s="386"/>
      <c r="KVP4" s="386"/>
      <c r="KVQ4" s="386"/>
      <c r="KVR4" s="386"/>
      <c r="KVS4" s="386"/>
      <c r="KVT4" s="386"/>
      <c r="KVU4" s="386"/>
      <c r="KVV4" s="386"/>
      <c r="KVW4" s="386"/>
      <c r="KVX4" s="386"/>
      <c r="KVY4" s="386">
        <v>45870</v>
      </c>
      <c r="KVZ4" s="386"/>
      <c r="KWA4" s="386"/>
      <c r="KWB4" s="386"/>
      <c r="KWC4" s="386"/>
      <c r="KWD4" s="386"/>
      <c r="KWE4" s="386"/>
      <c r="KWF4" s="386"/>
      <c r="KWG4" s="386"/>
      <c r="KWH4" s="386"/>
      <c r="KWI4" s="386"/>
      <c r="KWJ4" s="386"/>
      <c r="KWK4" s="386"/>
      <c r="KWL4" s="386"/>
      <c r="KWM4" s="386"/>
      <c r="KWN4" s="386"/>
      <c r="KWO4" s="386">
        <v>45870</v>
      </c>
      <c r="KWP4" s="386"/>
      <c r="KWQ4" s="386"/>
      <c r="KWR4" s="386"/>
      <c r="KWS4" s="386"/>
      <c r="KWT4" s="386"/>
      <c r="KWU4" s="386"/>
      <c r="KWV4" s="386"/>
      <c r="KWW4" s="386"/>
      <c r="KWX4" s="386"/>
      <c r="KWY4" s="386"/>
      <c r="KWZ4" s="386"/>
      <c r="KXA4" s="386"/>
      <c r="KXB4" s="386"/>
      <c r="KXC4" s="386"/>
      <c r="KXD4" s="386"/>
      <c r="KXE4" s="386">
        <v>45870</v>
      </c>
      <c r="KXF4" s="386"/>
      <c r="KXG4" s="386"/>
      <c r="KXH4" s="386"/>
      <c r="KXI4" s="386"/>
      <c r="KXJ4" s="386"/>
      <c r="KXK4" s="386"/>
      <c r="KXL4" s="386"/>
      <c r="KXM4" s="386"/>
      <c r="KXN4" s="386"/>
      <c r="KXO4" s="386"/>
      <c r="KXP4" s="386"/>
      <c r="KXQ4" s="386"/>
      <c r="KXR4" s="386"/>
      <c r="KXS4" s="386"/>
      <c r="KXT4" s="386"/>
      <c r="KXU4" s="386">
        <v>45870</v>
      </c>
      <c r="KXV4" s="386"/>
      <c r="KXW4" s="386"/>
      <c r="KXX4" s="386"/>
      <c r="KXY4" s="386"/>
      <c r="KXZ4" s="386"/>
      <c r="KYA4" s="386"/>
      <c r="KYB4" s="386"/>
      <c r="KYC4" s="386"/>
      <c r="KYD4" s="386"/>
      <c r="KYE4" s="386"/>
      <c r="KYF4" s="386"/>
      <c r="KYG4" s="386"/>
      <c r="KYH4" s="386"/>
      <c r="KYI4" s="386"/>
      <c r="KYJ4" s="386"/>
      <c r="KYK4" s="386">
        <v>45870</v>
      </c>
      <c r="KYL4" s="386"/>
      <c r="KYM4" s="386"/>
      <c r="KYN4" s="386"/>
      <c r="KYO4" s="386"/>
      <c r="KYP4" s="386"/>
      <c r="KYQ4" s="386"/>
      <c r="KYR4" s="386"/>
      <c r="KYS4" s="386"/>
      <c r="KYT4" s="386"/>
      <c r="KYU4" s="386"/>
      <c r="KYV4" s="386"/>
      <c r="KYW4" s="386"/>
      <c r="KYX4" s="386"/>
      <c r="KYY4" s="386"/>
      <c r="KYZ4" s="386"/>
      <c r="KZA4" s="386">
        <v>45870</v>
      </c>
      <c r="KZB4" s="386"/>
      <c r="KZC4" s="386"/>
      <c r="KZD4" s="386"/>
      <c r="KZE4" s="386"/>
      <c r="KZF4" s="386"/>
      <c r="KZG4" s="386"/>
      <c r="KZH4" s="386"/>
      <c r="KZI4" s="386"/>
      <c r="KZJ4" s="386"/>
      <c r="KZK4" s="386"/>
      <c r="KZL4" s="386"/>
      <c r="KZM4" s="386"/>
      <c r="KZN4" s="386"/>
      <c r="KZO4" s="386"/>
      <c r="KZP4" s="386"/>
      <c r="KZQ4" s="386">
        <v>45870</v>
      </c>
      <c r="KZR4" s="386"/>
      <c r="KZS4" s="386"/>
      <c r="KZT4" s="386"/>
      <c r="KZU4" s="386"/>
      <c r="KZV4" s="386"/>
      <c r="KZW4" s="386"/>
      <c r="KZX4" s="386"/>
      <c r="KZY4" s="386"/>
      <c r="KZZ4" s="386"/>
      <c r="LAA4" s="386"/>
      <c r="LAB4" s="386"/>
      <c r="LAC4" s="386"/>
      <c r="LAD4" s="386"/>
      <c r="LAE4" s="386"/>
      <c r="LAF4" s="386"/>
      <c r="LAG4" s="386">
        <v>45870</v>
      </c>
      <c r="LAH4" s="386"/>
      <c r="LAI4" s="386"/>
      <c r="LAJ4" s="386"/>
      <c r="LAK4" s="386"/>
      <c r="LAL4" s="386"/>
      <c r="LAM4" s="386"/>
      <c r="LAN4" s="386"/>
      <c r="LAO4" s="386"/>
      <c r="LAP4" s="386"/>
      <c r="LAQ4" s="386"/>
      <c r="LAR4" s="386"/>
      <c r="LAS4" s="386"/>
      <c r="LAT4" s="386"/>
      <c r="LAU4" s="386"/>
      <c r="LAV4" s="386"/>
      <c r="LAW4" s="386">
        <v>45870</v>
      </c>
      <c r="LAX4" s="386"/>
      <c r="LAY4" s="386"/>
      <c r="LAZ4" s="386"/>
      <c r="LBA4" s="386"/>
      <c r="LBB4" s="386"/>
      <c r="LBC4" s="386"/>
      <c r="LBD4" s="386"/>
      <c r="LBE4" s="386"/>
      <c r="LBF4" s="386"/>
      <c r="LBG4" s="386"/>
      <c r="LBH4" s="386"/>
      <c r="LBI4" s="386"/>
      <c r="LBJ4" s="386"/>
      <c r="LBK4" s="386"/>
      <c r="LBL4" s="386"/>
      <c r="LBM4" s="386">
        <v>45870</v>
      </c>
      <c r="LBN4" s="386"/>
      <c r="LBO4" s="386"/>
      <c r="LBP4" s="386"/>
      <c r="LBQ4" s="386"/>
      <c r="LBR4" s="386"/>
      <c r="LBS4" s="386"/>
      <c r="LBT4" s="386"/>
      <c r="LBU4" s="386"/>
      <c r="LBV4" s="386"/>
      <c r="LBW4" s="386"/>
      <c r="LBX4" s="386"/>
      <c r="LBY4" s="386"/>
      <c r="LBZ4" s="386"/>
      <c r="LCA4" s="386"/>
      <c r="LCB4" s="386"/>
      <c r="LCC4" s="386">
        <v>45870</v>
      </c>
      <c r="LCD4" s="386"/>
      <c r="LCE4" s="386"/>
      <c r="LCF4" s="386"/>
      <c r="LCG4" s="386"/>
      <c r="LCH4" s="386"/>
      <c r="LCI4" s="386"/>
      <c r="LCJ4" s="386"/>
      <c r="LCK4" s="386"/>
      <c r="LCL4" s="386"/>
      <c r="LCM4" s="386"/>
      <c r="LCN4" s="386"/>
      <c r="LCO4" s="386"/>
      <c r="LCP4" s="386"/>
      <c r="LCQ4" s="386"/>
      <c r="LCR4" s="386"/>
      <c r="LCS4" s="386">
        <v>45870</v>
      </c>
      <c r="LCT4" s="386"/>
      <c r="LCU4" s="386"/>
      <c r="LCV4" s="386"/>
      <c r="LCW4" s="386"/>
      <c r="LCX4" s="386"/>
      <c r="LCY4" s="386"/>
      <c r="LCZ4" s="386"/>
      <c r="LDA4" s="386"/>
      <c r="LDB4" s="386"/>
      <c r="LDC4" s="386"/>
      <c r="LDD4" s="386"/>
      <c r="LDE4" s="386"/>
      <c r="LDF4" s="386"/>
      <c r="LDG4" s="386"/>
      <c r="LDH4" s="386"/>
      <c r="LDI4" s="386">
        <v>45870</v>
      </c>
      <c r="LDJ4" s="386"/>
      <c r="LDK4" s="386"/>
      <c r="LDL4" s="386"/>
      <c r="LDM4" s="386"/>
      <c r="LDN4" s="386"/>
      <c r="LDO4" s="386"/>
      <c r="LDP4" s="386"/>
      <c r="LDQ4" s="386"/>
      <c r="LDR4" s="386"/>
      <c r="LDS4" s="386"/>
      <c r="LDT4" s="386"/>
      <c r="LDU4" s="386"/>
      <c r="LDV4" s="386"/>
      <c r="LDW4" s="386"/>
      <c r="LDX4" s="386"/>
      <c r="LDY4" s="386">
        <v>45870</v>
      </c>
      <c r="LDZ4" s="386"/>
      <c r="LEA4" s="386"/>
      <c r="LEB4" s="386"/>
      <c r="LEC4" s="386"/>
      <c r="LED4" s="386"/>
      <c r="LEE4" s="386"/>
      <c r="LEF4" s="386"/>
      <c r="LEG4" s="386"/>
      <c r="LEH4" s="386"/>
      <c r="LEI4" s="386"/>
      <c r="LEJ4" s="386"/>
      <c r="LEK4" s="386"/>
      <c r="LEL4" s="386"/>
      <c r="LEM4" s="386"/>
      <c r="LEN4" s="386"/>
      <c r="LEO4" s="386">
        <v>45870</v>
      </c>
      <c r="LEP4" s="386"/>
      <c r="LEQ4" s="386"/>
      <c r="LER4" s="386"/>
      <c r="LES4" s="386"/>
      <c r="LET4" s="386"/>
      <c r="LEU4" s="386"/>
      <c r="LEV4" s="386"/>
      <c r="LEW4" s="386"/>
      <c r="LEX4" s="386"/>
      <c r="LEY4" s="386"/>
      <c r="LEZ4" s="386"/>
      <c r="LFA4" s="386"/>
      <c r="LFB4" s="386"/>
      <c r="LFC4" s="386"/>
      <c r="LFD4" s="386"/>
      <c r="LFE4" s="386">
        <v>45870</v>
      </c>
      <c r="LFF4" s="386"/>
      <c r="LFG4" s="386"/>
      <c r="LFH4" s="386"/>
      <c r="LFI4" s="386"/>
      <c r="LFJ4" s="386"/>
      <c r="LFK4" s="386"/>
      <c r="LFL4" s="386"/>
      <c r="LFM4" s="386"/>
      <c r="LFN4" s="386"/>
      <c r="LFO4" s="386"/>
      <c r="LFP4" s="386"/>
      <c r="LFQ4" s="386"/>
      <c r="LFR4" s="386"/>
      <c r="LFS4" s="386"/>
      <c r="LFT4" s="386"/>
      <c r="LFU4" s="386">
        <v>45870</v>
      </c>
      <c r="LFV4" s="386"/>
      <c r="LFW4" s="386"/>
      <c r="LFX4" s="386"/>
      <c r="LFY4" s="386"/>
      <c r="LFZ4" s="386"/>
      <c r="LGA4" s="386"/>
      <c r="LGB4" s="386"/>
      <c r="LGC4" s="386"/>
      <c r="LGD4" s="386"/>
      <c r="LGE4" s="386"/>
      <c r="LGF4" s="386"/>
      <c r="LGG4" s="386"/>
      <c r="LGH4" s="386"/>
      <c r="LGI4" s="386"/>
      <c r="LGJ4" s="386"/>
      <c r="LGK4" s="386">
        <v>45870</v>
      </c>
      <c r="LGL4" s="386"/>
      <c r="LGM4" s="386"/>
      <c r="LGN4" s="386"/>
      <c r="LGO4" s="386"/>
      <c r="LGP4" s="386"/>
      <c r="LGQ4" s="386"/>
      <c r="LGR4" s="386"/>
      <c r="LGS4" s="386"/>
      <c r="LGT4" s="386"/>
      <c r="LGU4" s="386"/>
      <c r="LGV4" s="386"/>
      <c r="LGW4" s="386"/>
      <c r="LGX4" s="386"/>
      <c r="LGY4" s="386"/>
      <c r="LGZ4" s="386"/>
      <c r="LHA4" s="386">
        <v>45870</v>
      </c>
      <c r="LHB4" s="386"/>
      <c r="LHC4" s="386"/>
      <c r="LHD4" s="386"/>
      <c r="LHE4" s="386"/>
      <c r="LHF4" s="386"/>
      <c r="LHG4" s="386"/>
      <c r="LHH4" s="386"/>
      <c r="LHI4" s="386"/>
      <c r="LHJ4" s="386"/>
      <c r="LHK4" s="386"/>
      <c r="LHL4" s="386"/>
      <c r="LHM4" s="386"/>
      <c r="LHN4" s="386"/>
      <c r="LHO4" s="386"/>
      <c r="LHP4" s="386"/>
      <c r="LHQ4" s="386">
        <v>45870</v>
      </c>
      <c r="LHR4" s="386"/>
      <c r="LHS4" s="386"/>
      <c r="LHT4" s="386"/>
      <c r="LHU4" s="386"/>
      <c r="LHV4" s="386"/>
      <c r="LHW4" s="386"/>
      <c r="LHX4" s="386"/>
      <c r="LHY4" s="386"/>
      <c r="LHZ4" s="386"/>
      <c r="LIA4" s="386"/>
      <c r="LIB4" s="386"/>
      <c r="LIC4" s="386"/>
      <c r="LID4" s="386"/>
      <c r="LIE4" s="386"/>
      <c r="LIF4" s="386"/>
      <c r="LIG4" s="386">
        <v>45870</v>
      </c>
      <c r="LIH4" s="386"/>
      <c r="LII4" s="386"/>
      <c r="LIJ4" s="386"/>
      <c r="LIK4" s="386"/>
      <c r="LIL4" s="386"/>
      <c r="LIM4" s="386"/>
      <c r="LIN4" s="386"/>
      <c r="LIO4" s="386"/>
      <c r="LIP4" s="386"/>
      <c r="LIQ4" s="386"/>
      <c r="LIR4" s="386"/>
      <c r="LIS4" s="386"/>
      <c r="LIT4" s="386"/>
      <c r="LIU4" s="386"/>
      <c r="LIV4" s="386"/>
      <c r="LIW4" s="386">
        <v>45870</v>
      </c>
      <c r="LIX4" s="386"/>
      <c r="LIY4" s="386"/>
      <c r="LIZ4" s="386"/>
      <c r="LJA4" s="386"/>
      <c r="LJB4" s="386"/>
      <c r="LJC4" s="386"/>
      <c r="LJD4" s="386"/>
      <c r="LJE4" s="386"/>
      <c r="LJF4" s="386"/>
      <c r="LJG4" s="386"/>
      <c r="LJH4" s="386"/>
      <c r="LJI4" s="386"/>
      <c r="LJJ4" s="386"/>
      <c r="LJK4" s="386"/>
      <c r="LJL4" s="386"/>
      <c r="LJM4" s="386">
        <v>45870</v>
      </c>
      <c r="LJN4" s="386"/>
      <c r="LJO4" s="386"/>
      <c r="LJP4" s="386"/>
      <c r="LJQ4" s="386"/>
      <c r="LJR4" s="386"/>
      <c r="LJS4" s="386"/>
      <c r="LJT4" s="386"/>
      <c r="LJU4" s="386"/>
      <c r="LJV4" s="386"/>
      <c r="LJW4" s="386"/>
      <c r="LJX4" s="386"/>
      <c r="LJY4" s="386"/>
      <c r="LJZ4" s="386"/>
      <c r="LKA4" s="386"/>
      <c r="LKB4" s="386"/>
      <c r="LKC4" s="386">
        <v>45870</v>
      </c>
      <c r="LKD4" s="386"/>
      <c r="LKE4" s="386"/>
      <c r="LKF4" s="386"/>
      <c r="LKG4" s="386"/>
      <c r="LKH4" s="386"/>
      <c r="LKI4" s="386"/>
      <c r="LKJ4" s="386"/>
      <c r="LKK4" s="386"/>
      <c r="LKL4" s="386"/>
      <c r="LKM4" s="386"/>
      <c r="LKN4" s="386"/>
      <c r="LKO4" s="386"/>
      <c r="LKP4" s="386"/>
      <c r="LKQ4" s="386"/>
      <c r="LKR4" s="386"/>
      <c r="LKS4" s="386">
        <v>45870</v>
      </c>
      <c r="LKT4" s="386"/>
      <c r="LKU4" s="386"/>
      <c r="LKV4" s="386"/>
      <c r="LKW4" s="386"/>
      <c r="LKX4" s="386"/>
      <c r="LKY4" s="386"/>
      <c r="LKZ4" s="386"/>
      <c r="LLA4" s="386"/>
      <c r="LLB4" s="386"/>
      <c r="LLC4" s="386"/>
      <c r="LLD4" s="386"/>
      <c r="LLE4" s="386"/>
      <c r="LLF4" s="386"/>
      <c r="LLG4" s="386"/>
      <c r="LLH4" s="386"/>
      <c r="LLI4" s="386">
        <v>45870</v>
      </c>
      <c r="LLJ4" s="386"/>
      <c r="LLK4" s="386"/>
      <c r="LLL4" s="386"/>
      <c r="LLM4" s="386"/>
      <c r="LLN4" s="386"/>
      <c r="LLO4" s="386"/>
      <c r="LLP4" s="386"/>
      <c r="LLQ4" s="386"/>
      <c r="LLR4" s="386"/>
      <c r="LLS4" s="386"/>
      <c r="LLT4" s="386"/>
      <c r="LLU4" s="386"/>
      <c r="LLV4" s="386"/>
      <c r="LLW4" s="386"/>
      <c r="LLX4" s="386"/>
      <c r="LLY4" s="386">
        <v>45870</v>
      </c>
      <c r="LLZ4" s="386"/>
      <c r="LMA4" s="386"/>
      <c r="LMB4" s="386"/>
      <c r="LMC4" s="386"/>
      <c r="LMD4" s="386"/>
      <c r="LME4" s="386"/>
      <c r="LMF4" s="386"/>
      <c r="LMG4" s="386"/>
      <c r="LMH4" s="386"/>
      <c r="LMI4" s="386"/>
      <c r="LMJ4" s="386"/>
      <c r="LMK4" s="386"/>
      <c r="LML4" s="386"/>
      <c r="LMM4" s="386"/>
      <c r="LMN4" s="386"/>
      <c r="LMO4" s="386">
        <v>45870</v>
      </c>
      <c r="LMP4" s="386"/>
      <c r="LMQ4" s="386"/>
      <c r="LMR4" s="386"/>
      <c r="LMS4" s="386"/>
      <c r="LMT4" s="386"/>
      <c r="LMU4" s="386"/>
      <c r="LMV4" s="386"/>
      <c r="LMW4" s="386"/>
      <c r="LMX4" s="386"/>
      <c r="LMY4" s="386"/>
      <c r="LMZ4" s="386"/>
      <c r="LNA4" s="386"/>
      <c r="LNB4" s="386"/>
      <c r="LNC4" s="386"/>
      <c r="LND4" s="386"/>
      <c r="LNE4" s="386">
        <v>45870</v>
      </c>
      <c r="LNF4" s="386"/>
      <c r="LNG4" s="386"/>
      <c r="LNH4" s="386"/>
      <c r="LNI4" s="386"/>
      <c r="LNJ4" s="386"/>
      <c r="LNK4" s="386"/>
      <c r="LNL4" s="386"/>
      <c r="LNM4" s="386"/>
      <c r="LNN4" s="386"/>
      <c r="LNO4" s="386"/>
      <c r="LNP4" s="386"/>
      <c r="LNQ4" s="386"/>
      <c r="LNR4" s="386"/>
      <c r="LNS4" s="386"/>
      <c r="LNT4" s="386"/>
      <c r="LNU4" s="386">
        <v>45870</v>
      </c>
      <c r="LNV4" s="386"/>
      <c r="LNW4" s="386"/>
      <c r="LNX4" s="386"/>
      <c r="LNY4" s="386"/>
      <c r="LNZ4" s="386"/>
      <c r="LOA4" s="386"/>
      <c r="LOB4" s="386"/>
      <c r="LOC4" s="386"/>
      <c r="LOD4" s="386"/>
      <c r="LOE4" s="386"/>
      <c r="LOF4" s="386"/>
      <c r="LOG4" s="386"/>
      <c r="LOH4" s="386"/>
      <c r="LOI4" s="386"/>
      <c r="LOJ4" s="386"/>
      <c r="LOK4" s="386">
        <v>45870</v>
      </c>
      <c r="LOL4" s="386"/>
      <c r="LOM4" s="386"/>
      <c r="LON4" s="386"/>
      <c r="LOO4" s="386"/>
      <c r="LOP4" s="386"/>
      <c r="LOQ4" s="386"/>
      <c r="LOR4" s="386"/>
      <c r="LOS4" s="386"/>
      <c r="LOT4" s="386"/>
      <c r="LOU4" s="386"/>
      <c r="LOV4" s="386"/>
      <c r="LOW4" s="386"/>
      <c r="LOX4" s="386"/>
      <c r="LOY4" s="386"/>
      <c r="LOZ4" s="386"/>
      <c r="LPA4" s="386">
        <v>45870</v>
      </c>
      <c r="LPB4" s="386"/>
      <c r="LPC4" s="386"/>
      <c r="LPD4" s="386"/>
      <c r="LPE4" s="386"/>
      <c r="LPF4" s="386"/>
      <c r="LPG4" s="386"/>
      <c r="LPH4" s="386"/>
      <c r="LPI4" s="386"/>
      <c r="LPJ4" s="386"/>
      <c r="LPK4" s="386"/>
      <c r="LPL4" s="386"/>
      <c r="LPM4" s="386"/>
      <c r="LPN4" s="386"/>
      <c r="LPO4" s="386"/>
      <c r="LPP4" s="386"/>
      <c r="LPQ4" s="386">
        <v>45870</v>
      </c>
      <c r="LPR4" s="386"/>
      <c r="LPS4" s="386"/>
      <c r="LPT4" s="386"/>
      <c r="LPU4" s="386"/>
      <c r="LPV4" s="386"/>
      <c r="LPW4" s="386"/>
      <c r="LPX4" s="386"/>
      <c r="LPY4" s="386"/>
      <c r="LPZ4" s="386"/>
      <c r="LQA4" s="386"/>
      <c r="LQB4" s="386"/>
      <c r="LQC4" s="386"/>
      <c r="LQD4" s="386"/>
      <c r="LQE4" s="386"/>
      <c r="LQF4" s="386"/>
      <c r="LQG4" s="386">
        <v>45870</v>
      </c>
      <c r="LQH4" s="386"/>
      <c r="LQI4" s="386"/>
      <c r="LQJ4" s="386"/>
      <c r="LQK4" s="386"/>
      <c r="LQL4" s="386"/>
      <c r="LQM4" s="386"/>
      <c r="LQN4" s="386"/>
      <c r="LQO4" s="386"/>
      <c r="LQP4" s="386"/>
      <c r="LQQ4" s="386"/>
      <c r="LQR4" s="386"/>
      <c r="LQS4" s="386"/>
      <c r="LQT4" s="386"/>
      <c r="LQU4" s="386"/>
      <c r="LQV4" s="386"/>
      <c r="LQW4" s="386">
        <v>45870</v>
      </c>
      <c r="LQX4" s="386"/>
      <c r="LQY4" s="386"/>
      <c r="LQZ4" s="386"/>
      <c r="LRA4" s="386"/>
      <c r="LRB4" s="386"/>
      <c r="LRC4" s="386"/>
      <c r="LRD4" s="386"/>
      <c r="LRE4" s="386"/>
      <c r="LRF4" s="386"/>
      <c r="LRG4" s="386"/>
      <c r="LRH4" s="386"/>
      <c r="LRI4" s="386"/>
      <c r="LRJ4" s="386"/>
      <c r="LRK4" s="386"/>
      <c r="LRL4" s="386"/>
      <c r="LRM4" s="386">
        <v>45870</v>
      </c>
      <c r="LRN4" s="386"/>
      <c r="LRO4" s="386"/>
      <c r="LRP4" s="386"/>
      <c r="LRQ4" s="386"/>
      <c r="LRR4" s="386"/>
      <c r="LRS4" s="386"/>
      <c r="LRT4" s="386"/>
      <c r="LRU4" s="386"/>
      <c r="LRV4" s="386"/>
      <c r="LRW4" s="386"/>
      <c r="LRX4" s="386"/>
      <c r="LRY4" s="386"/>
      <c r="LRZ4" s="386"/>
      <c r="LSA4" s="386"/>
      <c r="LSB4" s="386"/>
      <c r="LSC4" s="386">
        <v>45870</v>
      </c>
      <c r="LSD4" s="386"/>
      <c r="LSE4" s="386"/>
      <c r="LSF4" s="386"/>
      <c r="LSG4" s="386"/>
      <c r="LSH4" s="386"/>
      <c r="LSI4" s="386"/>
      <c r="LSJ4" s="386"/>
      <c r="LSK4" s="386"/>
      <c r="LSL4" s="386"/>
      <c r="LSM4" s="386"/>
      <c r="LSN4" s="386"/>
      <c r="LSO4" s="386"/>
      <c r="LSP4" s="386"/>
      <c r="LSQ4" s="386"/>
      <c r="LSR4" s="386"/>
      <c r="LSS4" s="386">
        <v>45870</v>
      </c>
      <c r="LST4" s="386"/>
      <c r="LSU4" s="386"/>
      <c r="LSV4" s="386"/>
      <c r="LSW4" s="386"/>
      <c r="LSX4" s="386"/>
      <c r="LSY4" s="386"/>
      <c r="LSZ4" s="386"/>
      <c r="LTA4" s="386"/>
      <c r="LTB4" s="386"/>
      <c r="LTC4" s="386"/>
      <c r="LTD4" s="386"/>
      <c r="LTE4" s="386"/>
      <c r="LTF4" s="386"/>
      <c r="LTG4" s="386"/>
      <c r="LTH4" s="386"/>
      <c r="LTI4" s="386">
        <v>45870</v>
      </c>
      <c r="LTJ4" s="386"/>
      <c r="LTK4" s="386"/>
      <c r="LTL4" s="386"/>
      <c r="LTM4" s="386"/>
      <c r="LTN4" s="386"/>
      <c r="LTO4" s="386"/>
      <c r="LTP4" s="386"/>
      <c r="LTQ4" s="386"/>
      <c r="LTR4" s="386"/>
      <c r="LTS4" s="386"/>
      <c r="LTT4" s="386"/>
      <c r="LTU4" s="386"/>
      <c r="LTV4" s="386"/>
      <c r="LTW4" s="386"/>
      <c r="LTX4" s="386"/>
      <c r="LTY4" s="386">
        <v>45870</v>
      </c>
      <c r="LTZ4" s="386"/>
      <c r="LUA4" s="386"/>
      <c r="LUB4" s="386"/>
      <c r="LUC4" s="386"/>
      <c r="LUD4" s="386"/>
      <c r="LUE4" s="386"/>
      <c r="LUF4" s="386"/>
      <c r="LUG4" s="386"/>
      <c r="LUH4" s="386"/>
      <c r="LUI4" s="386"/>
      <c r="LUJ4" s="386"/>
      <c r="LUK4" s="386"/>
      <c r="LUL4" s="386"/>
      <c r="LUM4" s="386"/>
      <c r="LUN4" s="386"/>
      <c r="LUO4" s="386">
        <v>45870</v>
      </c>
      <c r="LUP4" s="386"/>
      <c r="LUQ4" s="386"/>
      <c r="LUR4" s="386"/>
      <c r="LUS4" s="386"/>
      <c r="LUT4" s="386"/>
      <c r="LUU4" s="386"/>
      <c r="LUV4" s="386"/>
      <c r="LUW4" s="386"/>
      <c r="LUX4" s="386"/>
      <c r="LUY4" s="386"/>
      <c r="LUZ4" s="386"/>
      <c r="LVA4" s="386"/>
      <c r="LVB4" s="386"/>
      <c r="LVC4" s="386"/>
      <c r="LVD4" s="386"/>
      <c r="LVE4" s="386">
        <v>45870</v>
      </c>
      <c r="LVF4" s="386"/>
      <c r="LVG4" s="386"/>
      <c r="LVH4" s="386"/>
      <c r="LVI4" s="386"/>
      <c r="LVJ4" s="386"/>
      <c r="LVK4" s="386"/>
      <c r="LVL4" s="386"/>
      <c r="LVM4" s="386"/>
      <c r="LVN4" s="386"/>
      <c r="LVO4" s="386"/>
      <c r="LVP4" s="386"/>
      <c r="LVQ4" s="386"/>
      <c r="LVR4" s="386"/>
      <c r="LVS4" s="386"/>
      <c r="LVT4" s="386"/>
      <c r="LVU4" s="386">
        <v>45870</v>
      </c>
      <c r="LVV4" s="386"/>
      <c r="LVW4" s="386"/>
      <c r="LVX4" s="386"/>
      <c r="LVY4" s="386"/>
      <c r="LVZ4" s="386"/>
      <c r="LWA4" s="386"/>
      <c r="LWB4" s="386"/>
      <c r="LWC4" s="386"/>
      <c r="LWD4" s="386"/>
      <c r="LWE4" s="386"/>
      <c r="LWF4" s="386"/>
      <c r="LWG4" s="386"/>
      <c r="LWH4" s="386"/>
      <c r="LWI4" s="386"/>
      <c r="LWJ4" s="386"/>
      <c r="LWK4" s="386">
        <v>45870</v>
      </c>
      <c r="LWL4" s="386"/>
      <c r="LWM4" s="386"/>
      <c r="LWN4" s="386"/>
      <c r="LWO4" s="386"/>
      <c r="LWP4" s="386"/>
      <c r="LWQ4" s="386"/>
      <c r="LWR4" s="386"/>
      <c r="LWS4" s="386"/>
      <c r="LWT4" s="386"/>
      <c r="LWU4" s="386"/>
      <c r="LWV4" s="386"/>
      <c r="LWW4" s="386"/>
      <c r="LWX4" s="386"/>
      <c r="LWY4" s="386"/>
      <c r="LWZ4" s="386"/>
      <c r="LXA4" s="386">
        <v>45870</v>
      </c>
      <c r="LXB4" s="386"/>
      <c r="LXC4" s="386"/>
      <c r="LXD4" s="386"/>
      <c r="LXE4" s="386"/>
      <c r="LXF4" s="386"/>
      <c r="LXG4" s="386"/>
      <c r="LXH4" s="386"/>
      <c r="LXI4" s="386"/>
      <c r="LXJ4" s="386"/>
      <c r="LXK4" s="386"/>
      <c r="LXL4" s="386"/>
      <c r="LXM4" s="386"/>
      <c r="LXN4" s="386"/>
      <c r="LXO4" s="386"/>
      <c r="LXP4" s="386"/>
      <c r="LXQ4" s="386">
        <v>45870</v>
      </c>
      <c r="LXR4" s="386"/>
      <c r="LXS4" s="386"/>
      <c r="LXT4" s="386"/>
      <c r="LXU4" s="386"/>
      <c r="LXV4" s="386"/>
      <c r="LXW4" s="386"/>
      <c r="LXX4" s="386"/>
      <c r="LXY4" s="386"/>
      <c r="LXZ4" s="386"/>
      <c r="LYA4" s="386"/>
      <c r="LYB4" s="386"/>
      <c r="LYC4" s="386"/>
      <c r="LYD4" s="386"/>
      <c r="LYE4" s="386"/>
      <c r="LYF4" s="386"/>
      <c r="LYG4" s="386">
        <v>45870</v>
      </c>
      <c r="LYH4" s="386"/>
      <c r="LYI4" s="386"/>
      <c r="LYJ4" s="386"/>
      <c r="LYK4" s="386"/>
      <c r="LYL4" s="386"/>
      <c r="LYM4" s="386"/>
      <c r="LYN4" s="386"/>
      <c r="LYO4" s="386"/>
      <c r="LYP4" s="386"/>
      <c r="LYQ4" s="386"/>
      <c r="LYR4" s="386"/>
      <c r="LYS4" s="386"/>
      <c r="LYT4" s="386"/>
      <c r="LYU4" s="386"/>
      <c r="LYV4" s="386"/>
      <c r="LYW4" s="386">
        <v>45870</v>
      </c>
      <c r="LYX4" s="386"/>
      <c r="LYY4" s="386"/>
      <c r="LYZ4" s="386"/>
      <c r="LZA4" s="386"/>
      <c r="LZB4" s="386"/>
      <c r="LZC4" s="386"/>
      <c r="LZD4" s="386"/>
      <c r="LZE4" s="386"/>
      <c r="LZF4" s="386"/>
      <c r="LZG4" s="386"/>
      <c r="LZH4" s="386"/>
      <c r="LZI4" s="386"/>
      <c r="LZJ4" s="386"/>
      <c r="LZK4" s="386"/>
      <c r="LZL4" s="386"/>
      <c r="LZM4" s="386">
        <v>45870</v>
      </c>
      <c r="LZN4" s="386"/>
      <c r="LZO4" s="386"/>
      <c r="LZP4" s="386"/>
      <c r="LZQ4" s="386"/>
      <c r="LZR4" s="386"/>
      <c r="LZS4" s="386"/>
      <c r="LZT4" s="386"/>
      <c r="LZU4" s="386"/>
      <c r="LZV4" s="386"/>
      <c r="LZW4" s="386"/>
      <c r="LZX4" s="386"/>
      <c r="LZY4" s="386"/>
      <c r="LZZ4" s="386"/>
      <c r="MAA4" s="386"/>
      <c r="MAB4" s="386"/>
      <c r="MAC4" s="386">
        <v>45870</v>
      </c>
      <c r="MAD4" s="386"/>
      <c r="MAE4" s="386"/>
      <c r="MAF4" s="386"/>
      <c r="MAG4" s="386"/>
      <c r="MAH4" s="386"/>
      <c r="MAI4" s="386"/>
      <c r="MAJ4" s="386"/>
      <c r="MAK4" s="386"/>
      <c r="MAL4" s="386"/>
      <c r="MAM4" s="386"/>
      <c r="MAN4" s="386"/>
      <c r="MAO4" s="386"/>
      <c r="MAP4" s="386"/>
      <c r="MAQ4" s="386"/>
      <c r="MAR4" s="386"/>
      <c r="MAS4" s="386">
        <v>45870</v>
      </c>
      <c r="MAT4" s="386"/>
      <c r="MAU4" s="386"/>
      <c r="MAV4" s="386"/>
      <c r="MAW4" s="386"/>
      <c r="MAX4" s="386"/>
      <c r="MAY4" s="386"/>
      <c r="MAZ4" s="386"/>
      <c r="MBA4" s="386"/>
      <c r="MBB4" s="386"/>
      <c r="MBC4" s="386"/>
      <c r="MBD4" s="386"/>
      <c r="MBE4" s="386"/>
      <c r="MBF4" s="386"/>
      <c r="MBG4" s="386"/>
      <c r="MBH4" s="386"/>
      <c r="MBI4" s="386">
        <v>45870</v>
      </c>
      <c r="MBJ4" s="386"/>
      <c r="MBK4" s="386"/>
      <c r="MBL4" s="386"/>
      <c r="MBM4" s="386"/>
      <c r="MBN4" s="386"/>
      <c r="MBO4" s="386"/>
      <c r="MBP4" s="386"/>
      <c r="MBQ4" s="386"/>
      <c r="MBR4" s="386"/>
      <c r="MBS4" s="386"/>
      <c r="MBT4" s="386"/>
      <c r="MBU4" s="386"/>
      <c r="MBV4" s="386"/>
      <c r="MBW4" s="386"/>
      <c r="MBX4" s="386"/>
      <c r="MBY4" s="386">
        <v>45870</v>
      </c>
      <c r="MBZ4" s="386"/>
      <c r="MCA4" s="386"/>
      <c r="MCB4" s="386"/>
      <c r="MCC4" s="386"/>
      <c r="MCD4" s="386"/>
      <c r="MCE4" s="386"/>
      <c r="MCF4" s="386"/>
      <c r="MCG4" s="386"/>
      <c r="MCH4" s="386"/>
      <c r="MCI4" s="386"/>
      <c r="MCJ4" s="386"/>
      <c r="MCK4" s="386"/>
      <c r="MCL4" s="386"/>
      <c r="MCM4" s="386"/>
      <c r="MCN4" s="386"/>
      <c r="MCO4" s="386">
        <v>45870</v>
      </c>
      <c r="MCP4" s="386"/>
      <c r="MCQ4" s="386"/>
      <c r="MCR4" s="386"/>
      <c r="MCS4" s="386"/>
      <c r="MCT4" s="386"/>
      <c r="MCU4" s="386"/>
      <c r="MCV4" s="386"/>
      <c r="MCW4" s="386"/>
      <c r="MCX4" s="386"/>
      <c r="MCY4" s="386"/>
      <c r="MCZ4" s="386"/>
      <c r="MDA4" s="386"/>
      <c r="MDB4" s="386"/>
      <c r="MDC4" s="386"/>
      <c r="MDD4" s="386"/>
      <c r="MDE4" s="386">
        <v>45870</v>
      </c>
      <c r="MDF4" s="386"/>
      <c r="MDG4" s="386"/>
      <c r="MDH4" s="386"/>
      <c r="MDI4" s="386"/>
      <c r="MDJ4" s="386"/>
      <c r="MDK4" s="386"/>
      <c r="MDL4" s="386"/>
      <c r="MDM4" s="386"/>
      <c r="MDN4" s="386"/>
      <c r="MDO4" s="386"/>
      <c r="MDP4" s="386"/>
      <c r="MDQ4" s="386"/>
      <c r="MDR4" s="386"/>
      <c r="MDS4" s="386"/>
      <c r="MDT4" s="386"/>
      <c r="MDU4" s="386">
        <v>45870</v>
      </c>
      <c r="MDV4" s="386"/>
      <c r="MDW4" s="386"/>
      <c r="MDX4" s="386"/>
      <c r="MDY4" s="386"/>
      <c r="MDZ4" s="386"/>
      <c r="MEA4" s="386"/>
      <c r="MEB4" s="386"/>
      <c r="MEC4" s="386"/>
      <c r="MED4" s="386"/>
      <c r="MEE4" s="386"/>
      <c r="MEF4" s="386"/>
      <c r="MEG4" s="386"/>
      <c r="MEH4" s="386"/>
      <c r="MEI4" s="386"/>
      <c r="MEJ4" s="386"/>
      <c r="MEK4" s="386">
        <v>45870</v>
      </c>
      <c r="MEL4" s="386"/>
      <c r="MEM4" s="386"/>
      <c r="MEN4" s="386"/>
      <c r="MEO4" s="386"/>
      <c r="MEP4" s="386"/>
      <c r="MEQ4" s="386"/>
      <c r="MER4" s="386"/>
      <c r="MES4" s="386"/>
      <c r="MET4" s="386"/>
      <c r="MEU4" s="386"/>
      <c r="MEV4" s="386"/>
      <c r="MEW4" s="386"/>
      <c r="MEX4" s="386"/>
      <c r="MEY4" s="386"/>
      <c r="MEZ4" s="386"/>
      <c r="MFA4" s="386">
        <v>45870</v>
      </c>
      <c r="MFB4" s="386"/>
      <c r="MFC4" s="386"/>
      <c r="MFD4" s="386"/>
      <c r="MFE4" s="386"/>
      <c r="MFF4" s="386"/>
      <c r="MFG4" s="386"/>
      <c r="MFH4" s="386"/>
      <c r="MFI4" s="386"/>
      <c r="MFJ4" s="386"/>
      <c r="MFK4" s="386"/>
      <c r="MFL4" s="386"/>
      <c r="MFM4" s="386"/>
      <c r="MFN4" s="386"/>
      <c r="MFO4" s="386"/>
      <c r="MFP4" s="386"/>
      <c r="MFQ4" s="386">
        <v>45870</v>
      </c>
      <c r="MFR4" s="386"/>
      <c r="MFS4" s="386"/>
      <c r="MFT4" s="386"/>
      <c r="MFU4" s="386"/>
      <c r="MFV4" s="386"/>
      <c r="MFW4" s="386"/>
      <c r="MFX4" s="386"/>
      <c r="MFY4" s="386"/>
      <c r="MFZ4" s="386"/>
      <c r="MGA4" s="386"/>
      <c r="MGB4" s="386"/>
      <c r="MGC4" s="386"/>
      <c r="MGD4" s="386"/>
      <c r="MGE4" s="386"/>
      <c r="MGF4" s="386"/>
      <c r="MGG4" s="386">
        <v>45870</v>
      </c>
      <c r="MGH4" s="386"/>
      <c r="MGI4" s="386"/>
      <c r="MGJ4" s="386"/>
      <c r="MGK4" s="386"/>
      <c r="MGL4" s="386"/>
      <c r="MGM4" s="386"/>
      <c r="MGN4" s="386"/>
      <c r="MGO4" s="386"/>
      <c r="MGP4" s="386"/>
      <c r="MGQ4" s="386"/>
      <c r="MGR4" s="386"/>
      <c r="MGS4" s="386"/>
      <c r="MGT4" s="386"/>
      <c r="MGU4" s="386"/>
      <c r="MGV4" s="386"/>
      <c r="MGW4" s="386">
        <v>45870</v>
      </c>
      <c r="MGX4" s="386"/>
      <c r="MGY4" s="386"/>
      <c r="MGZ4" s="386"/>
      <c r="MHA4" s="386"/>
      <c r="MHB4" s="386"/>
      <c r="MHC4" s="386"/>
      <c r="MHD4" s="386"/>
      <c r="MHE4" s="386"/>
      <c r="MHF4" s="386"/>
      <c r="MHG4" s="386"/>
      <c r="MHH4" s="386"/>
      <c r="MHI4" s="386"/>
      <c r="MHJ4" s="386"/>
      <c r="MHK4" s="386"/>
      <c r="MHL4" s="386"/>
      <c r="MHM4" s="386">
        <v>45870</v>
      </c>
      <c r="MHN4" s="386"/>
      <c r="MHO4" s="386"/>
      <c r="MHP4" s="386"/>
      <c r="MHQ4" s="386"/>
      <c r="MHR4" s="386"/>
      <c r="MHS4" s="386"/>
      <c r="MHT4" s="386"/>
      <c r="MHU4" s="386"/>
      <c r="MHV4" s="386"/>
      <c r="MHW4" s="386"/>
      <c r="MHX4" s="386"/>
      <c r="MHY4" s="386"/>
      <c r="MHZ4" s="386"/>
      <c r="MIA4" s="386"/>
      <c r="MIB4" s="386"/>
      <c r="MIC4" s="386">
        <v>45870</v>
      </c>
      <c r="MID4" s="386"/>
      <c r="MIE4" s="386"/>
      <c r="MIF4" s="386"/>
      <c r="MIG4" s="386"/>
      <c r="MIH4" s="386"/>
      <c r="MII4" s="386"/>
      <c r="MIJ4" s="386"/>
      <c r="MIK4" s="386"/>
      <c r="MIL4" s="386"/>
      <c r="MIM4" s="386"/>
      <c r="MIN4" s="386"/>
      <c r="MIO4" s="386"/>
      <c r="MIP4" s="386"/>
      <c r="MIQ4" s="386"/>
      <c r="MIR4" s="386"/>
      <c r="MIS4" s="386">
        <v>45870</v>
      </c>
      <c r="MIT4" s="386"/>
      <c r="MIU4" s="386"/>
      <c r="MIV4" s="386"/>
      <c r="MIW4" s="386"/>
      <c r="MIX4" s="386"/>
      <c r="MIY4" s="386"/>
      <c r="MIZ4" s="386"/>
      <c r="MJA4" s="386"/>
      <c r="MJB4" s="386"/>
      <c r="MJC4" s="386"/>
      <c r="MJD4" s="386"/>
      <c r="MJE4" s="386"/>
      <c r="MJF4" s="386"/>
      <c r="MJG4" s="386"/>
      <c r="MJH4" s="386"/>
      <c r="MJI4" s="386">
        <v>45870</v>
      </c>
      <c r="MJJ4" s="386"/>
      <c r="MJK4" s="386"/>
      <c r="MJL4" s="386"/>
      <c r="MJM4" s="386"/>
      <c r="MJN4" s="386"/>
      <c r="MJO4" s="386"/>
      <c r="MJP4" s="386"/>
      <c r="MJQ4" s="386"/>
      <c r="MJR4" s="386"/>
      <c r="MJS4" s="386"/>
      <c r="MJT4" s="386"/>
      <c r="MJU4" s="386"/>
      <c r="MJV4" s="386"/>
      <c r="MJW4" s="386"/>
      <c r="MJX4" s="386"/>
      <c r="MJY4" s="386">
        <v>45870</v>
      </c>
      <c r="MJZ4" s="386"/>
      <c r="MKA4" s="386"/>
      <c r="MKB4" s="386"/>
      <c r="MKC4" s="386"/>
      <c r="MKD4" s="386"/>
      <c r="MKE4" s="386"/>
      <c r="MKF4" s="386"/>
      <c r="MKG4" s="386"/>
      <c r="MKH4" s="386"/>
      <c r="MKI4" s="386"/>
      <c r="MKJ4" s="386"/>
      <c r="MKK4" s="386"/>
      <c r="MKL4" s="386"/>
      <c r="MKM4" s="386"/>
      <c r="MKN4" s="386"/>
      <c r="MKO4" s="386">
        <v>45870</v>
      </c>
      <c r="MKP4" s="386"/>
      <c r="MKQ4" s="386"/>
      <c r="MKR4" s="386"/>
      <c r="MKS4" s="386"/>
      <c r="MKT4" s="386"/>
      <c r="MKU4" s="386"/>
      <c r="MKV4" s="386"/>
      <c r="MKW4" s="386"/>
      <c r="MKX4" s="386"/>
      <c r="MKY4" s="386"/>
      <c r="MKZ4" s="386"/>
      <c r="MLA4" s="386"/>
      <c r="MLB4" s="386"/>
      <c r="MLC4" s="386"/>
      <c r="MLD4" s="386"/>
      <c r="MLE4" s="386">
        <v>45870</v>
      </c>
      <c r="MLF4" s="386"/>
      <c r="MLG4" s="386"/>
      <c r="MLH4" s="386"/>
      <c r="MLI4" s="386"/>
      <c r="MLJ4" s="386"/>
      <c r="MLK4" s="386"/>
      <c r="MLL4" s="386"/>
      <c r="MLM4" s="386"/>
      <c r="MLN4" s="386"/>
      <c r="MLO4" s="386"/>
      <c r="MLP4" s="386"/>
      <c r="MLQ4" s="386"/>
      <c r="MLR4" s="386"/>
      <c r="MLS4" s="386"/>
      <c r="MLT4" s="386"/>
      <c r="MLU4" s="386">
        <v>45870</v>
      </c>
      <c r="MLV4" s="386"/>
      <c r="MLW4" s="386"/>
      <c r="MLX4" s="386"/>
      <c r="MLY4" s="386"/>
      <c r="MLZ4" s="386"/>
      <c r="MMA4" s="386"/>
      <c r="MMB4" s="386"/>
      <c r="MMC4" s="386"/>
      <c r="MMD4" s="386"/>
      <c r="MME4" s="386"/>
      <c r="MMF4" s="386"/>
      <c r="MMG4" s="386"/>
      <c r="MMH4" s="386"/>
      <c r="MMI4" s="386"/>
      <c r="MMJ4" s="386"/>
      <c r="MMK4" s="386">
        <v>45870</v>
      </c>
      <c r="MML4" s="386"/>
      <c r="MMM4" s="386"/>
      <c r="MMN4" s="386"/>
      <c r="MMO4" s="386"/>
      <c r="MMP4" s="386"/>
      <c r="MMQ4" s="386"/>
      <c r="MMR4" s="386"/>
      <c r="MMS4" s="386"/>
      <c r="MMT4" s="386"/>
      <c r="MMU4" s="386"/>
      <c r="MMV4" s="386"/>
      <c r="MMW4" s="386"/>
      <c r="MMX4" s="386"/>
      <c r="MMY4" s="386"/>
      <c r="MMZ4" s="386"/>
      <c r="MNA4" s="386">
        <v>45870</v>
      </c>
      <c r="MNB4" s="386"/>
      <c r="MNC4" s="386"/>
      <c r="MND4" s="386"/>
      <c r="MNE4" s="386"/>
      <c r="MNF4" s="386"/>
      <c r="MNG4" s="386"/>
      <c r="MNH4" s="386"/>
      <c r="MNI4" s="386"/>
      <c r="MNJ4" s="386"/>
      <c r="MNK4" s="386"/>
      <c r="MNL4" s="386"/>
      <c r="MNM4" s="386"/>
      <c r="MNN4" s="386"/>
      <c r="MNO4" s="386"/>
      <c r="MNP4" s="386"/>
      <c r="MNQ4" s="386">
        <v>45870</v>
      </c>
      <c r="MNR4" s="386"/>
      <c r="MNS4" s="386"/>
      <c r="MNT4" s="386"/>
      <c r="MNU4" s="386"/>
      <c r="MNV4" s="386"/>
      <c r="MNW4" s="386"/>
      <c r="MNX4" s="386"/>
      <c r="MNY4" s="386"/>
      <c r="MNZ4" s="386"/>
      <c r="MOA4" s="386"/>
      <c r="MOB4" s="386"/>
      <c r="MOC4" s="386"/>
      <c r="MOD4" s="386"/>
      <c r="MOE4" s="386"/>
      <c r="MOF4" s="386"/>
      <c r="MOG4" s="386">
        <v>45870</v>
      </c>
      <c r="MOH4" s="386"/>
      <c r="MOI4" s="386"/>
      <c r="MOJ4" s="386"/>
      <c r="MOK4" s="386"/>
      <c r="MOL4" s="386"/>
      <c r="MOM4" s="386"/>
      <c r="MON4" s="386"/>
      <c r="MOO4" s="386"/>
      <c r="MOP4" s="386"/>
      <c r="MOQ4" s="386"/>
      <c r="MOR4" s="386"/>
      <c r="MOS4" s="386"/>
      <c r="MOT4" s="386"/>
      <c r="MOU4" s="386"/>
      <c r="MOV4" s="386"/>
      <c r="MOW4" s="386">
        <v>45870</v>
      </c>
      <c r="MOX4" s="386"/>
      <c r="MOY4" s="386"/>
      <c r="MOZ4" s="386"/>
      <c r="MPA4" s="386"/>
      <c r="MPB4" s="386"/>
      <c r="MPC4" s="386"/>
      <c r="MPD4" s="386"/>
      <c r="MPE4" s="386"/>
      <c r="MPF4" s="386"/>
      <c r="MPG4" s="386"/>
      <c r="MPH4" s="386"/>
      <c r="MPI4" s="386"/>
      <c r="MPJ4" s="386"/>
      <c r="MPK4" s="386"/>
      <c r="MPL4" s="386"/>
      <c r="MPM4" s="386">
        <v>45870</v>
      </c>
      <c r="MPN4" s="386"/>
      <c r="MPO4" s="386"/>
      <c r="MPP4" s="386"/>
      <c r="MPQ4" s="386"/>
      <c r="MPR4" s="386"/>
      <c r="MPS4" s="386"/>
      <c r="MPT4" s="386"/>
      <c r="MPU4" s="386"/>
      <c r="MPV4" s="386"/>
      <c r="MPW4" s="386"/>
      <c r="MPX4" s="386"/>
      <c r="MPY4" s="386"/>
      <c r="MPZ4" s="386"/>
      <c r="MQA4" s="386"/>
      <c r="MQB4" s="386"/>
      <c r="MQC4" s="386">
        <v>45870</v>
      </c>
      <c r="MQD4" s="386"/>
      <c r="MQE4" s="386"/>
      <c r="MQF4" s="386"/>
      <c r="MQG4" s="386"/>
      <c r="MQH4" s="386"/>
      <c r="MQI4" s="386"/>
      <c r="MQJ4" s="386"/>
      <c r="MQK4" s="386"/>
      <c r="MQL4" s="386"/>
      <c r="MQM4" s="386"/>
      <c r="MQN4" s="386"/>
      <c r="MQO4" s="386"/>
      <c r="MQP4" s="386"/>
      <c r="MQQ4" s="386"/>
      <c r="MQR4" s="386"/>
      <c r="MQS4" s="386">
        <v>45870</v>
      </c>
      <c r="MQT4" s="386"/>
      <c r="MQU4" s="386"/>
      <c r="MQV4" s="386"/>
      <c r="MQW4" s="386"/>
      <c r="MQX4" s="386"/>
      <c r="MQY4" s="386"/>
      <c r="MQZ4" s="386"/>
      <c r="MRA4" s="386"/>
      <c r="MRB4" s="386"/>
      <c r="MRC4" s="386"/>
      <c r="MRD4" s="386"/>
      <c r="MRE4" s="386"/>
      <c r="MRF4" s="386"/>
      <c r="MRG4" s="386"/>
      <c r="MRH4" s="386"/>
      <c r="MRI4" s="386">
        <v>45870</v>
      </c>
      <c r="MRJ4" s="386"/>
      <c r="MRK4" s="386"/>
      <c r="MRL4" s="386"/>
      <c r="MRM4" s="386"/>
      <c r="MRN4" s="386"/>
      <c r="MRO4" s="386"/>
      <c r="MRP4" s="386"/>
      <c r="MRQ4" s="386"/>
      <c r="MRR4" s="386"/>
      <c r="MRS4" s="386"/>
      <c r="MRT4" s="386"/>
      <c r="MRU4" s="386"/>
      <c r="MRV4" s="386"/>
      <c r="MRW4" s="386"/>
      <c r="MRX4" s="386"/>
      <c r="MRY4" s="386">
        <v>45870</v>
      </c>
      <c r="MRZ4" s="386"/>
      <c r="MSA4" s="386"/>
      <c r="MSB4" s="386"/>
      <c r="MSC4" s="386"/>
      <c r="MSD4" s="386"/>
      <c r="MSE4" s="386"/>
      <c r="MSF4" s="386"/>
      <c r="MSG4" s="386"/>
      <c r="MSH4" s="386"/>
      <c r="MSI4" s="386"/>
      <c r="MSJ4" s="386"/>
      <c r="MSK4" s="386"/>
      <c r="MSL4" s="386"/>
      <c r="MSM4" s="386"/>
      <c r="MSN4" s="386"/>
      <c r="MSO4" s="386">
        <v>45870</v>
      </c>
      <c r="MSP4" s="386"/>
      <c r="MSQ4" s="386"/>
      <c r="MSR4" s="386"/>
      <c r="MSS4" s="386"/>
      <c r="MST4" s="386"/>
      <c r="MSU4" s="386"/>
      <c r="MSV4" s="386"/>
      <c r="MSW4" s="386"/>
      <c r="MSX4" s="386"/>
      <c r="MSY4" s="386"/>
      <c r="MSZ4" s="386"/>
      <c r="MTA4" s="386"/>
      <c r="MTB4" s="386"/>
      <c r="MTC4" s="386"/>
      <c r="MTD4" s="386"/>
      <c r="MTE4" s="386">
        <v>45870</v>
      </c>
      <c r="MTF4" s="386"/>
      <c r="MTG4" s="386"/>
      <c r="MTH4" s="386"/>
      <c r="MTI4" s="386"/>
      <c r="MTJ4" s="386"/>
      <c r="MTK4" s="386"/>
      <c r="MTL4" s="386"/>
      <c r="MTM4" s="386"/>
      <c r="MTN4" s="386"/>
      <c r="MTO4" s="386"/>
      <c r="MTP4" s="386"/>
      <c r="MTQ4" s="386"/>
      <c r="MTR4" s="386"/>
      <c r="MTS4" s="386"/>
      <c r="MTT4" s="386"/>
      <c r="MTU4" s="386">
        <v>45870</v>
      </c>
      <c r="MTV4" s="386"/>
      <c r="MTW4" s="386"/>
      <c r="MTX4" s="386"/>
      <c r="MTY4" s="386"/>
      <c r="MTZ4" s="386"/>
      <c r="MUA4" s="386"/>
      <c r="MUB4" s="386"/>
      <c r="MUC4" s="386"/>
      <c r="MUD4" s="386"/>
      <c r="MUE4" s="386"/>
      <c r="MUF4" s="386"/>
      <c r="MUG4" s="386"/>
      <c r="MUH4" s="386"/>
      <c r="MUI4" s="386"/>
      <c r="MUJ4" s="386"/>
      <c r="MUK4" s="386">
        <v>45870</v>
      </c>
      <c r="MUL4" s="386"/>
      <c r="MUM4" s="386"/>
      <c r="MUN4" s="386"/>
      <c r="MUO4" s="386"/>
      <c r="MUP4" s="386"/>
      <c r="MUQ4" s="386"/>
      <c r="MUR4" s="386"/>
      <c r="MUS4" s="386"/>
      <c r="MUT4" s="386"/>
      <c r="MUU4" s="386"/>
      <c r="MUV4" s="386"/>
      <c r="MUW4" s="386"/>
      <c r="MUX4" s="386"/>
      <c r="MUY4" s="386"/>
      <c r="MUZ4" s="386"/>
      <c r="MVA4" s="386">
        <v>45870</v>
      </c>
      <c r="MVB4" s="386"/>
      <c r="MVC4" s="386"/>
      <c r="MVD4" s="386"/>
      <c r="MVE4" s="386"/>
      <c r="MVF4" s="386"/>
      <c r="MVG4" s="386"/>
      <c r="MVH4" s="386"/>
      <c r="MVI4" s="386"/>
      <c r="MVJ4" s="386"/>
      <c r="MVK4" s="386"/>
      <c r="MVL4" s="386"/>
      <c r="MVM4" s="386"/>
      <c r="MVN4" s="386"/>
      <c r="MVO4" s="386"/>
      <c r="MVP4" s="386"/>
      <c r="MVQ4" s="386">
        <v>45870</v>
      </c>
      <c r="MVR4" s="386"/>
      <c r="MVS4" s="386"/>
      <c r="MVT4" s="386"/>
      <c r="MVU4" s="386"/>
      <c r="MVV4" s="386"/>
      <c r="MVW4" s="386"/>
      <c r="MVX4" s="386"/>
      <c r="MVY4" s="386"/>
      <c r="MVZ4" s="386"/>
      <c r="MWA4" s="386"/>
      <c r="MWB4" s="386"/>
      <c r="MWC4" s="386"/>
      <c r="MWD4" s="386"/>
      <c r="MWE4" s="386"/>
      <c r="MWF4" s="386"/>
      <c r="MWG4" s="386">
        <v>45870</v>
      </c>
      <c r="MWH4" s="386"/>
      <c r="MWI4" s="386"/>
      <c r="MWJ4" s="386"/>
      <c r="MWK4" s="386"/>
      <c r="MWL4" s="386"/>
      <c r="MWM4" s="386"/>
      <c r="MWN4" s="386"/>
      <c r="MWO4" s="386"/>
      <c r="MWP4" s="386"/>
      <c r="MWQ4" s="386"/>
      <c r="MWR4" s="386"/>
      <c r="MWS4" s="386"/>
      <c r="MWT4" s="386"/>
      <c r="MWU4" s="386"/>
      <c r="MWV4" s="386"/>
      <c r="MWW4" s="386">
        <v>45870</v>
      </c>
      <c r="MWX4" s="386"/>
      <c r="MWY4" s="386"/>
      <c r="MWZ4" s="386"/>
      <c r="MXA4" s="386"/>
      <c r="MXB4" s="386"/>
      <c r="MXC4" s="386"/>
      <c r="MXD4" s="386"/>
      <c r="MXE4" s="386"/>
      <c r="MXF4" s="386"/>
      <c r="MXG4" s="386"/>
      <c r="MXH4" s="386"/>
      <c r="MXI4" s="386"/>
      <c r="MXJ4" s="386"/>
      <c r="MXK4" s="386"/>
      <c r="MXL4" s="386"/>
      <c r="MXM4" s="386">
        <v>45870</v>
      </c>
      <c r="MXN4" s="386"/>
      <c r="MXO4" s="386"/>
      <c r="MXP4" s="386"/>
      <c r="MXQ4" s="386"/>
      <c r="MXR4" s="386"/>
      <c r="MXS4" s="386"/>
      <c r="MXT4" s="386"/>
      <c r="MXU4" s="386"/>
      <c r="MXV4" s="386"/>
      <c r="MXW4" s="386"/>
      <c r="MXX4" s="386"/>
      <c r="MXY4" s="386"/>
      <c r="MXZ4" s="386"/>
      <c r="MYA4" s="386"/>
      <c r="MYB4" s="386"/>
      <c r="MYC4" s="386">
        <v>45870</v>
      </c>
      <c r="MYD4" s="386"/>
      <c r="MYE4" s="386"/>
      <c r="MYF4" s="386"/>
      <c r="MYG4" s="386"/>
      <c r="MYH4" s="386"/>
      <c r="MYI4" s="386"/>
      <c r="MYJ4" s="386"/>
      <c r="MYK4" s="386"/>
      <c r="MYL4" s="386"/>
      <c r="MYM4" s="386"/>
      <c r="MYN4" s="386"/>
      <c r="MYO4" s="386"/>
      <c r="MYP4" s="386"/>
      <c r="MYQ4" s="386"/>
      <c r="MYR4" s="386"/>
      <c r="MYS4" s="386">
        <v>45870</v>
      </c>
      <c r="MYT4" s="386"/>
      <c r="MYU4" s="386"/>
      <c r="MYV4" s="386"/>
      <c r="MYW4" s="386"/>
      <c r="MYX4" s="386"/>
      <c r="MYY4" s="386"/>
      <c r="MYZ4" s="386"/>
      <c r="MZA4" s="386"/>
      <c r="MZB4" s="386"/>
      <c r="MZC4" s="386"/>
      <c r="MZD4" s="386"/>
      <c r="MZE4" s="386"/>
      <c r="MZF4" s="386"/>
      <c r="MZG4" s="386"/>
      <c r="MZH4" s="386"/>
      <c r="MZI4" s="386">
        <v>45870</v>
      </c>
      <c r="MZJ4" s="386"/>
      <c r="MZK4" s="386"/>
      <c r="MZL4" s="386"/>
      <c r="MZM4" s="386"/>
      <c r="MZN4" s="386"/>
      <c r="MZO4" s="386"/>
      <c r="MZP4" s="386"/>
      <c r="MZQ4" s="386"/>
      <c r="MZR4" s="386"/>
      <c r="MZS4" s="386"/>
      <c r="MZT4" s="386"/>
      <c r="MZU4" s="386"/>
      <c r="MZV4" s="386"/>
      <c r="MZW4" s="386"/>
      <c r="MZX4" s="386"/>
      <c r="MZY4" s="386">
        <v>45870</v>
      </c>
      <c r="MZZ4" s="386"/>
      <c r="NAA4" s="386"/>
      <c r="NAB4" s="386"/>
      <c r="NAC4" s="386"/>
      <c r="NAD4" s="386"/>
      <c r="NAE4" s="386"/>
      <c r="NAF4" s="386"/>
      <c r="NAG4" s="386"/>
      <c r="NAH4" s="386"/>
      <c r="NAI4" s="386"/>
      <c r="NAJ4" s="386"/>
      <c r="NAK4" s="386"/>
      <c r="NAL4" s="386"/>
      <c r="NAM4" s="386"/>
      <c r="NAN4" s="386"/>
      <c r="NAO4" s="386">
        <v>45870</v>
      </c>
      <c r="NAP4" s="386"/>
      <c r="NAQ4" s="386"/>
      <c r="NAR4" s="386"/>
      <c r="NAS4" s="386"/>
      <c r="NAT4" s="386"/>
      <c r="NAU4" s="386"/>
      <c r="NAV4" s="386"/>
      <c r="NAW4" s="386"/>
      <c r="NAX4" s="386"/>
      <c r="NAY4" s="386"/>
      <c r="NAZ4" s="386"/>
      <c r="NBA4" s="386"/>
      <c r="NBB4" s="386"/>
      <c r="NBC4" s="386"/>
      <c r="NBD4" s="386"/>
      <c r="NBE4" s="386">
        <v>45870</v>
      </c>
      <c r="NBF4" s="386"/>
      <c r="NBG4" s="386"/>
      <c r="NBH4" s="386"/>
      <c r="NBI4" s="386"/>
      <c r="NBJ4" s="386"/>
      <c r="NBK4" s="386"/>
      <c r="NBL4" s="386"/>
      <c r="NBM4" s="386"/>
      <c r="NBN4" s="386"/>
      <c r="NBO4" s="386"/>
      <c r="NBP4" s="386"/>
      <c r="NBQ4" s="386"/>
      <c r="NBR4" s="386"/>
      <c r="NBS4" s="386"/>
      <c r="NBT4" s="386"/>
      <c r="NBU4" s="386">
        <v>45870</v>
      </c>
      <c r="NBV4" s="386"/>
      <c r="NBW4" s="386"/>
      <c r="NBX4" s="386"/>
      <c r="NBY4" s="386"/>
      <c r="NBZ4" s="386"/>
      <c r="NCA4" s="386"/>
      <c r="NCB4" s="386"/>
      <c r="NCC4" s="386"/>
      <c r="NCD4" s="386"/>
      <c r="NCE4" s="386"/>
      <c r="NCF4" s="386"/>
      <c r="NCG4" s="386"/>
      <c r="NCH4" s="386"/>
      <c r="NCI4" s="386"/>
      <c r="NCJ4" s="386"/>
      <c r="NCK4" s="386">
        <v>45870</v>
      </c>
      <c r="NCL4" s="386"/>
      <c r="NCM4" s="386"/>
      <c r="NCN4" s="386"/>
      <c r="NCO4" s="386"/>
      <c r="NCP4" s="386"/>
      <c r="NCQ4" s="386"/>
      <c r="NCR4" s="386"/>
      <c r="NCS4" s="386"/>
      <c r="NCT4" s="386"/>
      <c r="NCU4" s="386"/>
      <c r="NCV4" s="386"/>
      <c r="NCW4" s="386"/>
      <c r="NCX4" s="386"/>
      <c r="NCY4" s="386"/>
      <c r="NCZ4" s="386"/>
      <c r="NDA4" s="386">
        <v>45870</v>
      </c>
      <c r="NDB4" s="386"/>
      <c r="NDC4" s="386"/>
      <c r="NDD4" s="386"/>
      <c r="NDE4" s="386"/>
      <c r="NDF4" s="386"/>
      <c r="NDG4" s="386"/>
      <c r="NDH4" s="386"/>
      <c r="NDI4" s="386"/>
      <c r="NDJ4" s="386"/>
      <c r="NDK4" s="386"/>
      <c r="NDL4" s="386"/>
      <c r="NDM4" s="386"/>
      <c r="NDN4" s="386"/>
      <c r="NDO4" s="386"/>
      <c r="NDP4" s="386"/>
      <c r="NDQ4" s="386">
        <v>45870</v>
      </c>
      <c r="NDR4" s="386"/>
      <c r="NDS4" s="386"/>
      <c r="NDT4" s="386"/>
      <c r="NDU4" s="386"/>
      <c r="NDV4" s="386"/>
      <c r="NDW4" s="386"/>
      <c r="NDX4" s="386"/>
      <c r="NDY4" s="386"/>
      <c r="NDZ4" s="386"/>
      <c r="NEA4" s="386"/>
      <c r="NEB4" s="386"/>
      <c r="NEC4" s="386"/>
      <c r="NED4" s="386"/>
      <c r="NEE4" s="386"/>
      <c r="NEF4" s="386"/>
      <c r="NEG4" s="386">
        <v>45870</v>
      </c>
      <c r="NEH4" s="386"/>
      <c r="NEI4" s="386"/>
      <c r="NEJ4" s="386"/>
      <c r="NEK4" s="386"/>
      <c r="NEL4" s="386"/>
      <c r="NEM4" s="386"/>
      <c r="NEN4" s="386"/>
      <c r="NEO4" s="386"/>
      <c r="NEP4" s="386"/>
      <c r="NEQ4" s="386"/>
      <c r="NER4" s="386"/>
      <c r="NES4" s="386"/>
      <c r="NET4" s="386"/>
      <c r="NEU4" s="386"/>
      <c r="NEV4" s="386"/>
      <c r="NEW4" s="386">
        <v>45870</v>
      </c>
      <c r="NEX4" s="386"/>
      <c r="NEY4" s="386"/>
      <c r="NEZ4" s="386"/>
      <c r="NFA4" s="386"/>
      <c r="NFB4" s="386"/>
      <c r="NFC4" s="386"/>
      <c r="NFD4" s="386"/>
      <c r="NFE4" s="386"/>
      <c r="NFF4" s="386"/>
      <c r="NFG4" s="386"/>
      <c r="NFH4" s="386"/>
      <c r="NFI4" s="386"/>
      <c r="NFJ4" s="386"/>
      <c r="NFK4" s="386"/>
      <c r="NFL4" s="386"/>
      <c r="NFM4" s="386">
        <v>45870</v>
      </c>
      <c r="NFN4" s="386"/>
      <c r="NFO4" s="386"/>
      <c r="NFP4" s="386"/>
      <c r="NFQ4" s="386"/>
      <c r="NFR4" s="386"/>
      <c r="NFS4" s="386"/>
      <c r="NFT4" s="386"/>
      <c r="NFU4" s="386"/>
      <c r="NFV4" s="386"/>
      <c r="NFW4" s="386"/>
      <c r="NFX4" s="386"/>
      <c r="NFY4" s="386"/>
      <c r="NFZ4" s="386"/>
      <c r="NGA4" s="386"/>
      <c r="NGB4" s="386"/>
      <c r="NGC4" s="386">
        <v>45870</v>
      </c>
      <c r="NGD4" s="386"/>
      <c r="NGE4" s="386"/>
      <c r="NGF4" s="386"/>
      <c r="NGG4" s="386"/>
      <c r="NGH4" s="386"/>
      <c r="NGI4" s="386"/>
      <c r="NGJ4" s="386"/>
      <c r="NGK4" s="386"/>
      <c r="NGL4" s="386"/>
      <c r="NGM4" s="386"/>
      <c r="NGN4" s="386"/>
      <c r="NGO4" s="386"/>
      <c r="NGP4" s="386"/>
      <c r="NGQ4" s="386"/>
      <c r="NGR4" s="386"/>
      <c r="NGS4" s="386">
        <v>45870</v>
      </c>
      <c r="NGT4" s="386"/>
      <c r="NGU4" s="386"/>
      <c r="NGV4" s="386"/>
      <c r="NGW4" s="386"/>
      <c r="NGX4" s="386"/>
      <c r="NGY4" s="386"/>
      <c r="NGZ4" s="386"/>
      <c r="NHA4" s="386"/>
      <c r="NHB4" s="386"/>
      <c r="NHC4" s="386"/>
      <c r="NHD4" s="386"/>
      <c r="NHE4" s="386"/>
      <c r="NHF4" s="386"/>
      <c r="NHG4" s="386"/>
      <c r="NHH4" s="386"/>
      <c r="NHI4" s="386">
        <v>45870</v>
      </c>
      <c r="NHJ4" s="386"/>
      <c r="NHK4" s="386"/>
      <c r="NHL4" s="386"/>
      <c r="NHM4" s="386"/>
      <c r="NHN4" s="386"/>
      <c r="NHO4" s="386"/>
      <c r="NHP4" s="386"/>
      <c r="NHQ4" s="386"/>
      <c r="NHR4" s="386"/>
      <c r="NHS4" s="386"/>
      <c r="NHT4" s="386"/>
      <c r="NHU4" s="386"/>
      <c r="NHV4" s="386"/>
      <c r="NHW4" s="386"/>
      <c r="NHX4" s="386"/>
      <c r="NHY4" s="386">
        <v>45870</v>
      </c>
      <c r="NHZ4" s="386"/>
      <c r="NIA4" s="386"/>
      <c r="NIB4" s="386"/>
      <c r="NIC4" s="386"/>
      <c r="NID4" s="386"/>
      <c r="NIE4" s="386"/>
      <c r="NIF4" s="386"/>
      <c r="NIG4" s="386"/>
      <c r="NIH4" s="386"/>
      <c r="NII4" s="386"/>
      <c r="NIJ4" s="386"/>
      <c r="NIK4" s="386"/>
      <c r="NIL4" s="386"/>
      <c r="NIM4" s="386"/>
      <c r="NIN4" s="386"/>
      <c r="NIO4" s="386">
        <v>45870</v>
      </c>
      <c r="NIP4" s="386"/>
      <c r="NIQ4" s="386"/>
      <c r="NIR4" s="386"/>
      <c r="NIS4" s="386"/>
      <c r="NIT4" s="386"/>
      <c r="NIU4" s="386"/>
      <c r="NIV4" s="386"/>
      <c r="NIW4" s="386"/>
      <c r="NIX4" s="386"/>
      <c r="NIY4" s="386"/>
      <c r="NIZ4" s="386"/>
      <c r="NJA4" s="386"/>
      <c r="NJB4" s="386"/>
      <c r="NJC4" s="386"/>
      <c r="NJD4" s="386"/>
      <c r="NJE4" s="386">
        <v>45870</v>
      </c>
      <c r="NJF4" s="386"/>
      <c r="NJG4" s="386"/>
      <c r="NJH4" s="386"/>
      <c r="NJI4" s="386"/>
      <c r="NJJ4" s="386"/>
      <c r="NJK4" s="386"/>
      <c r="NJL4" s="386"/>
      <c r="NJM4" s="386"/>
      <c r="NJN4" s="386"/>
      <c r="NJO4" s="386"/>
      <c r="NJP4" s="386"/>
      <c r="NJQ4" s="386"/>
      <c r="NJR4" s="386"/>
      <c r="NJS4" s="386"/>
      <c r="NJT4" s="386"/>
      <c r="NJU4" s="386">
        <v>45870</v>
      </c>
      <c r="NJV4" s="386"/>
      <c r="NJW4" s="386"/>
      <c r="NJX4" s="386"/>
      <c r="NJY4" s="386"/>
      <c r="NJZ4" s="386"/>
      <c r="NKA4" s="386"/>
      <c r="NKB4" s="386"/>
      <c r="NKC4" s="386"/>
      <c r="NKD4" s="386"/>
      <c r="NKE4" s="386"/>
      <c r="NKF4" s="386"/>
      <c r="NKG4" s="386"/>
      <c r="NKH4" s="386"/>
      <c r="NKI4" s="386"/>
      <c r="NKJ4" s="386"/>
      <c r="NKK4" s="386">
        <v>45870</v>
      </c>
      <c r="NKL4" s="386"/>
      <c r="NKM4" s="386"/>
      <c r="NKN4" s="386"/>
      <c r="NKO4" s="386"/>
      <c r="NKP4" s="386"/>
      <c r="NKQ4" s="386"/>
      <c r="NKR4" s="386"/>
      <c r="NKS4" s="386"/>
      <c r="NKT4" s="386"/>
      <c r="NKU4" s="386"/>
      <c r="NKV4" s="386"/>
      <c r="NKW4" s="386"/>
      <c r="NKX4" s="386"/>
      <c r="NKY4" s="386"/>
      <c r="NKZ4" s="386"/>
      <c r="NLA4" s="386">
        <v>45870</v>
      </c>
      <c r="NLB4" s="386"/>
      <c r="NLC4" s="386"/>
      <c r="NLD4" s="386"/>
      <c r="NLE4" s="386"/>
      <c r="NLF4" s="386"/>
      <c r="NLG4" s="386"/>
      <c r="NLH4" s="386"/>
      <c r="NLI4" s="386"/>
      <c r="NLJ4" s="386"/>
      <c r="NLK4" s="386"/>
      <c r="NLL4" s="386"/>
      <c r="NLM4" s="386"/>
      <c r="NLN4" s="386"/>
      <c r="NLO4" s="386"/>
      <c r="NLP4" s="386"/>
      <c r="NLQ4" s="386">
        <v>45870</v>
      </c>
      <c r="NLR4" s="386"/>
      <c r="NLS4" s="386"/>
      <c r="NLT4" s="386"/>
      <c r="NLU4" s="386"/>
      <c r="NLV4" s="386"/>
      <c r="NLW4" s="386"/>
      <c r="NLX4" s="386"/>
      <c r="NLY4" s="386"/>
      <c r="NLZ4" s="386"/>
      <c r="NMA4" s="386"/>
      <c r="NMB4" s="386"/>
      <c r="NMC4" s="386"/>
      <c r="NMD4" s="386"/>
      <c r="NME4" s="386"/>
      <c r="NMF4" s="386"/>
      <c r="NMG4" s="386">
        <v>45870</v>
      </c>
      <c r="NMH4" s="386"/>
      <c r="NMI4" s="386"/>
      <c r="NMJ4" s="386"/>
      <c r="NMK4" s="386"/>
      <c r="NML4" s="386"/>
      <c r="NMM4" s="386"/>
      <c r="NMN4" s="386"/>
      <c r="NMO4" s="386"/>
      <c r="NMP4" s="386"/>
      <c r="NMQ4" s="386"/>
      <c r="NMR4" s="386"/>
      <c r="NMS4" s="386"/>
      <c r="NMT4" s="386"/>
      <c r="NMU4" s="386"/>
      <c r="NMV4" s="386"/>
      <c r="NMW4" s="386">
        <v>45870</v>
      </c>
      <c r="NMX4" s="386"/>
      <c r="NMY4" s="386"/>
      <c r="NMZ4" s="386"/>
      <c r="NNA4" s="386"/>
      <c r="NNB4" s="386"/>
      <c r="NNC4" s="386"/>
      <c r="NND4" s="386"/>
      <c r="NNE4" s="386"/>
      <c r="NNF4" s="386"/>
      <c r="NNG4" s="386"/>
      <c r="NNH4" s="386"/>
      <c r="NNI4" s="386"/>
      <c r="NNJ4" s="386"/>
      <c r="NNK4" s="386"/>
      <c r="NNL4" s="386"/>
      <c r="NNM4" s="386">
        <v>45870</v>
      </c>
      <c r="NNN4" s="386"/>
      <c r="NNO4" s="386"/>
      <c r="NNP4" s="386"/>
      <c r="NNQ4" s="386"/>
      <c r="NNR4" s="386"/>
      <c r="NNS4" s="386"/>
      <c r="NNT4" s="386"/>
      <c r="NNU4" s="386"/>
      <c r="NNV4" s="386"/>
      <c r="NNW4" s="386"/>
      <c r="NNX4" s="386"/>
      <c r="NNY4" s="386"/>
      <c r="NNZ4" s="386"/>
      <c r="NOA4" s="386"/>
      <c r="NOB4" s="386"/>
      <c r="NOC4" s="386">
        <v>45870</v>
      </c>
      <c r="NOD4" s="386"/>
      <c r="NOE4" s="386"/>
      <c r="NOF4" s="386"/>
      <c r="NOG4" s="386"/>
      <c r="NOH4" s="386"/>
      <c r="NOI4" s="386"/>
      <c r="NOJ4" s="386"/>
      <c r="NOK4" s="386"/>
      <c r="NOL4" s="386"/>
      <c r="NOM4" s="386"/>
      <c r="NON4" s="386"/>
      <c r="NOO4" s="386"/>
      <c r="NOP4" s="386"/>
      <c r="NOQ4" s="386"/>
      <c r="NOR4" s="386"/>
      <c r="NOS4" s="386">
        <v>45870</v>
      </c>
      <c r="NOT4" s="386"/>
      <c r="NOU4" s="386"/>
      <c r="NOV4" s="386"/>
      <c r="NOW4" s="386"/>
      <c r="NOX4" s="386"/>
      <c r="NOY4" s="386"/>
      <c r="NOZ4" s="386"/>
      <c r="NPA4" s="386"/>
      <c r="NPB4" s="386"/>
      <c r="NPC4" s="386"/>
      <c r="NPD4" s="386"/>
      <c r="NPE4" s="386"/>
      <c r="NPF4" s="386"/>
      <c r="NPG4" s="386"/>
      <c r="NPH4" s="386"/>
      <c r="NPI4" s="386">
        <v>45870</v>
      </c>
      <c r="NPJ4" s="386"/>
      <c r="NPK4" s="386"/>
      <c r="NPL4" s="386"/>
      <c r="NPM4" s="386"/>
      <c r="NPN4" s="386"/>
      <c r="NPO4" s="386"/>
      <c r="NPP4" s="386"/>
      <c r="NPQ4" s="386"/>
      <c r="NPR4" s="386"/>
      <c r="NPS4" s="386"/>
      <c r="NPT4" s="386"/>
      <c r="NPU4" s="386"/>
      <c r="NPV4" s="386"/>
      <c r="NPW4" s="386"/>
      <c r="NPX4" s="386"/>
      <c r="NPY4" s="386">
        <v>45870</v>
      </c>
      <c r="NPZ4" s="386"/>
      <c r="NQA4" s="386"/>
      <c r="NQB4" s="386"/>
      <c r="NQC4" s="386"/>
      <c r="NQD4" s="386"/>
      <c r="NQE4" s="386"/>
      <c r="NQF4" s="386"/>
      <c r="NQG4" s="386"/>
      <c r="NQH4" s="386"/>
      <c r="NQI4" s="386"/>
      <c r="NQJ4" s="386"/>
      <c r="NQK4" s="386"/>
      <c r="NQL4" s="386"/>
      <c r="NQM4" s="386"/>
      <c r="NQN4" s="386"/>
      <c r="NQO4" s="386">
        <v>45870</v>
      </c>
      <c r="NQP4" s="386"/>
      <c r="NQQ4" s="386"/>
      <c r="NQR4" s="386"/>
      <c r="NQS4" s="386"/>
      <c r="NQT4" s="386"/>
      <c r="NQU4" s="386"/>
      <c r="NQV4" s="386"/>
      <c r="NQW4" s="386"/>
      <c r="NQX4" s="386"/>
      <c r="NQY4" s="386"/>
      <c r="NQZ4" s="386"/>
      <c r="NRA4" s="386"/>
      <c r="NRB4" s="386"/>
      <c r="NRC4" s="386"/>
      <c r="NRD4" s="386"/>
      <c r="NRE4" s="386">
        <v>45870</v>
      </c>
      <c r="NRF4" s="386"/>
      <c r="NRG4" s="386"/>
      <c r="NRH4" s="386"/>
      <c r="NRI4" s="386"/>
      <c r="NRJ4" s="386"/>
      <c r="NRK4" s="386"/>
      <c r="NRL4" s="386"/>
      <c r="NRM4" s="386"/>
      <c r="NRN4" s="386"/>
      <c r="NRO4" s="386"/>
      <c r="NRP4" s="386"/>
      <c r="NRQ4" s="386"/>
      <c r="NRR4" s="386"/>
      <c r="NRS4" s="386"/>
      <c r="NRT4" s="386"/>
      <c r="NRU4" s="386">
        <v>45870</v>
      </c>
      <c r="NRV4" s="386"/>
      <c r="NRW4" s="386"/>
      <c r="NRX4" s="386"/>
      <c r="NRY4" s="386"/>
      <c r="NRZ4" s="386"/>
      <c r="NSA4" s="386"/>
      <c r="NSB4" s="386"/>
      <c r="NSC4" s="386"/>
      <c r="NSD4" s="386"/>
      <c r="NSE4" s="386"/>
      <c r="NSF4" s="386"/>
      <c r="NSG4" s="386"/>
      <c r="NSH4" s="386"/>
      <c r="NSI4" s="386"/>
      <c r="NSJ4" s="386"/>
      <c r="NSK4" s="386">
        <v>45870</v>
      </c>
      <c r="NSL4" s="386"/>
      <c r="NSM4" s="386"/>
      <c r="NSN4" s="386"/>
      <c r="NSO4" s="386"/>
      <c r="NSP4" s="386"/>
      <c r="NSQ4" s="386"/>
      <c r="NSR4" s="386"/>
      <c r="NSS4" s="386"/>
      <c r="NST4" s="386"/>
      <c r="NSU4" s="386"/>
      <c r="NSV4" s="386"/>
      <c r="NSW4" s="386"/>
      <c r="NSX4" s="386"/>
      <c r="NSY4" s="386"/>
      <c r="NSZ4" s="386"/>
      <c r="NTA4" s="386">
        <v>45870</v>
      </c>
      <c r="NTB4" s="386"/>
      <c r="NTC4" s="386"/>
      <c r="NTD4" s="386"/>
      <c r="NTE4" s="386"/>
      <c r="NTF4" s="386"/>
      <c r="NTG4" s="386"/>
      <c r="NTH4" s="386"/>
      <c r="NTI4" s="386"/>
      <c r="NTJ4" s="386"/>
      <c r="NTK4" s="386"/>
      <c r="NTL4" s="386"/>
      <c r="NTM4" s="386"/>
      <c r="NTN4" s="386"/>
      <c r="NTO4" s="386"/>
      <c r="NTP4" s="386"/>
      <c r="NTQ4" s="386">
        <v>45870</v>
      </c>
      <c r="NTR4" s="386"/>
      <c r="NTS4" s="386"/>
      <c r="NTT4" s="386"/>
      <c r="NTU4" s="386"/>
      <c r="NTV4" s="386"/>
      <c r="NTW4" s="386"/>
      <c r="NTX4" s="386"/>
      <c r="NTY4" s="386"/>
      <c r="NTZ4" s="386"/>
      <c r="NUA4" s="386"/>
      <c r="NUB4" s="386"/>
      <c r="NUC4" s="386"/>
      <c r="NUD4" s="386"/>
      <c r="NUE4" s="386"/>
      <c r="NUF4" s="386"/>
      <c r="NUG4" s="386">
        <v>45870</v>
      </c>
      <c r="NUH4" s="386"/>
      <c r="NUI4" s="386"/>
      <c r="NUJ4" s="386"/>
      <c r="NUK4" s="386"/>
      <c r="NUL4" s="386"/>
      <c r="NUM4" s="386"/>
      <c r="NUN4" s="386"/>
      <c r="NUO4" s="386"/>
      <c r="NUP4" s="386"/>
      <c r="NUQ4" s="386"/>
      <c r="NUR4" s="386"/>
      <c r="NUS4" s="386"/>
      <c r="NUT4" s="386"/>
      <c r="NUU4" s="386"/>
      <c r="NUV4" s="386"/>
      <c r="NUW4" s="386">
        <v>45870</v>
      </c>
      <c r="NUX4" s="386"/>
      <c r="NUY4" s="386"/>
      <c r="NUZ4" s="386"/>
      <c r="NVA4" s="386"/>
      <c r="NVB4" s="386"/>
      <c r="NVC4" s="386"/>
      <c r="NVD4" s="386"/>
      <c r="NVE4" s="386"/>
      <c r="NVF4" s="386"/>
      <c r="NVG4" s="386"/>
      <c r="NVH4" s="386"/>
      <c r="NVI4" s="386"/>
      <c r="NVJ4" s="386"/>
      <c r="NVK4" s="386"/>
      <c r="NVL4" s="386"/>
      <c r="NVM4" s="386">
        <v>45870</v>
      </c>
      <c r="NVN4" s="386"/>
      <c r="NVO4" s="386"/>
      <c r="NVP4" s="386"/>
      <c r="NVQ4" s="386"/>
      <c r="NVR4" s="386"/>
      <c r="NVS4" s="386"/>
      <c r="NVT4" s="386"/>
      <c r="NVU4" s="386"/>
      <c r="NVV4" s="386"/>
      <c r="NVW4" s="386"/>
      <c r="NVX4" s="386"/>
      <c r="NVY4" s="386"/>
      <c r="NVZ4" s="386"/>
      <c r="NWA4" s="386"/>
      <c r="NWB4" s="386"/>
      <c r="NWC4" s="386">
        <v>45870</v>
      </c>
      <c r="NWD4" s="386"/>
      <c r="NWE4" s="386"/>
      <c r="NWF4" s="386"/>
      <c r="NWG4" s="386"/>
      <c r="NWH4" s="386"/>
      <c r="NWI4" s="386"/>
      <c r="NWJ4" s="386"/>
      <c r="NWK4" s="386"/>
      <c r="NWL4" s="386"/>
      <c r="NWM4" s="386"/>
      <c r="NWN4" s="386"/>
      <c r="NWO4" s="386"/>
      <c r="NWP4" s="386"/>
      <c r="NWQ4" s="386"/>
      <c r="NWR4" s="386"/>
      <c r="NWS4" s="386">
        <v>45870</v>
      </c>
      <c r="NWT4" s="386"/>
      <c r="NWU4" s="386"/>
      <c r="NWV4" s="386"/>
      <c r="NWW4" s="386"/>
      <c r="NWX4" s="386"/>
      <c r="NWY4" s="386"/>
      <c r="NWZ4" s="386"/>
      <c r="NXA4" s="386"/>
      <c r="NXB4" s="386"/>
      <c r="NXC4" s="386"/>
      <c r="NXD4" s="386"/>
      <c r="NXE4" s="386"/>
      <c r="NXF4" s="386"/>
      <c r="NXG4" s="386"/>
      <c r="NXH4" s="386"/>
      <c r="NXI4" s="386">
        <v>45870</v>
      </c>
      <c r="NXJ4" s="386"/>
      <c r="NXK4" s="386"/>
      <c r="NXL4" s="386"/>
      <c r="NXM4" s="386"/>
      <c r="NXN4" s="386"/>
      <c r="NXO4" s="386"/>
      <c r="NXP4" s="386"/>
      <c r="NXQ4" s="386"/>
      <c r="NXR4" s="386"/>
      <c r="NXS4" s="386"/>
      <c r="NXT4" s="386"/>
      <c r="NXU4" s="386"/>
      <c r="NXV4" s="386"/>
      <c r="NXW4" s="386"/>
      <c r="NXX4" s="386"/>
      <c r="NXY4" s="386">
        <v>45870</v>
      </c>
      <c r="NXZ4" s="386"/>
      <c r="NYA4" s="386"/>
      <c r="NYB4" s="386"/>
      <c r="NYC4" s="386"/>
      <c r="NYD4" s="386"/>
      <c r="NYE4" s="386"/>
      <c r="NYF4" s="386"/>
      <c r="NYG4" s="386"/>
      <c r="NYH4" s="386"/>
      <c r="NYI4" s="386"/>
      <c r="NYJ4" s="386"/>
      <c r="NYK4" s="386"/>
      <c r="NYL4" s="386"/>
      <c r="NYM4" s="386"/>
      <c r="NYN4" s="386"/>
      <c r="NYO4" s="386">
        <v>45870</v>
      </c>
      <c r="NYP4" s="386"/>
      <c r="NYQ4" s="386"/>
      <c r="NYR4" s="386"/>
      <c r="NYS4" s="386"/>
      <c r="NYT4" s="386"/>
      <c r="NYU4" s="386"/>
      <c r="NYV4" s="386"/>
      <c r="NYW4" s="386"/>
      <c r="NYX4" s="386"/>
      <c r="NYY4" s="386"/>
      <c r="NYZ4" s="386"/>
      <c r="NZA4" s="386"/>
      <c r="NZB4" s="386"/>
      <c r="NZC4" s="386"/>
      <c r="NZD4" s="386"/>
      <c r="NZE4" s="386">
        <v>45870</v>
      </c>
      <c r="NZF4" s="386"/>
      <c r="NZG4" s="386"/>
      <c r="NZH4" s="386"/>
      <c r="NZI4" s="386"/>
      <c r="NZJ4" s="386"/>
      <c r="NZK4" s="386"/>
      <c r="NZL4" s="386"/>
      <c r="NZM4" s="386"/>
      <c r="NZN4" s="386"/>
      <c r="NZO4" s="386"/>
      <c r="NZP4" s="386"/>
      <c r="NZQ4" s="386"/>
      <c r="NZR4" s="386"/>
      <c r="NZS4" s="386"/>
      <c r="NZT4" s="386"/>
      <c r="NZU4" s="386">
        <v>45870</v>
      </c>
      <c r="NZV4" s="386"/>
      <c r="NZW4" s="386"/>
      <c r="NZX4" s="386"/>
      <c r="NZY4" s="386"/>
      <c r="NZZ4" s="386"/>
      <c r="OAA4" s="386"/>
      <c r="OAB4" s="386"/>
      <c r="OAC4" s="386"/>
      <c r="OAD4" s="386"/>
      <c r="OAE4" s="386"/>
      <c r="OAF4" s="386"/>
      <c r="OAG4" s="386"/>
      <c r="OAH4" s="386"/>
      <c r="OAI4" s="386"/>
      <c r="OAJ4" s="386"/>
      <c r="OAK4" s="386">
        <v>45870</v>
      </c>
      <c r="OAL4" s="386"/>
      <c r="OAM4" s="386"/>
      <c r="OAN4" s="386"/>
      <c r="OAO4" s="386"/>
      <c r="OAP4" s="386"/>
      <c r="OAQ4" s="386"/>
      <c r="OAR4" s="386"/>
      <c r="OAS4" s="386"/>
      <c r="OAT4" s="386"/>
      <c r="OAU4" s="386"/>
      <c r="OAV4" s="386"/>
      <c r="OAW4" s="386"/>
      <c r="OAX4" s="386"/>
      <c r="OAY4" s="386"/>
      <c r="OAZ4" s="386"/>
      <c r="OBA4" s="386">
        <v>45870</v>
      </c>
      <c r="OBB4" s="386"/>
      <c r="OBC4" s="386"/>
      <c r="OBD4" s="386"/>
      <c r="OBE4" s="386"/>
      <c r="OBF4" s="386"/>
      <c r="OBG4" s="386"/>
      <c r="OBH4" s="386"/>
      <c r="OBI4" s="386"/>
      <c r="OBJ4" s="386"/>
      <c r="OBK4" s="386"/>
      <c r="OBL4" s="386"/>
      <c r="OBM4" s="386"/>
      <c r="OBN4" s="386"/>
      <c r="OBO4" s="386"/>
      <c r="OBP4" s="386"/>
      <c r="OBQ4" s="386">
        <v>45870</v>
      </c>
      <c r="OBR4" s="386"/>
      <c r="OBS4" s="386"/>
      <c r="OBT4" s="386"/>
      <c r="OBU4" s="386"/>
      <c r="OBV4" s="386"/>
      <c r="OBW4" s="386"/>
      <c r="OBX4" s="386"/>
      <c r="OBY4" s="386"/>
      <c r="OBZ4" s="386"/>
      <c r="OCA4" s="386"/>
      <c r="OCB4" s="386"/>
      <c r="OCC4" s="386"/>
      <c r="OCD4" s="386"/>
      <c r="OCE4" s="386"/>
      <c r="OCF4" s="386"/>
      <c r="OCG4" s="386">
        <v>45870</v>
      </c>
      <c r="OCH4" s="386"/>
      <c r="OCI4" s="386"/>
      <c r="OCJ4" s="386"/>
      <c r="OCK4" s="386"/>
      <c r="OCL4" s="386"/>
      <c r="OCM4" s="386"/>
      <c r="OCN4" s="386"/>
      <c r="OCO4" s="386"/>
      <c r="OCP4" s="386"/>
      <c r="OCQ4" s="386"/>
      <c r="OCR4" s="386"/>
      <c r="OCS4" s="386"/>
      <c r="OCT4" s="386"/>
      <c r="OCU4" s="386"/>
      <c r="OCV4" s="386"/>
      <c r="OCW4" s="386">
        <v>45870</v>
      </c>
      <c r="OCX4" s="386"/>
      <c r="OCY4" s="386"/>
      <c r="OCZ4" s="386"/>
      <c r="ODA4" s="386"/>
      <c r="ODB4" s="386"/>
      <c r="ODC4" s="386"/>
      <c r="ODD4" s="386"/>
      <c r="ODE4" s="386"/>
      <c r="ODF4" s="386"/>
      <c r="ODG4" s="386"/>
      <c r="ODH4" s="386"/>
      <c r="ODI4" s="386"/>
      <c r="ODJ4" s="386"/>
      <c r="ODK4" s="386"/>
      <c r="ODL4" s="386"/>
      <c r="ODM4" s="386">
        <v>45870</v>
      </c>
      <c r="ODN4" s="386"/>
      <c r="ODO4" s="386"/>
      <c r="ODP4" s="386"/>
      <c r="ODQ4" s="386"/>
      <c r="ODR4" s="386"/>
      <c r="ODS4" s="386"/>
      <c r="ODT4" s="386"/>
      <c r="ODU4" s="386"/>
      <c r="ODV4" s="386"/>
      <c r="ODW4" s="386"/>
      <c r="ODX4" s="386"/>
      <c r="ODY4" s="386"/>
      <c r="ODZ4" s="386"/>
      <c r="OEA4" s="386"/>
      <c r="OEB4" s="386"/>
      <c r="OEC4" s="386">
        <v>45870</v>
      </c>
      <c r="OED4" s="386"/>
      <c r="OEE4" s="386"/>
      <c r="OEF4" s="386"/>
      <c r="OEG4" s="386"/>
      <c r="OEH4" s="386"/>
      <c r="OEI4" s="386"/>
      <c r="OEJ4" s="386"/>
      <c r="OEK4" s="386"/>
      <c r="OEL4" s="386"/>
      <c r="OEM4" s="386"/>
      <c r="OEN4" s="386"/>
      <c r="OEO4" s="386"/>
      <c r="OEP4" s="386"/>
      <c r="OEQ4" s="386"/>
      <c r="OER4" s="386"/>
      <c r="OES4" s="386">
        <v>45870</v>
      </c>
      <c r="OET4" s="386"/>
      <c r="OEU4" s="386"/>
      <c r="OEV4" s="386"/>
      <c r="OEW4" s="386"/>
      <c r="OEX4" s="386"/>
      <c r="OEY4" s="386"/>
      <c r="OEZ4" s="386"/>
      <c r="OFA4" s="386"/>
      <c r="OFB4" s="386"/>
      <c r="OFC4" s="386"/>
      <c r="OFD4" s="386"/>
      <c r="OFE4" s="386"/>
      <c r="OFF4" s="386"/>
      <c r="OFG4" s="386"/>
      <c r="OFH4" s="386"/>
      <c r="OFI4" s="386">
        <v>45870</v>
      </c>
      <c r="OFJ4" s="386"/>
      <c r="OFK4" s="386"/>
      <c r="OFL4" s="386"/>
      <c r="OFM4" s="386"/>
      <c r="OFN4" s="386"/>
      <c r="OFO4" s="386"/>
      <c r="OFP4" s="386"/>
      <c r="OFQ4" s="386"/>
      <c r="OFR4" s="386"/>
      <c r="OFS4" s="386"/>
      <c r="OFT4" s="386"/>
      <c r="OFU4" s="386"/>
      <c r="OFV4" s="386"/>
      <c r="OFW4" s="386"/>
      <c r="OFX4" s="386"/>
      <c r="OFY4" s="386">
        <v>45870</v>
      </c>
      <c r="OFZ4" s="386"/>
      <c r="OGA4" s="386"/>
      <c r="OGB4" s="386"/>
      <c r="OGC4" s="386"/>
      <c r="OGD4" s="386"/>
      <c r="OGE4" s="386"/>
      <c r="OGF4" s="386"/>
      <c r="OGG4" s="386"/>
      <c r="OGH4" s="386"/>
      <c r="OGI4" s="386"/>
      <c r="OGJ4" s="386"/>
      <c r="OGK4" s="386"/>
      <c r="OGL4" s="386"/>
      <c r="OGM4" s="386"/>
      <c r="OGN4" s="386"/>
      <c r="OGO4" s="386">
        <v>45870</v>
      </c>
      <c r="OGP4" s="386"/>
      <c r="OGQ4" s="386"/>
      <c r="OGR4" s="386"/>
      <c r="OGS4" s="386"/>
      <c r="OGT4" s="386"/>
      <c r="OGU4" s="386"/>
      <c r="OGV4" s="386"/>
      <c r="OGW4" s="386"/>
      <c r="OGX4" s="386"/>
      <c r="OGY4" s="386"/>
      <c r="OGZ4" s="386"/>
      <c r="OHA4" s="386"/>
      <c r="OHB4" s="386"/>
      <c r="OHC4" s="386"/>
      <c r="OHD4" s="386"/>
      <c r="OHE4" s="386">
        <v>45870</v>
      </c>
      <c r="OHF4" s="386"/>
      <c r="OHG4" s="386"/>
      <c r="OHH4" s="386"/>
      <c r="OHI4" s="386"/>
      <c r="OHJ4" s="386"/>
      <c r="OHK4" s="386"/>
      <c r="OHL4" s="386"/>
      <c r="OHM4" s="386"/>
      <c r="OHN4" s="386"/>
      <c r="OHO4" s="386"/>
      <c r="OHP4" s="386"/>
      <c r="OHQ4" s="386"/>
      <c r="OHR4" s="386"/>
      <c r="OHS4" s="386"/>
      <c r="OHT4" s="386"/>
      <c r="OHU4" s="386">
        <v>45870</v>
      </c>
      <c r="OHV4" s="386"/>
      <c r="OHW4" s="386"/>
      <c r="OHX4" s="386"/>
      <c r="OHY4" s="386"/>
      <c r="OHZ4" s="386"/>
      <c r="OIA4" s="386"/>
      <c r="OIB4" s="386"/>
      <c r="OIC4" s="386"/>
      <c r="OID4" s="386"/>
      <c r="OIE4" s="386"/>
      <c r="OIF4" s="386"/>
      <c r="OIG4" s="386"/>
      <c r="OIH4" s="386"/>
      <c r="OII4" s="386"/>
      <c r="OIJ4" s="386"/>
      <c r="OIK4" s="386">
        <v>45870</v>
      </c>
      <c r="OIL4" s="386"/>
      <c r="OIM4" s="386"/>
      <c r="OIN4" s="386"/>
      <c r="OIO4" s="386"/>
      <c r="OIP4" s="386"/>
      <c r="OIQ4" s="386"/>
      <c r="OIR4" s="386"/>
      <c r="OIS4" s="386"/>
      <c r="OIT4" s="386"/>
      <c r="OIU4" s="386"/>
      <c r="OIV4" s="386"/>
      <c r="OIW4" s="386"/>
      <c r="OIX4" s="386"/>
      <c r="OIY4" s="386"/>
      <c r="OIZ4" s="386"/>
      <c r="OJA4" s="386">
        <v>45870</v>
      </c>
      <c r="OJB4" s="386"/>
      <c r="OJC4" s="386"/>
      <c r="OJD4" s="386"/>
      <c r="OJE4" s="386"/>
      <c r="OJF4" s="386"/>
      <c r="OJG4" s="386"/>
      <c r="OJH4" s="386"/>
      <c r="OJI4" s="386"/>
      <c r="OJJ4" s="386"/>
      <c r="OJK4" s="386"/>
      <c r="OJL4" s="386"/>
      <c r="OJM4" s="386"/>
      <c r="OJN4" s="386"/>
      <c r="OJO4" s="386"/>
      <c r="OJP4" s="386"/>
      <c r="OJQ4" s="386">
        <v>45870</v>
      </c>
      <c r="OJR4" s="386"/>
      <c r="OJS4" s="386"/>
      <c r="OJT4" s="386"/>
      <c r="OJU4" s="386"/>
      <c r="OJV4" s="386"/>
      <c r="OJW4" s="386"/>
      <c r="OJX4" s="386"/>
      <c r="OJY4" s="386"/>
      <c r="OJZ4" s="386"/>
      <c r="OKA4" s="386"/>
      <c r="OKB4" s="386"/>
      <c r="OKC4" s="386"/>
      <c r="OKD4" s="386"/>
      <c r="OKE4" s="386"/>
      <c r="OKF4" s="386"/>
      <c r="OKG4" s="386">
        <v>45870</v>
      </c>
      <c r="OKH4" s="386"/>
      <c r="OKI4" s="386"/>
      <c r="OKJ4" s="386"/>
      <c r="OKK4" s="386"/>
      <c r="OKL4" s="386"/>
      <c r="OKM4" s="386"/>
      <c r="OKN4" s="386"/>
      <c r="OKO4" s="386"/>
      <c r="OKP4" s="386"/>
      <c r="OKQ4" s="386"/>
      <c r="OKR4" s="386"/>
      <c r="OKS4" s="386"/>
      <c r="OKT4" s="386"/>
      <c r="OKU4" s="386"/>
      <c r="OKV4" s="386"/>
      <c r="OKW4" s="386">
        <v>45870</v>
      </c>
      <c r="OKX4" s="386"/>
      <c r="OKY4" s="386"/>
      <c r="OKZ4" s="386"/>
      <c r="OLA4" s="386"/>
      <c r="OLB4" s="386"/>
      <c r="OLC4" s="386"/>
      <c r="OLD4" s="386"/>
      <c r="OLE4" s="386"/>
      <c r="OLF4" s="386"/>
      <c r="OLG4" s="386"/>
      <c r="OLH4" s="386"/>
      <c r="OLI4" s="386"/>
      <c r="OLJ4" s="386"/>
      <c r="OLK4" s="386"/>
      <c r="OLL4" s="386"/>
      <c r="OLM4" s="386">
        <v>45870</v>
      </c>
      <c r="OLN4" s="386"/>
      <c r="OLO4" s="386"/>
      <c r="OLP4" s="386"/>
      <c r="OLQ4" s="386"/>
      <c r="OLR4" s="386"/>
      <c r="OLS4" s="386"/>
      <c r="OLT4" s="386"/>
      <c r="OLU4" s="386"/>
      <c r="OLV4" s="386"/>
      <c r="OLW4" s="386"/>
      <c r="OLX4" s="386"/>
      <c r="OLY4" s="386"/>
      <c r="OLZ4" s="386"/>
      <c r="OMA4" s="386"/>
      <c r="OMB4" s="386"/>
      <c r="OMC4" s="386">
        <v>45870</v>
      </c>
      <c r="OMD4" s="386"/>
      <c r="OME4" s="386"/>
      <c r="OMF4" s="386"/>
      <c r="OMG4" s="386"/>
      <c r="OMH4" s="386"/>
      <c r="OMI4" s="386"/>
      <c r="OMJ4" s="386"/>
      <c r="OMK4" s="386"/>
      <c r="OML4" s="386"/>
      <c r="OMM4" s="386"/>
      <c r="OMN4" s="386"/>
      <c r="OMO4" s="386"/>
      <c r="OMP4" s="386"/>
      <c r="OMQ4" s="386"/>
      <c r="OMR4" s="386"/>
      <c r="OMS4" s="386">
        <v>45870</v>
      </c>
      <c r="OMT4" s="386"/>
      <c r="OMU4" s="386"/>
      <c r="OMV4" s="386"/>
      <c r="OMW4" s="386"/>
      <c r="OMX4" s="386"/>
      <c r="OMY4" s="386"/>
      <c r="OMZ4" s="386"/>
      <c r="ONA4" s="386"/>
      <c r="ONB4" s="386"/>
      <c r="ONC4" s="386"/>
      <c r="OND4" s="386"/>
      <c r="ONE4" s="386"/>
      <c r="ONF4" s="386"/>
      <c r="ONG4" s="386"/>
      <c r="ONH4" s="386"/>
      <c r="ONI4" s="386">
        <v>45870</v>
      </c>
      <c r="ONJ4" s="386"/>
      <c r="ONK4" s="386"/>
      <c r="ONL4" s="386"/>
      <c r="ONM4" s="386"/>
      <c r="ONN4" s="386"/>
      <c r="ONO4" s="386"/>
      <c r="ONP4" s="386"/>
      <c r="ONQ4" s="386"/>
      <c r="ONR4" s="386"/>
      <c r="ONS4" s="386"/>
      <c r="ONT4" s="386"/>
      <c r="ONU4" s="386"/>
      <c r="ONV4" s="386"/>
      <c r="ONW4" s="386"/>
      <c r="ONX4" s="386"/>
      <c r="ONY4" s="386">
        <v>45870</v>
      </c>
      <c r="ONZ4" s="386"/>
      <c r="OOA4" s="386"/>
      <c r="OOB4" s="386"/>
      <c r="OOC4" s="386"/>
      <c r="OOD4" s="386"/>
      <c r="OOE4" s="386"/>
      <c r="OOF4" s="386"/>
      <c r="OOG4" s="386"/>
      <c r="OOH4" s="386"/>
      <c r="OOI4" s="386"/>
      <c r="OOJ4" s="386"/>
      <c r="OOK4" s="386"/>
      <c r="OOL4" s="386"/>
      <c r="OOM4" s="386"/>
      <c r="OON4" s="386"/>
      <c r="OOO4" s="386">
        <v>45870</v>
      </c>
      <c r="OOP4" s="386"/>
      <c r="OOQ4" s="386"/>
      <c r="OOR4" s="386"/>
      <c r="OOS4" s="386"/>
      <c r="OOT4" s="386"/>
      <c r="OOU4" s="386"/>
      <c r="OOV4" s="386"/>
      <c r="OOW4" s="386"/>
      <c r="OOX4" s="386"/>
      <c r="OOY4" s="386"/>
      <c r="OOZ4" s="386"/>
      <c r="OPA4" s="386"/>
      <c r="OPB4" s="386"/>
      <c r="OPC4" s="386"/>
      <c r="OPD4" s="386"/>
      <c r="OPE4" s="386">
        <v>45870</v>
      </c>
      <c r="OPF4" s="386"/>
      <c r="OPG4" s="386"/>
      <c r="OPH4" s="386"/>
      <c r="OPI4" s="386"/>
      <c r="OPJ4" s="386"/>
      <c r="OPK4" s="386"/>
      <c r="OPL4" s="386"/>
      <c r="OPM4" s="386"/>
      <c r="OPN4" s="386"/>
      <c r="OPO4" s="386"/>
      <c r="OPP4" s="386"/>
      <c r="OPQ4" s="386"/>
      <c r="OPR4" s="386"/>
      <c r="OPS4" s="386"/>
      <c r="OPT4" s="386"/>
      <c r="OPU4" s="386">
        <v>45870</v>
      </c>
      <c r="OPV4" s="386"/>
      <c r="OPW4" s="386"/>
      <c r="OPX4" s="386"/>
      <c r="OPY4" s="386"/>
      <c r="OPZ4" s="386"/>
      <c r="OQA4" s="386"/>
      <c r="OQB4" s="386"/>
      <c r="OQC4" s="386"/>
      <c r="OQD4" s="386"/>
      <c r="OQE4" s="386"/>
      <c r="OQF4" s="386"/>
      <c r="OQG4" s="386"/>
      <c r="OQH4" s="386"/>
      <c r="OQI4" s="386"/>
      <c r="OQJ4" s="386"/>
      <c r="OQK4" s="386">
        <v>45870</v>
      </c>
      <c r="OQL4" s="386"/>
      <c r="OQM4" s="386"/>
      <c r="OQN4" s="386"/>
      <c r="OQO4" s="386"/>
      <c r="OQP4" s="386"/>
      <c r="OQQ4" s="386"/>
      <c r="OQR4" s="386"/>
      <c r="OQS4" s="386"/>
      <c r="OQT4" s="386"/>
      <c r="OQU4" s="386"/>
      <c r="OQV4" s="386"/>
      <c r="OQW4" s="386"/>
      <c r="OQX4" s="386"/>
      <c r="OQY4" s="386"/>
      <c r="OQZ4" s="386"/>
      <c r="ORA4" s="386">
        <v>45870</v>
      </c>
      <c r="ORB4" s="386"/>
      <c r="ORC4" s="386"/>
      <c r="ORD4" s="386"/>
      <c r="ORE4" s="386"/>
      <c r="ORF4" s="386"/>
      <c r="ORG4" s="386"/>
      <c r="ORH4" s="386"/>
      <c r="ORI4" s="386"/>
      <c r="ORJ4" s="386"/>
      <c r="ORK4" s="386"/>
      <c r="ORL4" s="386"/>
      <c r="ORM4" s="386"/>
      <c r="ORN4" s="386"/>
      <c r="ORO4" s="386"/>
      <c r="ORP4" s="386"/>
      <c r="ORQ4" s="386">
        <v>45870</v>
      </c>
      <c r="ORR4" s="386"/>
      <c r="ORS4" s="386"/>
      <c r="ORT4" s="386"/>
      <c r="ORU4" s="386"/>
      <c r="ORV4" s="386"/>
      <c r="ORW4" s="386"/>
      <c r="ORX4" s="386"/>
      <c r="ORY4" s="386"/>
      <c r="ORZ4" s="386"/>
      <c r="OSA4" s="386"/>
      <c r="OSB4" s="386"/>
      <c r="OSC4" s="386"/>
      <c r="OSD4" s="386"/>
      <c r="OSE4" s="386"/>
      <c r="OSF4" s="386"/>
      <c r="OSG4" s="386">
        <v>45870</v>
      </c>
      <c r="OSH4" s="386"/>
      <c r="OSI4" s="386"/>
      <c r="OSJ4" s="386"/>
      <c r="OSK4" s="386"/>
      <c r="OSL4" s="386"/>
      <c r="OSM4" s="386"/>
      <c r="OSN4" s="386"/>
      <c r="OSO4" s="386"/>
      <c r="OSP4" s="386"/>
      <c r="OSQ4" s="386"/>
      <c r="OSR4" s="386"/>
      <c r="OSS4" s="386"/>
      <c r="OST4" s="386"/>
      <c r="OSU4" s="386"/>
      <c r="OSV4" s="386"/>
      <c r="OSW4" s="386">
        <v>45870</v>
      </c>
      <c r="OSX4" s="386"/>
      <c r="OSY4" s="386"/>
      <c r="OSZ4" s="386"/>
      <c r="OTA4" s="386"/>
      <c r="OTB4" s="386"/>
      <c r="OTC4" s="386"/>
      <c r="OTD4" s="386"/>
      <c r="OTE4" s="386"/>
      <c r="OTF4" s="386"/>
      <c r="OTG4" s="386"/>
      <c r="OTH4" s="386"/>
      <c r="OTI4" s="386"/>
      <c r="OTJ4" s="386"/>
      <c r="OTK4" s="386"/>
      <c r="OTL4" s="386"/>
      <c r="OTM4" s="386">
        <v>45870</v>
      </c>
      <c r="OTN4" s="386"/>
      <c r="OTO4" s="386"/>
      <c r="OTP4" s="386"/>
      <c r="OTQ4" s="386"/>
      <c r="OTR4" s="386"/>
      <c r="OTS4" s="386"/>
      <c r="OTT4" s="386"/>
      <c r="OTU4" s="386"/>
      <c r="OTV4" s="386"/>
      <c r="OTW4" s="386"/>
      <c r="OTX4" s="386"/>
      <c r="OTY4" s="386"/>
      <c r="OTZ4" s="386"/>
      <c r="OUA4" s="386"/>
      <c r="OUB4" s="386"/>
      <c r="OUC4" s="386">
        <v>45870</v>
      </c>
      <c r="OUD4" s="386"/>
      <c r="OUE4" s="386"/>
      <c r="OUF4" s="386"/>
      <c r="OUG4" s="386"/>
      <c r="OUH4" s="386"/>
      <c r="OUI4" s="386"/>
      <c r="OUJ4" s="386"/>
      <c r="OUK4" s="386"/>
      <c r="OUL4" s="386"/>
      <c r="OUM4" s="386"/>
      <c r="OUN4" s="386"/>
      <c r="OUO4" s="386"/>
      <c r="OUP4" s="386"/>
      <c r="OUQ4" s="386"/>
      <c r="OUR4" s="386"/>
      <c r="OUS4" s="386">
        <v>45870</v>
      </c>
      <c r="OUT4" s="386"/>
      <c r="OUU4" s="386"/>
      <c r="OUV4" s="386"/>
      <c r="OUW4" s="386"/>
      <c r="OUX4" s="386"/>
      <c r="OUY4" s="386"/>
      <c r="OUZ4" s="386"/>
      <c r="OVA4" s="386"/>
      <c r="OVB4" s="386"/>
      <c r="OVC4" s="386"/>
      <c r="OVD4" s="386"/>
      <c r="OVE4" s="386"/>
      <c r="OVF4" s="386"/>
      <c r="OVG4" s="386"/>
      <c r="OVH4" s="386"/>
      <c r="OVI4" s="386">
        <v>45870</v>
      </c>
      <c r="OVJ4" s="386"/>
      <c r="OVK4" s="386"/>
      <c r="OVL4" s="386"/>
      <c r="OVM4" s="386"/>
      <c r="OVN4" s="386"/>
      <c r="OVO4" s="386"/>
      <c r="OVP4" s="386"/>
      <c r="OVQ4" s="386"/>
      <c r="OVR4" s="386"/>
      <c r="OVS4" s="386"/>
      <c r="OVT4" s="386"/>
      <c r="OVU4" s="386"/>
      <c r="OVV4" s="386"/>
      <c r="OVW4" s="386"/>
      <c r="OVX4" s="386"/>
      <c r="OVY4" s="386">
        <v>45870</v>
      </c>
      <c r="OVZ4" s="386"/>
      <c r="OWA4" s="386"/>
      <c r="OWB4" s="386"/>
      <c r="OWC4" s="386"/>
      <c r="OWD4" s="386"/>
      <c r="OWE4" s="386"/>
      <c r="OWF4" s="386"/>
      <c r="OWG4" s="386"/>
      <c r="OWH4" s="386"/>
      <c r="OWI4" s="386"/>
      <c r="OWJ4" s="386"/>
      <c r="OWK4" s="386"/>
      <c r="OWL4" s="386"/>
      <c r="OWM4" s="386"/>
      <c r="OWN4" s="386"/>
      <c r="OWO4" s="386">
        <v>45870</v>
      </c>
      <c r="OWP4" s="386"/>
      <c r="OWQ4" s="386"/>
      <c r="OWR4" s="386"/>
      <c r="OWS4" s="386"/>
      <c r="OWT4" s="386"/>
      <c r="OWU4" s="386"/>
      <c r="OWV4" s="386"/>
      <c r="OWW4" s="386"/>
      <c r="OWX4" s="386"/>
      <c r="OWY4" s="386"/>
      <c r="OWZ4" s="386"/>
      <c r="OXA4" s="386"/>
      <c r="OXB4" s="386"/>
      <c r="OXC4" s="386"/>
      <c r="OXD4" s="386"/>
      <c r="OXE4" s="386">
        <v>45870</v>
      </c>
      <c r="OXF4" s="386"/>
      <c r="OXG4" s="386"/>
      <c r="OXH4" s="386"/>
      <c r="OXI4" s="386"/>
      <c r="OXJ4" s="386"/>
      <c r="OXK4" s="386"/>
      <c r="OXL4" s="386"/>
      <c r="OXM4" s="386"/>
      <c r="OXN4" s="386"/>
      <c r="OXO4" s="386"/>
      <c r="OXP4" s="386"/>
      <c r="OXQ4" s="386"/>
      <c r="OXR4" s="386"/>
      <c r="OXS4" s="386"/>
      <c r="OXT4" s="386"/>
      <c r="OXU4" s="386">
        <v>45870</v>
      </c>
      <c r="OXV4" s="386"/>
      <c r="OXW4" s="386"/>
      <c r="OXX4" s="386"/>
      <c r="OXY4" s="386"/>
      <c r="OXZ4" s="386"/>
      <c r="OYA4" s="386"/>
      <c r="OYB4" s="386"/>
      <c r="OYC4" s="386"/>
      <c r="OYD4" s="386"/>
      <c r="OYE4" s="386"/>
      <c r="OYF4" s="386"/>
      <c r="OYG4" s="386"/>
      <c r="OYH4" s="386"/>
      <c r="OYI4" s="386"/>
      <c r="OYJ4" s="386"/>
      <c r="OYK4" s="386">
        <v>45870</v>
      </c>
      <c r="OYL4" s="386"/>
      <c r="OYM4" s="386"/>
      <c r="OYN4" s="386"/>
      <c r="OYO4" s="386"/>
      <c r="OYP4" s="386"/>
      <c r="OYQ4" s="386"/>
      <c r="OYR4" s="386"/>
      <c r="OYS4" s="386"/>
      <c r="OYT4" s="386"/>
      <c r="OYU4" s="386"/>
      <c r="OYV4" s="386"/>
      <c r="OYW4" s="386"/>
      <c r="OYX4" s="386"/>
      <c r="OYY4" s="386"/>
      <c r="OYZ4" s="386"/>
      <c r="OZA4" s="386">
        <v>45870</v>
      </c>
      <c r="OZB4" s="386"/>
      <c r="OZC4" s="386"/>
      <c r="OZD4" s="386"/>
      <c r="OZE4" s="386"/>
      <c r="OZF4" s="386"/>
      <c r="OZG4" s="386"/>
      <c r="OZH4" s="386"/>
      <c r="OZI4" s="386"/>
      <c r="OZJ4" s="386"/>
      <c r="OZK4" s="386"/>
      <c r="OZL4" s="386"/>
      <c r="OZM4" s="386"/>
      <c r="OZN4" s="386"/>
      <c r="OZO4" s="386"/>
      <c r="OZP4" s="386"/>
      <c r="OZQ4" s="386">
        <v>45870</v>
      </c>
      <c r="OZR4" s="386"/>
      <c r="OZS4" s="386"/>
      <c r="OZT4" s="386"/>
      <c r="OZU4" s="386"/>
      <c r="OZV4" s="386"/>
      <c r="OZW4" s="386"/>
      <c r="OZX4" s="386"/>
      <c r="OZY4" s="386"/>
      <c r="OZZ4" s="386"/>
      <c r="PAA4" s="386"/>
      <c r="PAB4" s="386"/>
      <c r="PAC4" s="386"/>
      <c r="PAD4" s="386"/>
      <c r="PAE4" s="386"/>
      <c r="PAF4" s="386"/>
      <c r="PAG4" s="386">
        <v>45870</v>
      </c>
      <c r="PAH4" s="386"/>
      <c r="PAI4" s="386"/>
      <c r="PAJ4" s="386"/>
      <c r="PAK4" s="386"/>
      <c r="PAL4" s="386"/>
      <c r="PAM4" s="386"/>
      <c r="PAN4" s="386"/>
      <c r="PAO4" s="386"/>
      <c r="PAP4" s="386"/>
      <c r="PAQ4" s="386"/>
      <c r="PAR4" s="386"/>
      <c r="PAS4" s="386"/>
      <c r="PAT4" s="386"/>
      <c r="PAU4" s="386"/>
      <c r="PAV4" s="386"/>
      <c r="PAW4" s="386">
        <v>45870</v>
      </c>
      <c r="PAX4" s="386"/>
      <c r="PAY4" s="386"/>
      <c r="PAZ4" s="386"/>
      <c r="PBA4" s="386"/>
      <c r="PBB4" s="386"/>
      <c r="PBC4" s="386"/>
      <c r="PBD4" s="386"/>
      <c r="PBE4" s="386"/>
      <c r="PBF4" s="386"/>
      <c r="PBG4" s="386"/>
      <c r="PBH4" s="386"/>
      <c r="PBI4" s="386"/>
      <c r="PBJ4" s="386"/>
      <c r="PBK4" s="386"/>
      <c r="PBL4" s="386"/>
      <c r="PBM4" s="386">
        <v>45870</v>
      </c>
      <c r="PBN4" s="386"/>
      <c r="PBO4" s="386"/>
      <c r="PBP4" s="386"/>
      <c r="PBQ4" s="386"/>
      <c r="PBR4" s="386"/>
      <c r="PBS4" s="386"/>
      <c r="PBT4" s="386"/>
      <c r="PBU4" s="386"/>
      <c r="PBV4" s="386"/>
      <c r="PBW4" s="386"/>
      <c r="PBX4" s="386"/>
      <c r="PBY4" s="386"/>
      <c r="PBZ4" s="386"/>
      <c r="PCA4" s="386"/>
      <c r="PCB4" s="386"/>
      <c r="PCC4" s="386">
        <v>45870</v>
      </c>
      <c r="PCD4" s="386"/>
      <c r="PCE4" s="386"/>
      <c r="PCF4" s="386"/>
      <c r="PCG4" s="386"/>
      <c r="PCH4" s="386"/>
      <c r="PCI4" s="386"/>
      <c r="PCJ4" s="386"/>
      <c r="PCK4" s="386"/>
      <c r="PCL4" s="386"/>
      <c r="PCM4" s="386"/>
      <c r="PCN4" s="386"/>
      <c r="PCO4" s="386"/>
      <c r="PCP4" s="386"/>
      <c r="PCQ4" s="386"/>
      <c r="PCR4" s="386"/>
      <c r="PCS4" s="386">
        <v>45870</v>
      </c>
      <c r="PCT4" s="386"/>
      <c r="PCU4" s="386"/>
      <c r="PCV4" s="386"/>
      <c r="PCW4" s="386"/>
      <c r="PCX4" s="386"/>
      <c r="PCY4" s="386"/>
      <c r="PCZ4" s="386"/>
      <c r="PDA4" s="386"/>
      <c r="PDB4" s="386"/>
      <c r="PDC4" s="386"/>
      <c r="PDD4" s="386"/>
      <c r="PDE4" s="386"/>
      <c r="PDF4" s="386"/>
      <c r="PDG4" s="386"/>
      <c r="PDH4" s="386"/>
      <c r="PDI4" s="386">
        <v>45870</v>
      </c>
      <c r="PDJ4" s="386"/>
      <c r="PDK4" s="386"/>
      <c r="PDL4" s="386"/>
      <c r="PDM4" s="386"/>
      <c r="PDN4" s="386"/>
      <c r="PDO4" s="386"/>
      <c r="PDP4" s="386"/>
      <c r="PDQ4" s="386"/>
      <c r="PDR4" s="386"/>
      <c r="PDS4" s="386"/>
      <c r="PDT4" s="386"/>
      <c r="PDU4" s="386"/>
      <c r="PDV4" s="386"/>
      <c r="PDW4" s="386"/>
      <c r="PDX4" s="386"/>
      <c r="PDY4" s="386">
        <v>45870</v>
      </c>
      <c r="PDZ4" s="386"/>
      <c r="PEA4" s="386"/>
      <c r="PEB4" s="386"/>
      <c r="PEC4" s="386"/>
      <c r="PED4" s="386"/>
      <c r="PEE4" s="386"/>
      <c r="PEF4" s="386"/>
      <c r="PEG4" s="386"/>
      <c r="PEH4" s="386"/>
      <c r="PEI4" s="386"/>
      <c r="PEJ4" s="386"/>
      <c r="PEK4" s="386"/>
      <c r="PEL4" s="386"/>
      <c r="PEM4" s="386"/>
      <c r="PEN4" s="386"/>
      <c r="PEO4" s="386">
        <v>45870</v>
      </c>
      <c r="PEP4" s="386"/>
      <c r="PEQ4" s="386"/>
      <c r="PER4" s="386"/>
      <c r="PES4" s="386"/>
      <c r="PET4" s="386"/>
      <c r="PEU4" s="386"/>
      <c r="PEV4" s="386"/>
      <c r="PEW4" s="386"/>
      <c r="PEX4" s="386"/>
      <c r="PEY4" s="386"/>
      <c r="PEZ4" s="386"/>
      <c r="PFA4" s="386"/>
      <c r="PFB4" s="386"/>
      <c r="PFC4" s="386"/>
      <c r="PFD4" s="386"/>
      <c r="PFE4" s="386">
        <v>45870</v>
      </c>
      <c r="PFF4" s="386"/>
      <c r="PFG4" s="386"/>
      <c r="PFH4" s="386"/>
      <c r="PFI4" s="386"/>
      <c r="PFJ4" s="386"/>
      <c r="PFK4" s="386"/>
      <c r="PFL4" s="386"/>
      <c r="PFM4" s="386"/>
      <c r="PFN4" s="386"/>
      <c r="PFO4" s="386"/>
      <c r="PFP4" s="386"/>
      <c r="PFQ4" s="386"/>
      <c r="PFR4" s="386"/>
      <c r="PFS4" s="386"/>
      <c r="PFT4" s="386"/>
      <c r="PFU4" s="386">
        <v>45870</v>
      </c>
      <c r="PFV4" s="386"/>
      <c r="PFW4" s="386"/>
      <c r="PFX4" s="386"/>
      <c r="PFY4" s="386"/>
      <c r="PFZ4" s="386"/>
      <c r="PGA4" s="386"/>
      <c r="PGB4" s="386"/>
      <c r="PGC4" s="386"/>
      <c r="PGD4" s="386"/>
      <c r="PGE4" s="386"/>
      <c r="PGF4" s="386"/>
      <c r="PGG4" s="386"/>
      <c r="PGH4" s="386"/>
      <c r="PGI4" s="386"/>
      <c r="PGJ4" s="386"/>
      <c r="PGK4" s="386">
        <v>45870</v>
      </c>
      <c r="PGL4" s="386"/>
      <c r="PGM4" s="386"/>
      <c r="PGN4" s="386"/>
      <c r="PGO4" s="386"/>
      <c r="PGP4" s="386"/>
      <c r="PGQ4" s="386"/>
      <c r="PGR4" s="386"/>
      <c r="PGS4" s="386"/>
      <c r="PGT4" s="386"/>
      <c r="PGU4" s="386"/>
      <c r="PGV4" s="386"/>
      <c r="PGW4" s="386"/>
      <c r="PGX4" s="386"/>
      <c r="PGY4" s="386"/>
      <c r="PGZ4" s="386"/>
      <c r="PHA4" s="386">
        <v>45870</v>
      </c>
      <c r="PHB4" s="386"/>
      <c r="PHC4" s="386"/>
      <c r="PHD4" s="386"/>
      <c r="PHE4" s="386"/>
      <c r="PHF4" s="386"/>
      <c r="PHG4" s="386"/>
      <c r="PHH4" s="386"/>
      <c r="PHI4" s="386"/>
      <c r="PHJ4" s="386"/>
      <c r="PHK4" s="386"/>
      <c r="PHL4" s="386"/>
      <c r="PHM4" s="386"/>
      <c r="PHN4" s="386"/>
      <c r="PHO4" s="386"/>
      <c r="PHP4" s="386"/>
      <c r="PHQ4" s="386">
        <v>45870</v>
      </c>
      <c r="PHR4" s="386"/>
      <c r="PHS4" s="386"/>
      <c r="PHT4" s="386"/>
      <c r="PHU4" s="386"/>
      <c r="PHV4" s="386"/>
      <c r="PHW4" s="386"/>
      <c r="PHX4" s="386"/>
      <c r="PHY4" s="386"/>
      <c r="PHZ4" s="386"/>
      <c r="PIA4" s="386"/>
      <c r="PIB4" s="386"/>
      <c r="PIC4" s="386"/>
      <c r="PID4" s="386"/>
      <c r="PIE4" s="386"/>
      <c r="PIF4" s="386"/>
      <c r="PIG4" s="386">
        <v>45870</v>
      </c>
      <c r="PIH4" s="386"/>
      <c r="PII4" s="386"/>
      <c r="PIJ4" s="386"/>
      <c r="PIK4" s="386"/>
      <c r="PIL4" s="386"/>
      <c r="PIM4" s="386"/>
      <c r="PIN4" s="386"/>
      <c r="PIO4" s="386"/>
      <c r="PIP4" s="386"/>
      <c r="PIQ4" s="386"/>
      <c r="PIR4" s="386"/>
      <c r="PIS4" s="386"/>
      <c r="PIT4" s="386"/>
      <c r="PIU4" s="386"/>
      <c r="PIV4" s="386"/>
      <c r="PIW4" s="386">
        <v>45870</v>
      </c>
      <c r="PIX4" s="386"/>
      <c r="PIY4" s="386"/>
      <c r="PIZ4" s="386"/>
      <c r="PJA4" s="386"/>
      <c r="PJB4" s="386"/>
      <c r="PJC4" s="386"/>
      <c r="PJD4" s="386"/>
      <c r="PJE4" s="386"/>
      <c r="PJF4" s="386"/>
      <c r="PJG4" s="386"/>
      <c r="PJH4" s="386"/>
      <c r="PJI4" s="386"/>
      <c r="PJJ4" s="386"/>
      <c r="PJK4" s="386"/>
      <c r="PJL4" s="386"/>
      <c r="PJM4" s="386">
        <v>45870</v>
      </c>
      <c r="PJN4" s="386"/>
      <c r="PJO4" s="386"/>
      <c r="PJP4" s="386"/>
      <c r="PJQ4" s="386"/>
      <c r="PJR4" s="386"/>
      <c r="PJS4" s="386"/>
      <c r="PJT4" s="386"/>
      <c r="PJU4" s="386"/>
      <c r="PJV4" s="386"/>
      <c r="PJW4" s="386"/>
      <c r="PJX4" s="386"/>
      <c r="PJY4" s="386"/>
      <c r="PJZ4" s="386"/>
      <c r="PKA4" s="386"/>
      <c r="PKB4" s="386"/>
      <c r="PKC4" s="386">
        <v>45870</v>
      </c>
      <c r="PKD4" s="386"/>
      <c r="PKE4" s="386"/>
      <c r="PKF4" s="386"/>
      <c r="PKG4" s="386"/>
      <c r="PKH4" s="386"/>
      <c r="PKI4" s="386"/>
      <c r="PKJ4" s="386"/>
      <c r="PKK4" s="386"/>
      <c r="PKL4" s="386"/>
      <c r="PKM4" s="386"/>
      <c r="PKN4" s="386"/>
      <c r="PKO4" s="386"/>
      <c r="PKP4" s="386"/>
      <c r="PKQ4" s="386"/>
      <c r="PKR4" s="386"/>
      <c r="PKS4" s="386">
        <v>45870</v>
      </c>
      <c r="PKT4" s="386"/>
      <c r="PKU4" s="386"/>
      <c r="PKV4" s="386"/>
      <c r="PKW4" s="386"/>
      <c r="PKX4" s="386"/>
      <c r="PKY4" s="386"/>
      <c r="PKZ4" s="386"/>
      <c r="PLA4" s="386"/>
      <c r="PLB4" s="386"/>
      <c r="PLC4" s="386"/>
      <c r="PLD4" s="386"/>
      <c r="PLE4" s="386"/>
      <c r="PLF4" s="386"/>
      <c r="PLG4" s="386"/>
      <c r="PLH4" s="386"/>
      <c r="PLI4" s="386">
        <v>45870</v>
      </c>
      <c r="PLJ4" s="386"/>
      <c r="PLK4" s="386"/>
      <c r="PLL4" s="386"/>
      <c r="PLM4" s="386"/>
      <c r="PLN4" s="386"/>
      <c r="PLO4" s="386"/>
      <c r="PLP4" s="386"/>
      <c r="PLQ4" s="386"/>
      <c r="PLR4" s="386"/>
      <c r="PLS4" s="386"/>
      <c r="PLT4" s="386"/>
      <c r="PLU4" s="386"/>
      <c r="PLV4" s="386"/>
      <c r="PLW4" s="386"/>
      <c r="PLX4" s="386"/>
      <c r="PLY4" s="386">
        <v>45870</v>
      </c>
      <c r="PLZ4" s="386"/>
      <c r="PMA4" s="386"/>
      <c r="PMB4" s="386"/>
      <c r="PMC4" s="386"/>
      <c r="PMD4" s="386"/>
      <c r="PME4" s="386"/>
      <c r="PMF4" s="386"/>
      <c r="PMG4" s="386"/>
      <c r="PMH4" s="386"/>
      <c r="PMI4" s="386"/>
      <c r="PMJ4" s="386"/>
      <c r="PMK4" s="386"/>
      <c r="PML4" s="386"/>
      <c r="PMM4" s="386"/>
      <c r="PMN4" s="386"/>
      <c r="PMO4" s="386">
        <v>45870</v>
      </c>
      <c r="PMP4" s="386"/>
      <c r="PMQ4" s="386"/>
      <c r="PMR4" s="386"/>
      <c r="PMS4" s="386"/>
      <c r="PMT4" s="386"/>
      <c r="PMU4" s="386"/>
      <c r="PMV4" s="386"/>
      <c r="PMW4" s="386"/>
      <c r="PMX4" s="386"/>
      <c r="PMY4" s="386"/>
      <c r="PMZ4" s="386"/>
      <c r="PNA4" s="386"/>
      <c r="PNB4" s="386"/>
      <c r="PNC4" s="386"/>
      <c r="PND4" s="386"/>
      <c r="PNE4" s="386">
        <v>45870</v>
      </c>
      <c r="PNF4" s="386"/>
      <c r="PNG4" s="386"/>
      <c r="PNH4" s="386"/>
      <c r="PNI4" s="386"/>
      <c r="PNJ4" s="386"/>
      <c r="PNK4" s="386"/>
      <c r="PNL4" s="386"/>
      <c r="PNM4" s="386"/>
      <c r="PNN4" s="386"/>
      <c r="PNO4" s="386"/>
      <c r="PNP4" s="386"/>
      <c r="PNQ4" s="386"/>
      <c r="PNR4" s="386"/>
      <c r="PNS4" s="386"/>
      <c r="PNT4" s="386"/>
      <c r="PNU4" s="386">
        <v>45870</v>
      </c>
      <c r="PNV4" s="386"/>
      <c r="PNW4" s="386"/>
      <c r="PNX4" s="386"/>
      <c r="PNY4" s="386"/>
      <c r="PNZ4" s="386"/>
      <c r="POA4" s="386"/>
      <c r="POB4" s="386"/>
      <c r="POC4" s="386"/>
      <c r="POD4" s="386"/>
      <c r="POE4" s="386"/>
      <c r="POF4" s="386"/>
      <c r="POG4" s="386"/>
      <c r="POH4" s="386"/>
      <c r="POI4" s="386"/>
      <c r="POJ4" s="386"/>
      <c r="POK4" s="386">
        <v>45870</v>
      </c>
      <c r="POL4" s="386"/>
      <c r="POM4" s="386"/>
      <c r="PON4" s="386"/>
      <c r="POO4" s="386"/>
      <c r="POP4" s="386"/>
      <c r="POQ4" s="386"/>
      <c r="POR4" s="386"/>
      <c r="POS4" s="386"/>
      <c r="POT4" s="386"/>
      <c r="POU4" s="386"/>
      <c r="POV4" s="386"/>
      <c r="POW4" s="386"/>
      <c r="POX4" s="386"/>
      <c r="POY4" s="386"/>
      <c r="POZ4" s="386"/>
      <c r="PPA4" s="386">
        <v>45870</v>
      </c>
      <c r="PPB4" s="386"/>
      <c r="PPC4" s="386"/>
      <c r="PPD4" s="386"/>
      <c r="PPE4" s="386"/>
      <c r="PPF4" s="386"/>
      <c r="PPG4" s="386"/>
      <c r="PPH4" s="386"/>
      <c r="PPI4" s="386"/>
      <c r="PPJ4" s="386"/>
      <c r="PPK4" s="386"/>
      <c r="PPL4" s="386"/>
      <c r="PPM4" s="386"/>
      <c r="PPN4" s="386"/>
      <c r="PPO4" s="386"/>
      <c r="PPP4" s="386"/>
      <c r="PPQ4" s="386">
        <v>45870</v>
      </c>
      <c r="PPR4" s="386"/>
      <c r="PPS4" s="386"/>
      <c r="PPT4" s="386"/>
      <c r="PPU4" s="386"/>
      <c r="PPV4" s="386"/>
      <c r="PPW4" s="386"/>
      <c r="PPX4" s="386"/>
      <c r="PPY4" s="386"/>
      <c r="PPZ4" s="386"/>
      <c r="PQA4" s="386"/>
      <c r="PQB4" s="386"/>
      <c r="PQC4" s="386"/>
      <c r="PQD4" s="386"/>
      <c r="PQE4" s="386"/>
      <c r="PQF4" s="386"/>
      <c r="PQG4" s="386">
        <v>45870</v>
      </c>
      <c r="PQH4" s="386"/>
      <c r="PQI4" s="386"/>
      <c r="PQJ4" s="386"/>
      <c r="PQK4" s="386"/>
      <c r="PQL4" s="386"/>
      <c r="PQM4" s="386"/>
      <c r="PQN4" s="386"/>
      <c r="PQO4" s="386"/>
      <c r="PQP4" s="386"/>
      <c r="PQQ4" s="386"/>
      <c r="PQR4" s="386"/>
      <c r="PQS4" s="386"/>
      <c r="PQT4" s="386"/>
      <c r="PQU4" s="386"/>
      <c r="PQV4" s="386"/>
      <c r="PQW4" s="386">
        <v>45870</v>
      </c>
      <c r="PQX4" s="386"/>
      <c r="PQY4" s="386"/>
      <c r="PQZ4" s="386"/>
      <c r="PRA4" s="386"/>
      <c r="PRB4" s="386"/>
      <c r="PRC4" s="386"/>
      <c r="PRD4" s="386"/>
      <c r="PRE4" s="386"/>
      <c r="PRF4" s="386"/>
      <c r="PRG4" s="386"/>
      <c r="PRH4" s="386"/>
      <c r="PRI4" s="386"/>
      <c r="PRJ4" s="386"/>
      <c r="PRK4" s="386"/>
      <c r="PRL4" s="386"/>
      <c r="PRM4" s="386">
        <v>45870</v>
      </c>
      <c r="PRN4" s="386"/>
      <c r="PRO4" s="386"/>
      <c r="PRP4" s="386"/>
      <c r="PRQ4" s="386"/>
      <c r="PRR4" s="386"/>
      <c r="PRS4" s="386"/>
      <c r="PRT4" s="386"/>
      <c r="PRU4" s="386"/>
      <c r="PRV4" s="386"/>
      <c r="PRW4" s="386"/>
      <c r="PRX4" s="386"/>
      <c r="PRY4" s="386"/>
      <c r="PRZ4" s="386"/>
      <c r="PSA4" s="386"/>
      <c r="PSB4" s="386"/>
      <c r="PSC4" s="386">
        <v>45870</v>
      </c>
      <c r="PSD4" s="386"/>
      <c r="PSE4" s="386"/>
      <c r="PSF4" s="386"/>
      <c r="PSG4" s="386"/>
      <c r="PSH4" s="386"/>
      <c r="PSI4" s="386"/>
      <c r="PSJ4" s="386"/>
      <c r="PSK4" s="386"/>
      <c r="PSL4" s="386"/>
      <c r="PSM4" s="386"/>
      <c r="PSN4" s="386"/>
      <c r="PSO4" s="386"/>
      <c r="PSP4" s="386"/>
      <c r="PSQ4" s="386"/>
      <c r="PSR4" s="386"/>
      <c r="PSS4" s="386">
        <v>45870</v>
      </c>
      <c r="PST4" s="386"/>
      <c r="PSU4" s="386"/>
      <c r="PSV4" s="386"/>
      <c r="PSW4" s="386"/>
      <c r="PSX4" s="386"/>
      <c r="PSY4" s="386"/>
      <c r="PSZ4" s="386"/>
      <c r="PTA4" s="386"/>
      <c r="PTB4" s="386"/>
      <c r="PTC4" s="386"/>
      <c r="PTD4" s="386"/>
      <c r="PTE4" s="386"/>
      <c r="PTF4" s="386"/>
      <c r="PTG4" s="386"/>
      <c r="PTH4" s="386"/>
      <c r="PTI4" s="386">
        <v>45870</v>
      </c>
      <c r="PTJ4" s="386"/>
      <c r="PTK4" s="386"/>
      <c r="PTL4" s="386"/>
      <c r="PTM4" s="386"/>
      <c r="PTN4" s="386"/>
      <c r="PTO4" s="386"/>
      <c r="PTP4" s="386"/>
      <c r="PTQ4" s="386"/>
      <c r="PTR4" s="386"/>
      <c r="PTS4" s="386"/>
      <c r="PTT4" s="386"/>
      <c r="PTU4" s="386"/>
      <c r="PTV4" s="386"/>
      <c r="PTW4" s="386"/>
      <c r="PTX4" s="386"/>
      <c r="PTY4" s="386">
        <v>45870</v>
      </c>
      <c r="PTZ4" s="386"/>
      <c r="PUA4" s="386"/>
      <c r="PUB4" s="386"/>
      <c r="PUC4" s="386"/>
      <c r="PUD4" s="386"/>
      <c r="PUE4" s="386"/>
      <c r="PUF4" s="386"/>
      <c r="PUG4" s="386"/>
      <c r="PUH4" s="386"/>
      <c r="PUI4" s="386"/>
      <c r="PUJ4" s="386"/>
      <c r="PUK4" s="386"/>
      <c r="PUL4" s="386"/>
      <c r="PUM4" s="386"/>
      <c r="PUN4" s="386"/>
      <c r="PUO4" s="386">
        <v>45870</v>
      </c>
      <c r="PUP4" s="386"/>
      <c r="PUQ4" s="386"/>
      <c r="PUR4" s="386"/>
      <c r="PUS4" s="386"/>
      <c r="PUT4" s="386"/>
      <c r="PUU4" s="386"/>
      <c r="PUV4" s="386"/>
      <c r="PUW4" s="386"/>
      <c r="PUX4" s="386"/>
      <c r="PUY4" s="386"/>
      <c r="PUZ4" s="386"/>
      <c r="PVA4" s="386"/>
      <c r="PVB4" s="386"/>
      <c r="PVC4" s="386"/>
      <c r="PVD4" s="386"/>
      <c r="PVE4" s="386">
        <v>45870</v>
      </c>
      <c r="PVF4" s="386"/>
      <c r="PVG4" s="386"/>
      <c r="PVH4" s="386"/>
      <c r="PVI4" s="386"/>
      <c r="PVJ4" s="386"/>
      <c r="PVK4" s="386"/>
      <c r="PVL4" s="386"/>
      <c r="PVM4" s="386"/>
      <c r="PVN4" s="386"/>
      <c r="PVO4" s="386"/>
      <c r="PVP4" s="386"/>
      <c r="PVQ4" s="386"/>
      <c r="PVR4" s="386"/>
      <c r="PVS4" s="386"/>
      <c r="PVT4" s="386"/>
      <c r="PVU4" s="386">
        <v>45870</v>
      </c>
      <c r="PVV4" s="386"/>
      <c r="PVW4" s="386"/>
      <c r="PVX4" s="386"/>
      <c r="PVY4" s="386"/>
      <c r="PVZ4" s="386"/>
      <c r="PWA4" s="386"/>
      <c r="PWB4" s="386"/>
      <c r="PWC4" s="386"/>
      <c r="PWD4" s="386"/>
      <c r="PWE4" s="386"/>
      <c r="PWF4" s="386"/>
      <c r="PWG4" s="386"/>
      <c r="PWH4" s="386"/>
      <c r="PWI4" s="386"/>
      <c r="PWJ4" s="386"/>
      <c r="PWK4" s="386">
        <v>45870</v>
      </c>
      <c r="PWL4" s="386"/>
      <c r="PWM4" s="386"/>
      <c r="PWN4" s="386"/>
      <c r="PWO4" s="386"/>
      <c r="PWP4" s="386"/>
      <c r="PWQ4" s="386"/>
      <c r="PWR4" s="386"/>
      <c r="PWS4" s="386"/>
      <c r="PWT4" s="386"/>
      <c r="PWU4" s="386"/>
      <c r="PWV4" s="386"/>
      <c r="PWW4" s="386"/>
      <c r="PWX4" s="386"/>
      <c r="PWY4" s="386"/>
      <c r="PWZ4" s="386"/>
      <c r="PXA4" s="386">
        <v>45870</v>
      </c>
      <c r="PXB4" s="386"/>
      <c r="PXC4" s="386"/>
      <c r="PXD4" s="386"/>
      <c r="PXE4" s="386"/>
      <c r="PXF4" s="386"/>
      <c r="PXG4" s="386"/>
      <c r="PXH4" s="386"/>
      <c r="PXI4" s="386"/>
      <c r="PXJ4" s="386"/>
      <c r="PXK4" s="386"/>
      <c r="PXL4" s="386"/>
      <c r="PXM4" s="386"/>
      <c r="PXN4" s="386"/>
      <c r="PXO4" s="386"/>
      <c r="PXP4" s="386"/>
      <c r="PXQ4" s="386">
        <v>45870</v>
      </c>
      <c r="PXR4" s="386"/>
      <c r="PXS4" s="386"/>
      <c r="PXT4" s="386"/>
      <c r="PXU4" s="386"/>
      <c r="PXV4" s="386"/>
      <c r="PXW4" s="386"/>
      <c r="PXX4" s="386"/>
      <c r="PXY4" s="386"/>
      <c r="PXZ4" s="386"/>
      <c r="PYA4" s="386"/>
      <c r="PYB4" s="386"/>
      <c r="PYC4" s="386"/>
      <c r="PYD4" s="386"/>
      <c r="PYE4" s="386"/>
      <c r="PYF4" s="386"/>
      <c r="PYG4" s="386">
        <v>45870</v>
      </c>
      <c r="PYH4" s="386"/>
      <c r="PYI4" s="386"/>
      <c r="PYJ4" s="386"/>
      <c r="PYK4" s="386"/>
      <c r="PYL4" s="386"/>
      <c r="PYM4" s="386"/>
      <c r="PYN4" s="386"/>
      <c r="PYO4" s="386"/>
      <c r="PYP4" s="386"/>
      <c r="PYQ4" s="386"/>
      <c r="PYR4" s="386"/>
      <c r="PYS4" s="386"/>
      <c r="PYT4" s="386"/>
      <c r="PYU4" s="386"/>
      <c r="PYV4" s="386"/>
      <c r="PYW4" s="386">
        <v>45870</v>
      </c>
      <c r="PYX4" s="386"/>
      <c r="PYY4" s="386"/>
      <c r="PYZ4" s="386"/>
      <c r="PZA4" s="386"/>
      <c r="PZB4" s="386"/>
      <c r="PZC4" s="386"/>
      <c r="PZD4" s="386"/>
      <c r="PZE4" s="386"/>
      <c r="PZF4" s="386"/>
      <c r="PZG4" s="386"/>
      <c r="PZH4" s="386"/>
      <c r="PZI4" s="386"/>
      <c r="PZJ4" s="386"/>
      <c r="PZK4" s="386"/>
      <c r="PZL4" s="386"/>
      <c r="PZM4" s="386">
        <v>45870</v>
      </c>
      <c r="PZN4" s="386"/>
      <c r="PZO4" s="386"/>
      <c r="PZP4" s="386"/>
      <c r="PZQ4" s="386"/>
      <c r="PZR4" s="386"/>
      <c r="PZS4" s="386"/>
      <c r="PZT4" s="386"/>
      <c r="PZU4" s="386"/>
      <c r="PZV4" s="386"/>
      <c r="PZW4" s="386"/>
      <c r="PZX4" s="386"/>
      <c r="PZY4" s="386"/>
      <c r="PZZ4" s="386"/>
      <c r="QAA4" s="386"/>
      <c r="QAB4" s="386"/>
      <c r="QAC4" s="386">
        <v>45870</v>
      </c>
      <c r="QAD4" s="386"/>
      <c r="QAE4" s="386"/>
      <c r="QAF4" s="386"/>
      <c r="QAG4" s="386"/>
      <c r="QAH4" s="386"/>
      <c r="QAI4" s="386"/>
      <c r="QAJ4" s="386"/>
      <c r="QAK4" s="386"/>
      <c r="QAL4" s="386"/>
      <c r="QAM4" s="386"/>
      <c r="QAN4" s="386"/>
      <c r="QAO4" s="386"/>
      <c r="QAP4" s="386"/>
      <c r="QAQ4" s="386"/>
      <c r="QAR4" s="386"/>
      <c r="QAS4" s="386">
        <v>45870</v>
      </c>
      <c r="QAT4" s="386"/>
      <c r="QAU4" s="386"/>
      <c r="QAV4" s="386"/>
      <c r="QAW4" s="386"/>
      <c r="QAX4" s="386"/>
      <c r="QAY4" s="386"/>
      <c r="QAZ4" s="386"/>
      <c r="QBA4" s="386"/>
      <c r="QBB4" s="386"/>
      <c r="QBC4" s="386"/>
      <c r="QBD4" s="386"/>
      <c r="QBE4" s="386"/>
      <c r="QBF4" s="386"/>
      <c r="QBG4" s="386"/>
      <c r="QBH4" s="386"/>
      <c r="QBI4" s="386">
        <v>45870</v>
      </c>
      <c r="QBJ4" s="386"/>
      <c r="QBK4" s="386"/>
      <c r="QBL4" s="386"/>
      <c r="QBM4" s="386"/>
      <c r="QBN4" s="386"/>
      <c r="QBO4" s="386"/>
      <c r="QBP4" s="386"/>
      <c r="QBQ4" s="386"/>
      <c r="QBR4" s="386"/>
      <c r="QBS4" s="386"/>
      <c r="QBT4" s="386"/>
      <c r="QBU4" s="386"/>
      <c r="QBV4" s="386"/>
      <c r="QBW4" s="386"/>
      <c r="QBX4" s="386"/>
      <c r="QBY4" s="386">
        <v>45870</v>
      </c>
      <c r="QBZ4" s="386"/>
      <c r="QCA4" s="386"/>
      <c r="QCB4" s="386"/>
      <c r="QCC4" s="386"/>
      <c r="QCD4" s="386"/>
      <c r="QCE4" s="386"/>
      <c r="QCF4" s="386"/>
      <c r="QCG4" s="386"/>
      <c r="QCH4" s="386"/>
      <c r="QCI4" s="386"/>
      <c r="QCJ4" s="386"/>
      <c r="QCK4" s="386"/>
      <c r="QCL4" s="386"/>
      <c r="QCM4" s="386"/>
      <c r="QCN4" s="386"/>
      <c r="QCO4" s="386">
        <v>45870</v>
      </c>
      <c r="QCP4" s="386"/>
      <c r="QCQ4" s="386"/>
      <c r="QCR4" s="386"/>
      <c r="QCS4" s="386"/>
      <c r="QCT4" s="386"/>
      <c r="QCU4" s="386"/>
      <c r="QCV4" s="386"/>
      <c r="QCW4" s="386"/>
      <c r="QCX4" s="386"/>
      <c r="QCY4" s="386"/>
      <c r="QCZ4" s="386"/>
      <c r="QDA4" s="386"/>
      <c r="QDB4" s="386"/>
      <c r="QDC4" s="386"/>
      <c r="QDD4" s="386"/>
      <c r="QDE4" s="386">
        <v>45870</v>
      </c>
      <c r="QDF4" s="386"/>
      <c r="QDG4" s="386"/>
      <c r="QDH4" s="386"/>
      <c r="QDI4" s="386"/>
      <c r="QDJ4" s="386"/>
      <c r="QDK4" s="386"/>
      <c r="QDL4" s="386"/>
      <c r="QDM4" s="386"/>
      <c r="QDN4" s="386"/>
      <c r="QDO4" s="386"/>
      <c r="QDP4" s="386"/>
      <c r="QDQ4" s="386"/>
      <c r="QDR4" s="386"/>
      <c r="QDS4" s="386"/>
      <c r="QDT4" s="386"/>
      <c r="QDU4" s="386">
        <v>45870</v>
      </c>
      <c r="QDV4" s="386"/>
      <c r="QDW4" s="386"/>
      <c r="QDX4" s="386"/>
      <c r="QDY4" s="386"/>
      <c r="QDZ4" s="386"/>
      <c r="QEA4" s="386"/>
      <c r="QEB4" s="386"/>
      <c r="QEC4" s="386"/>
      <c r="QED4" s="386"/>
      <c r="QEE4" s="386"/>
      <c r="QEF4" s="386"/>
      <c r="QEG4" s="386"/>
      <c r="QEH4" s="386"/>
      <c r="QEI4" s="386"/>
      <c r="QEJ4" s="386"/>
      <c r="QEK4" s="386">
        <v>45870</v>
      </c>
      <c r="QEL4" s="386"/>
      <c r="QEM4" s="386"/>
      <c r="QEN4" s="386"/>
      <c r="QEO4" s="386"/>
      <c r="QEP4" s="386"/>
      <c r="QEQ4" s="386"/>
      <c r="QER4" s="386"/>
      <c r="QES4" s="386"/>
      <c r="QET4" s="386"/>
      <c r="QEU4" s="386"/>
      <c r="QEV4" s="386"/>
      <c r="QEW4" s="386"/>
      <c r="QEX4" s="386"/>
      <c r="QEY4" s="386"/>
      <c r="QEZ4" s="386"/>
      <c r="QFA4" s="386">
        <v>45870</v>
      </c>
      <c r="QFB4" s="386"/>
      <c r="QFC4" s="386"/>
      <c r="QFD4" s="386"/>
      <c r="QFE4" s="386"/>
      <c r="QFF4" s="386"/>
      <c r="QFG4" s="386"/>
      <c r="QFH4" s="386"/>
      <c r="QFI4" s="386"/>
      <c r="QFJ4" s="386"/>
      <c r="QFK4" s="386"/>
      <c r="QFL4" s="386"/>
      <c r="QFM4" s="386"/>
      <c r="QFN4" s="386"/>
      <c r="QFO4" s="386"/>
      <c r="QFP4" s="386"/>
      <c r="QFQ4" s="386">
        <v>45870</v>
      </c>
      <c r="QFR4" s="386"/>
      <c r="QFS4" s="386"/>
      <c r="QFT4" s="386"/>
      <c r="QFU4" s="386"/>
      <c r="QFV4" s="386"/>
      <c r="QFW4" s="386"/>
      <c r="QFX4" s="386"/>
      <c r="QFY4" s="386"/>
      <c r="QFZ4" s="386"/>
      <c r="QGA4" s="386"/>
      <c r="QGB4" s="386"/>
      <c r="QGC4" s="386"/>
      <c r="QGD4" s="386"/>
      <c r="QGE4" s="386"/>
      <c r="QGF4" s="386"/>
      <c r="QGG4" s="386">
        <v>45870</v>
      </c>
      <c r="QGH4" s="386"/>
      <c r="QGI4" s="386"/>
      <c r="QGJ4" s="386"/>
      <c r="QGK4" s="386"/>
      <c r="QGL4" s="386"/>
      <c r="QGM4" s="386"/>
      <c r="QGN4" s="386"/>
      <c r="QGO4" s="386"/>
      <c r="QGP4" s="386"/>
      <c r="QGQ4" s="386"/>
      <c r="QGR4" s="386"/>
      <c r="QGS4" s="386"/>
      <c r="QGT4" s="386"/>
      <c r="QGU4" s="386"/>
      <c r="QGV4" s="386"/>
      <c r="QGW4" s="386">
        <v>45870</v>
      </c>
      <c r="QGX4" s="386"/>
      <c r="QGY4" s="386"/>
      <c r="QGZ4" s="386"/>
      <c r="QHA4" s="386"/>
      <c r="QHB4" s="386"/>
      <c r="QHC4" s="386"/>
      <c r="QHD4" s="386"/>
      <c r="QHE4" s="386"/>
      <c r="QHF4" s="386"/>
      <c r="QHG4" s="386"/>
      <c r="QHH4" s="386"/>
      <c r="QHI4" s="386"/>
      <c r="QHJ4" s="386"/>
      <c r="QHK4" s="386"/>
      <c r="QHL4" s="386"/>
      <c r="QHM4" s="386">
        <v>45870</v>
      </c>
      <c r="QHN4" s="386"/>
      <c r="QHO4" s="386"/>
      <c r="QHP4" s="386"/>
      <c r="QHQ4" s="386"/>
      <c r="QHR4" s="386"/>
      <c r="QHS4" s="386"/>
      <c r="QHT4" s="386"/>
      <c r="QHU4" s="386"/>
      <c r="QHV4" s="386"/>
      <c r="QHW4" s="386"/>
      <c r="QHX4" s="386"/>
      <c r="QHY4" s="386"/>
      <c r="QHZ4" s="386"/>
      <c r="QIA4" s="386"/>
      <c r="QIB4" s="386"/>
      <c r="QIC4" s="386">
        <v>45870</v>
      </c>
      <c r="QID4" s="386"/>
      <c r="QIE4" s="386"/>
      <c r="QIF4" s="386"/>
      <c r="QIG4" s="386"/>
      <c r="QIH4" s="386"/>
      <c r="QII4" s="386"/>
      <c r="QIJ4" s="386"/>
      <c r="QIK4" s="386"/>
      <c r="QIL4" s="386"/>
      <c r="QIM4" s="386"/>
      <c r="QIN4" s="386"/>
      <c r="QIO4" s="386"/>
      <c r="QIP4" s="386"/>
      <c r="QIQ4" s="386"/>
      <c r="QIR4" s="386"/>
      <c r="QIS4" s="386">
        <v>45870</v>
      </c>
      <c r="QIT4" s="386"/>
      <c r="QIU4" s="386"/>
      <c r="QIV4" s="386"/>
      <c r="QIW4" s="386"/>
      <c r="QIX4" s="386"/>
      <c r="QIY4" s="386"/>
      <c r="QIZ4" s="386"/>
      <c r="QJA4" s="386"/>
      <c r="QJB4" s="386"/>
      <c r="QJC4" s="386"/>
      <c r="QJD4" s="386"/>
      <c r="QJE4" s="386"/>
      <c r="QJF4" s="386"/>
      <c r="QJG4" s="386"/>
      <c r="QJH4" s="386"/>
      <c r="QJI4" s="386">
        <v>45870</v>
      </c>
      <c r="QJJ4" s="386"/>
      <c r="QJK4" s="386"/>
      <c r="QJL4" s="386"/>
      <c r="QJM4" s="386"/>
      <c r="QJN4" s="386"/>
      <c r="QJO4" s="386"/>
      <c r="QJP4" s="386"/>
      <c r="QJQ4" s="386"/>
      <c r="QJR4" s="386"/>
      <c r="QJS4" s="386"/>
      <c r="QJT4" s="386"/>
      <c r="QJU4" s="386"/>
      <c r="QJV4" s="386"/>
      <c r="QJW4" s="386"/>
      <c r="QJX4" s="386"/>
      <c r="QJY4" s="386">
        <v>45870</v>
      </c>
      <c r="QJZ4" s="386"/>
      <c r="QKA4" s="386"/>
      <c r="QKB4" s="386"/>
      <c r="QKC4" s="386"/>
      <c r="QKD4" s="386"/>
      <c r="QKE4" s="386"/>
      <c r="QKF4" s="386"/>
      <c r="QKG4" s="386"/>
      <c r="QKH4" s="386"/>
      <c r="QKI4" s="386"/>
      <c r="QKJ4" s="386"/>
      <c r="QKK4" s="386"/>
      <c r="QKL4" s="386"/>
      <c r="QKM4" s="386"/>
      <c r="QKN4" s="386"/>
      <c r="QKO4" s="386">
        <v>45870</v>
      </c>
      <c r="QKP4" s="386"/>
      <c r="QKQ4" s="386"/>
      <c r="QKR4" s="386"/>
      <c r="QKS4" s="386"/>
      <c r="QKT4" s="386"/>
      <c r="QKU4" s="386"/>
      <c r="QKV4" s="386"/>
      <c r="QKW4" s="386"/>
      <c r="QKX4" s="386"/>
      <c r="QKY4" s="386"/>
      <c r="QKZ4" s="386"/>
      <c r="QLA4" s="386"/>
      <c r="QLB4" s="386"/>
      <c r="QLC4" s="386"/>
      <c r="QLD4" s="386"/>
      <c r="QLE4" s="386">
        <v>45870</v>
      </c>
      <c r="QLF4" s="386"/>
      <c r="QLG4" s="386"/>
      <c r="QLH4" s="386"/>
      <c r="QLI4" s="386"/>
      <c r="QLJ4" s="386"/>
      <c r="QLK4" s="386"/>
      <c r="QLL4" s="386"/>
      <c r="QLM4" s="386"/>
      <c r="QLN4" s="386"/>
      <c r="QLO4" s="386"/>
      <c r="QLP4" s="386"/>
      <c r="QLQ4" s="386"/>
      <c r="QLR4" s="386"/>
      <c r="QLS4" s="386"/>
      <c r="QLT4" s="386"/>
      <c r="QLU4" s="386">
        <v>45870</v>
      </c>
      <c r="QLV4" s="386"/>
      <c r="QLW4" s="386"/>
      <c r="QLX4" s="386"/>
      <c r="QLY4" s="386"/>
      <c r="QLZ4" s="386"/>
      <c r="QMA4" s="386"/>
      <c r="QMB4" s="386"/>
      <c r="QMC4" s="386"/>
      <c r="QMD4" s="386"/>
      <c r="QME4" s="386"/>
      <c r="QMF4" s="386"/>
      <c r="QMG4" s="386"/>
      <c r="QMH4" s="386"/>
      <c r="QMI4" s="386"/>
      <c r="QMJ4" s="386"/>
      <c r="QMK4" s="386">
        <v>45870</v>
      </c>
      <c r="QML4" s="386"/>
      <c r="QMM4" s="386"/>
      <c r="QMN4" s="386"/>
      <c r="QMO4" s="386"/>
      <c r="QMP4" s="386"/>
      <c r="QMQ4" s="386"/>
      <c r="QMR4" s="386"/>
      <c r="QMS4" s="386"/>
      <c r="QMT4" s="386"/>
      <c r="QMU4" s="386"/>
      <c r="QMV4" s="386"/>
      <c r="QMW4" s="386"/>
      <c r="QMX4" s="386"/>
      <c r="QMY4" s="386"/>
      <c r="QMZ4" s="386"/>
      <c r="QNA4" s="386">
        <v>45870</v>
      </c>
      <c r="QNB4" s="386"/>
      <c r="QNC4" s="386"/>
      <c r="QND4" s="386"/>
      <c r="QNE4" s="386"/>
      <c r="QNF4" s="386"/>
      <c r="QNG4" s="386"/>
      <c r="QNH4" s="386"/>
      <c r="QNI4" s="386"/>
      <c r="QNJ4" s="386"/>
      <c r="QNK4" s="386"/>
      <c r="QNL4" s="386"/>
      <c r="QNM4" s="386"/>
      <c r="QNN4" s="386"/>
      <c r="QNO4" s="386"/>
      <c r="QNP4" s="386"/>
      <c r="QNQ4" s="386">
        <v>45870</v>
      </c>
      <c r="QNR4" s="386"/>
      <c r="QNS4" s="386"/>
      <c r="QNT4" s="386"/>
      <c r="QNU4" s="386"/>
      <c r="QNV4" s="386"/>
      <c r="QNW4" s="386"/>
      <c r="QNX4" s="386"/>
      <c r="QNY4" s="386"/>
      <c r="QNZ4" s="386"/>
      <c r="QOA4" s="386"/>
      <c r="QOB4" s="386"/>
      <c r="QOC4" s="386"/>
      <c r="QOD4" s="386"/>
      <c r="QOE4" s="386"/>
      <c r="QOF4" s="386"/>
      <c r="QOG4" s="386">
        <v>45870</v>
      </c>
      <c r="QOH4" s="386"/>
      <c r="QOI4" s="386"/>
      <c r="QOJ4" s="386"/>
      <c r="QOK4" s="386"/>
      <c r="QOL4" s="386"/>
      <c r="QOM4" s="386"/>
      <c r="QON4" s="386"/>
      <c r="QOO4" s="386"/>
      <c r="QOP4" s="386"/>
      <c r="QOQ4" s="386"/>
      <c r="QOR4" s="386"/>
      <c r="QOS4" s="386"/>
      <c r="QOT4" s="386"/>
      <c r="QOU4" s="386"/>
      <c r="QOV4" s="386"/>
      <c r="QOW4" s="386">
        <v>45870</v>
      </c>
      <c r="QOX4" s="386"/>
      <c r="QOY4" s="386"/>
      <c r="QOZ4" s="386"/>
      <c r="QPA4" s="386"/>
      <c r="QPB4" s="386"/>
      <c r="QPC4" s="386"/>
      <c r="QPD4" s="386"/>
      <c r="QPE4" s="386"/>
      <c r="QPF4" s="386"/>
      <c r="QPG4" s="386"/>
      <c r="QPH4" s="386"/>
      <c r="QPI4" s="386"/>
      <c r="QPJ4" s="386"/>
      <c r="QPK4" s="386"/>
      <c r="QPL4" s="386"/>
      <c r="QPM4" s="386">
        <v>45870</v>
      </c>
      <c r="QPN4" s="386"/>
      <c r="QPO4" s="386"/>
      <c r="QPP4" s="386"/>
      <c r="QPQ4" s="386"/>
      <c r="QPR4" s="386"/>
      <c r="QPS4" s="386"/>
      <c r="QPT4" s="386"/>
      <c r="QPU4" s="386"/>
      <c r="QPV4" s="386"/>
      <c r="QPW4" s="386"/>
      <c r="QPX4" s="386"/>
      <c r="QPY4" s="386"/>
      <c r="QPZ4" s="386"/>
      <c r="QQA4" s="386"/>
      <c r="QQB4" s="386"/>
      <c r="QQC4" s="386">
        <v>45870</v>
      </c>
      <c r="QQD4" s="386"/>
      <c r="QQE4" s="386"/>
      <c r="QQF4" s="386"/>
      <c r="QQG4" s="386"/>
      <c r="QQH4" s="386"/>
      <c r="QQI4" s="386"/>
      <c r="QQJ4" s="386"/>
      <c r="QQK4" s="386"/>
      <c r="QQL4" s="386"/>
      <c r="QQM4" s="386"/>
      <c r="QQN4" s="386"/>
      <c r="QQO4" s="386"/>
      <c r="QQP4" s="386"/>
      <c r="QQQ4" s="386"/>
      <c r="QQR4" s="386"/>
      <c r="QQS4" s="386">
        <v>45870</v>
      </c>
      <c r="QQT4" s="386"/>
      <c r="QQU4" s="386"/>
      <c r="QQV4" s="386"/>
      <c r="QQW4" s="386"/>
      <c r="QQX4" s="386"/>
      <c r="QQY4" s="386"/>
      <c r="QQZ4" s="386"/>
      <c r="QRA4" s="386"/>
      <c r="QRB4" s="386"/>
      <c r="QRC4" s="386"/>
      <c r="QRD4" s="386"/>
      <c r="QRE4" s="386"/>
      <c r="QRF4" s="386"/>
      <c r="QRG4" s="386"/>
      <c r="QRH4" s="386"/>
      <c r="QRI4" s="386">
        <v>45870</v>
      </c>
      <c r="QRJ4" s="386"/>
      <c r="QRK4" s="386"/>
      <c r="QRL4" s="386"/>
      <c r="QRM4" s="386"/>
      <c r="QRN4" s="386"/>
      <c r="QRO4" s="386"/>
      <c r="QRP4" s="386"/>
      <c r="QRQ4" s="386"/>
      <c r="QRR4" s="386"/>
      <c r="QRS4" s="386"/>
      <c r="QRT4" s="386"/>
      <c r="QRU4" s="386"/>
      <c r="QRV4" s="386"/>
      <c r="QRW4" s="386"/>
      <c r="QRX4" s="386"/>
      <c r="QRY4" s="386">
        <v>45870</v>
      </c>
      <c r="QRZ4" s="386"/>
      <c r="QSA4" s="386"/>
      <c r="QSB4" s="386"/>
      <c r="QSC4" s="386"/>
      <c r="QSD4" s="386"/>
      <c r="QSE4" s="386"/>
      <c r="QSF4" s="386"/>
      <c r="QSG4" s="386"/>
      <c r="QSH4" s="386"/>
      <c r="QSI4" s="386"/>
      <c r="QSJ4" s="386"/>
      <c r="QSK4" s="386"/>
      <c r="QSL4" s="386"/>
      <c r="QSM4" s="386"/>
      <c r="QSN4" s="386"/>
      <c r="QSO4" s="386">
        <v>45870</v>
      </c>
      <c r="QSP4" s="386"/>
      <c r="QSQ4" s="386"/>
      <c r="QSR4" s="386"/>
      <c r="QSS4" s="386"/>
      <c r="QST4" s="386"/>
      <c r="QSU4" s="386"/>
      <c r="QSV4" s="386"/>
      <c r="QSW4" s="386"/>
      <c r="QSX4" s="386"/>
      <c r="QSY4" s="386"/>
      <c r="QSZ4" s="386"/>
      <c r="QTA4" s="386"/>
      <c r="QTB4" s="386"/>
      <c r="QTC4" s="386"/>
      <c r="QTD4" s="386"/>
      <c r="QTE4" s="386">
        <v>45870</v>
      </c>
      <c r="QTF4" s="386"/>
      <c r="QTG4" s="386"/>
      <c r="QTH4" s="386"/>
      <c r="QTI4" s="386"/>
      <c r="QTJ4" s="386"/>
      <c r="QTK4" s="386"/>
      <c r="QTL4" s="386"/>
      <c r="QTM4" s="386"/>
      <c r="QTN4" s="386"/>
      <c r="QTO4" s="386"/>
      <c r="QTP4" s="386"/>
      <c r="QTQ4" s="386"/>
      <c r="QTR4" s="386"/>
      <c r="QTS4" s="386"/>
      <c r="QTT4" s="386"/>
      <c r="QTU4" s="386">
        <v>45870</v>
      </c>
      <c r="QTV4" s="386"/>
      <c r="QTW4" s="386"/>
      <c r="QTX4" s="386"/>
      <c r="QTY4" s="386"/>
      <c r="QTZ4" s="386"/>
      <c r="QUA4" s="386"/>
      <c r="QUB4" s="386"/>
      <c r="QUC4" s="386"/>
      <c r="QUD4" s="386"/>
      <c r="QUE4" s="386"/>
      <c r="QUF4" s="386"/>
      <c r="QUG4" s="386"/>
      <c r="QUH4" s="386"/>
      <c r="QUI4" s="386"/>
      <c r="QUJ4" s="386"/>
      <c r="QUK4" s="386">
        <v>45870</v>
      </c>
      <c r="QUL4" s="386"/>
      <c r="QUM4" s="386"/>
      <c r="QUN4" s="386"/>
      <c r="QUO4" s="386"/>
      <c r="QUP4" s="386"/>
      <c r="QUQ4" s="386"/>
      <c r="QUR4" s="386"/>
      <c r="QUS4" s="386"/>
      <c r="QUT4" s="386"/>
      <c r="QUU4" s="386"/>
      <c r="QUV4" s="386"/>
      <c r="QUW4" s="386"/>
      <c r="QUX4" s="386"/>
      <c r="QUY4" s="386"/>
      <c r="QUZ4" s="386"/>
      <c r="QVA4" s="386">
        <v>45870</v>
      </c>
      <c r="QVB4" s="386"/>
      <c r="QVC4" s="386"/>
      <c r="QVD4" s="386"/>
      <c r="QVE4" s="386"/>
      <c r="QVF4" s="386"/>
      <c r="QVG4" s="386"/>
      <c r="QVH4" s="386"/>
      <c r="QVI4" s="386"/>
      <c r="QVJ4" s="386"/>
      <c r="QVK4" s="386"/>
      <c r="QVL4" s="386"/>
      <c r="QVM4" s="386"/>
      <c r="QVN4" s="386"/>
      <c r="QVO4" s="386"/>
      <c r="QVP4" s="386"/>
      <c r="QVQ4" s="386">
        <v>45870</v>
      </c>
      <c r="QVR4" s="386"/>
      <c r="QVS4" s="386"/>
      <c r="QVT4" s="386"/>
      <c r="QVU4" s="386"/>
      <c r="QVV4" s="386"/>
      <c r="QVW4" s="386"/>
      <c r="QVX4" s="386"/>
      <c r="QVY4" s="386"/>
      <c r="QVZ4" s="386"/>
      <c r="QWA4" s="386"/>
      <c r="QWB4" s="386"/>
      <c r="QWC4" s="386"/>
      <c r="QWD4" s="386"/>
      <c r="QWE4" s="386"/>
      <c r="QWF4" s="386"/>
      <c r="QWG4" s="386">
        <v>45870</v>
      </c>
      <c r="QWH4" s="386"/>
      <c r="QWI4" s="386"/>
      <c r="QWJ4" s="386"/>
      <c r="QWK4" s="386"/>
      <c r="QWL4" s="386"/>
      <c r="QWM4" s="386"/>
      <c r="QWN4" s="386"/>
      <c r="QWO4" s="386"/>
      <c r="QWP4" s="386"/>
      <c r="QWQ4" s="386"/>
      <c r="QWR4" s="386"/>
      <c r="QWS4" s="386"/>
      <c r="QWT4" s="386"/>
      <c r="QWU4" s="386"/>
      <c r="QWV4" s="386"/>
      <c r="QWW4" s="386">
        <v>45870</v>
      </c>
      <c r="QWX4" s="386"/>
      <c r="QWY4" s="386"/>
      <c r="QWZ4" s="386"/>
      <c r="QXA4" s="386"/>
      <c r="QXB4" s="386"/>
      <c r="QXC4" s="386"/>
      <c r="QXD4" s="386"/>
      <c r="QXE4" s="386"/>
      <c r="QXF4" s="386"/>
      <c r="QXG4" s="386"/>
      <c r="QXH4" s="386"/>
      <c r="QXI4" s="386"/>
      <c r="QXJ4" s="386"/>
      <c r="QXK4" s="386"/>
      <c r="QXL4" s="386"/>
      <c r="QXM4" s="386">
        <v>45870</v>
      </c>
      <c r="QXN4" s="386"/>
      <c r="QXO4" s="386"/>
      <c r="QXP4" s="386"/>
      <c r="QXQ4" s="386"/>
      <c r="QXR4" s="386"/>
      <c r="QXS4" s="386"/>
      <c r="QXT4" s="386"/>
      <c r="QXU4" s="386"/>
      <c r="QXV4" s="386"/>
      <c r="QXW4" s="386"/>
      <c r="QXX4" s="386"/>
      <c r="QXY4" s="386"/>
      <c r="QXZ4" s="386"/>
      <c r="QYA4" s="386"/>
      <c r="QYB4" s="386"/>
      <c r="QYC4" s="386">
        <v>45870</v>
      </c>
      <c r="QYD4" s="386"/>
      <c r="QYE4" s="386"/>
      <c r="QYF4" s="386"/>
      <c r="QYG4" s="386"/>
      <c r="QYH4" s="386"/>
      <c r="QYI4" s="386"/>
      <c r="QYJ4" s="386"/>
      <c r="QYK4" s="386"/>
      <c r="QYL4" s="386"/>
      <c r="QYM4" s="386"/>
      <c r="QYN4" s="386"/>
      <c r="QYO4" s="386"/>
      <c r="QYP4" s="386"/>
      <c r="QYQ4" s="386"/>
      <c r="QYR4" s="386"/>
      <c r="QYS4" s="386">
        <v>45870</v>
      </c>
      <c r="QYT4" s="386"/>
      <c r="QYU4" s="386"/>
      <c r="QYV4" s="386"/>
      <c r="QYW4" s="386"/>
      <c r="QYX4" s="386"/>
      <c r="QYY4" s="386"/>
      <c r="QYZ4" s="386"/>
      <c r="QZA4" s="386"/>
      <c r="QZB4" s="386"/>
      <c r="QZC4" s="386"/>
      <c r="QZD4" s="386"/>
      <c r="QZE4" s="386"/>
      <c r="QZF4" s="386"/>
      <c r="QZG4" s="386"/>
      <c r="QZH4" s="386"/>
      <c r="QZI4" s="386">
        <v>45870</v>
      </c>
      <c r="QZJ4" s="386"/>
      <c r="QZK4" s="386"/>
      <c r="QZL4" s="386"/>
      <c r="QZM4" s="386"/>
      <c r="QZN4" s="386"/>
      <c r="QZO4" s="386"/>
      <c r="QZP4" s="386"/>
      <c r="QZQ4" s="386"/>
      <c r="QZR4" s="386"/>
      <c r="QZS4" s="386"/>
      <c r="QZT4" s="386"/>
      <c r="QZU4" s="386"/>
      <c r="QZV4" s="386"/>
      <c r="QZW4" s="386"/>
      <c r="QZX4" s="386"/>
      <c r="QZY4" s="386">
        <v>45870</v>
      </c>
      <c r="QZZ4" s="386"/>
      <c r="RAA4" s="386"/>
      <c r="RAB4" s="386"/>
      <c r="RAC4" s="386"/>
      <c r="RAD4" s="386"/>
      <c r="RAE4" s="386"/>
      <c r="RAF4" s="386"/>
      <c r="RAG4" s="386"/>
      <c r="RAH4" s="386"/>
      <c r="RAI4" s="386"/>
      <c r="RAJ4" s="386"/>
      <c r="RAK4" s="386"/>
      <c r="RAL4" s="386"/>
      <c r="RAM4" s="386"/>
      <c r="RAN4" s="386"/>
      <c r="RAO4" s="386">
        <v>45870</v>
      </c>
      <c r="RAP4" s="386"/>
      <c r="RAQ4" s="386"/>
      <c r="RAR4" s="386"/>
      <c r="RAS4" s="386"/>
      <c r="RAT4" s="386"/>
      <c r="RAU4" s="386"/>
      <c r="RAV4" s="386"/>
      <c r="RAW4" s="386"/>
      <c r="RAX4" s="386"/>
      <c r="RAY4" s="386"/>
      <c r="RAZ4" s="386"/>
      <c r="RBA4" s="386"/>
      <c r="RBB4" s="386"/>
      <c r="RBC4" s="386"/>
      <c r="RBD4" s="386"/>
      <c r="RBE4" s="386">
        <v>45870</v>
      </c>
      <c r="RBF4" s="386"/>
      <c r="RBG4" s="386"/>
      <c r="RBH4" s="386"/>
      <c r="RBI4" s="386"/>
      <c r="RBJ4" s="386"/>
      <c r="RBK4" s="386"/>
      <c r="RBL4" s="386"/>
      <c r="RBM4" s="386"/>
      <c r="RBN4" s="386"/>
      <c r="RBO4" s="386"/>
      <c r="RBP4" s="386"/>
      <c r="RBQ4" s="386"/>
      <c r="RBR4" s="386"/>
      <c r="RBS4" s="386"/>
      <c r="RBT4" s="386"/>
      <c r="RBU4" s="386">
        <v>45870</v>
      </c>
      <c r="RBV4" s="386"/>
      <c r="RBW4" s="386"/>
      <c r="RBX4" s="386"/>
      <c r="RBY4" s="386"/>
      <c r="RBZ4" s="386"/>
      <c r="RCA4" s="386"/>
      <c r="RCB4" s="386"/>
      <c r="RCC4" s="386"/>
      <c r="RCD4" s="386"/>
      <c r="RCE4" s="386"/>
      <c r="RCF4" s="386"/>
      <c r="RCG4" s="386"/>
      <c r="RCH4" s="386"/>
      <c r="RCI4" s="386"/>
      <c r="RCJ4" s="386"/>
      <c r="RCK4" s="386">
        <v>45870</v>
      </c>
      <c r="RCL4" s="386"/>
      <c r="RCM4" s="386"/>
      <c r="RCN4" s="386"/>
      <c r="RCO4" s="386"/>
      <c r="RCP4" s="386"/>
      <c r="RCQ4" s="386"/>
      <c r="RCR4" s="386"/>
      <c r="RCS4" s="386"/>
      <c r="RCT4" s="386"/>
      <c r="RCU4" s="386"/>
      <c r="RCV4" s="386"/>
      <c r="RCW4" s="386"/>
      <c r="RCX4" s="386"/>
      <c r="RCY4" s="386"/>
      <c r="RCZ4" s="386"/>
      <c r="RDA4" s="386">
        <v>45870</v>
      </c>
      <c r="RDB4" s="386"/>
      <c r="RDC4" s="386"/>
      <c r="RDD4" s="386"/>
      <c r="RDE4" s="386"/>
      <c r="RDF4" s="386"/>
      <c r="RDG4" s="386"/>
      <c r="RDH4" s="386"/>
      <c r="RDI4" s="386"/>
      <c r="RDJ4" s="386"/>
      <c r="RDK4" s="386"/>
      <c r="RDL4" s="386"/>
      <c r="RDM4" s="386"/>
      <c r="RDN4" s="386"/>
      <c r="RDO4" s="386"/>
      <c r="RDP4" s="386"/>
      <c r="RDQ4" s="386">
        <v>45870</v>
      </c>
      <c r="RDR4" s="386"/>
      <c r="RDS4" s="386"/>
      <c r="RDT4" s="386"/>
      <c r="RDU4" s="386"/>
      <c r="RDV4" s="386"/>
      <c r="RDW4" s="386"/>
      <c r="RDX4" s="386"/>
      <c r="RDY4" s="386"/>
      <c r="RDZ4" s="386"/>
      <c r="REA4" s="386"/>
      <c r="REB4" s="386"/>
      <c r="REC4" s="386"/>
      <c r="RED4" s="386"/>
      <c r="REE4" s="386"/>
      <c r="REF4" s="386"/>
      <c r="REG4" s="386">
        <v>45870</v>
      </c>
      <c r="REH4" s="386"/>
      <c r="REI4" s="386"/>
      <c r="REJ4" s="386"/>
      <c r="REK4" s="386"/>
      <c r="REL4" s="386"/>
      <c r="REM4" s="386"/>
      <c r="REN4" s="386"/>
      <c r="REO4" s="386"/>
      <c r="REP4" s="386"/>
      <c r="REQ4" s="386"/>
      <c r="RER4" s="386"/>
      <c r="RES4" s="386"/>
      <c r="RET4" s="386"/>
      <c r="REU4" s="386"/>
      <c r="REV4" s="386"/>
      <c r="REW4" s="386">
        <v>45870</v>
      </c>
      <c r="REX4" s="386"/>
      <c r="REY4" s="386"/>
      <c r="REZ4" s="386"/>
      <c r="RFA4" s="386"/>
      <c r="RFB4" s="386"/>
      <c r="RFC4" s="386"/>
      <c r="RFD4" s="386"/>
      <c r="RFE4" s="386"/>
      <c r="RFF4" s="386"/>
      <c r="RFG4" s="386"/>
      <c r="RFH4" s="386"/>
      <c r="RFI4" s="386"/>
      <c r="RFJ4" s="386"/>
      <c r="RFK4" s="386"/>
      <c r="RFL4" s="386"/>
      <c r="RFM4" s="386">
        <v>45870</v>
      </c>
      <c r="RFN4" s="386"/>
      <c r="RFO4" s="386"/>
      <c r="RFP4" s="386"/>
      <c r="RFQ4" s="386"/>
      <c r="RFR4" s="386"/>
      <c r="RFS4" s="386"/>
      <c r="RFT4" s="386"/>
      <c r="RFU4" s="386"/>
      <c r="RFV4" s="386"/>
      <c r="RFW4" s="386"/>
      <c r="RFX4" s="386"/>
      <c r="RFY4" s="386"/>
      <c r="RFZ4" s="386"/>
      <c r="RGA4" s="386"/>
      <c r="RGB4" s="386"/>
      <c r="RGC4" s="386">
        <v>45870</v>
      </c>
      <c r="RGD4" s="386"/>
      <c r="RGE4" s="386"/>
      <c r="RGF4" s="386"/>
      <c r="RGG4" s="386"/>
      <c r="RGH4" s="386"/>
      <c r="RGI4" s="386"/>
      <c r="RGJ4" s="386"/>
      <c r="RGK4" s="386"/>
      <c r="RGL4" s="386"/>
      <c r="RGM4" s="386"/>
      <c r="RGN4" s="386"/>
      <c r="RGO4" s="386"/>
      <c r="RGP4" s="386"/>
      <c r="RGQ4" s="386"/>
      <c r="RGR4" s="386"/>
      <c r="RGS4" s="386">
        <v>45870</v>
      </c>
      <c r="RGT4" s="386"/>
      <c r="RGU4" s="386"/>
      <c r="RGV4" s="386"/>
      <c r="RGW4" s="386"/>
      <c r="RGX4" s="386"/>
      <c r="RGY4" s="386"/>
      <c r="RGZ4" s="386"/>
      <c r="RHA4" s="386"/>
      <c r="RHB4" s="386"/>
      <c r="RHC4" s="386"/>
      <c r="RHD4" s="386"/>
      <c r="RHE4" s="386"/>
      <c r="RHF4" s="386"/>
      <c r="RHG4" s="386"/>
      <c r="RHH4" s="386"/>
      <c r="RHI4" s="386">
        <v>45870</v>
      </c>
      <c r="RHJ4" s="386"/>
      <c r="RHK4" s="386"/>
      <c r="RHL4" s="386"/>
      <c r="RHM4" s="386"/>
      <c r="RHN4" s="386"/>
      <c r="RHO4" s="386"/>
      <c r="RHP4" s="386"/>
      <c r="RHQ4" s="386"/>
      <c r="RHR4" s="386"/>
      <c r="RHS4" s="386"/>
      <c r="RHT4" s="386"/>
      <c r="RHU4" s="386"/>
      <c r="RHV4" s="386"/>
      <c r="RHW4" s="386"/>
      <c r="RHX4" s="386"/>
      <c r="RHY4" s="386">
        <v>45870</v>
      </c>
      <c r="RHZ4" s="386"/>
      <c r="RIA4" s="386"/>
      <c r="RIB4" s="386"/>
      <c r="RIC4" s="386"/>
      <c r="RID4" s="386"/>
      <c r="RIE4" s="386"/>
      <c r="RIF4" s="386"/>
      <c r="RIG4" s="386"/>
      <c r="RIH4" s="386"/>
      <c r="RII4" s="386"/>
      <c r="RIJ4" s="386"/>
      <c r="RIK4" s="386"/>
      <c r="RIL4" s="386"/>
      <c r="RIM4" s="386"/>
      <c r="RIN4" s="386"/>
      <c r="RIO4" s="386">
        <v>45870</v>
      </c>
      <c r="RIP4" s="386"/>
      <c r="RIQ4" s="386"/>
      <c r="RIR4" s="386"/>
      <c r="RIS4" s="386"/>
      <c r="RIT4" s="386"/>
      <c r="RIU4" s="386"/>
      <c r="RIV4" s="386"/>
      <c r="RIW4" s="386"/>
      <c r="RIX4" s="386"/>
      <c r="RIY4" s="386"/>
      <c r="RIZ4" s="386"/>
      <c r="RJA4" s="386"/>
      <c r="RJB4" s="386"/>
      <c r="RJC4" s="386"/>
      <c r="RJD4" s="386"/>
      <c r="RJE4" s="386">
        <v>45870</v>
      </c>
      <c r="RJF4" s="386"/>
      <c r="RJG4" s="386"/>
      <c r="RJH4" s="386"/>
      <c r="RJI4" s="386"/>
      <c r="RJJ4" s="386"/>
      <c r="RJK4" s="386"/>
      <c r="RJL4" s="386"/>
      <c r="RJM4" s="386"/>
      <c r="RJN4" s="386"/>
      <c r="RJO4" s="386"/>
      <c r="RJP4" s="386"/>
      <c r="RJQ4" s="386"/>
      <c r="RJR4" s="386"/>
      <c r="RJS4" s="386"/>
      <c r="RJT4" s="386"/>
      <c r="RJU4" s="386">
        <v>45870</v>
      </c>
      <c r="RJV4" s="386"/>
      <c r="RJW4" s="386"/>
      <c r="RJX4" s="386"/>
      <c r="RJY4" s="386"/>
      <c r="RJZ4" s="386"/>
      <c r="RKA4" s="386"/>
      <c r="RKB4" s="386"/>
      <c r="RKC4" s="386"/>
      <c r="RKD4" s="386"/>
      <c r="RKE4" s="386"/>
      <c r="RKF4" s="386"/>
      <c r="RKG4" s="386"/>
      <c r="RKH4" s="386"/>
      <c r="RKI4" s="386"/>
      <c r="RKJ4" s="386"/>
      <c r="RKK4" s="386">
        <v>45870</v>
      </c>
      <c r="RKL4" s="386"/>
      <c r="RKM4" s="386"/>
      <c r="RKN4" s="386"/>
      <c r="RKO4" s="386"/>
      <c r="RKP4" s="386"/>
      <c r="RKQ4" s="386"/>
      <c r="RKR4" s="386"/>
      <c r="RKS4" s="386"/>
      <c r="RKT4" s="386"/>
      <c r="RKU4" s="386"/>
      <c r="RKV4" s="386"/>
      <c r="RKW4" s="386"/>
      <c r="RKX4" s="386"/>
      <c r="RKY4" s="386"/>
      <c r="RKZ4" s="386"/>
      <c r="RLA4" s="386">
        <v>45870</v>
      </c>
      <c r="RLB4" s="386"/>
      <c r="RLC4" s="386"/>
      <c r="RLD4" s="386"/>
      <c r="RLE4" s="386"/>
      <c r="RLF4" s="386"/>
      <c r="RLG4" s="386"/>
      <c r="RLH4" s="386"/>
      <c r="RLI4" s="386"/>
      <c r="RLJ4" s="386"/>
      <c r="RLK4" s="386"/>
      <c r="RLL4" s="386"/>
      <c r="RLM4" s="386"/>
      <c r="RLN4" s="386"/>
      <c r="RLO4" s="386"/>
      <c r="RLP4" s="386"/>
      <c r="RLQ4" s="386">
        <v>45870</v>
      </c>
      <c r="RLR4" s="386"/>
      <c r="RLS4" s="386"/>
      <c r="RLT4" s="386"/>
      <c r="RLU4" s="386"/>
      <c r="RLV4" s="386"/>
      <c r="RLW4" s="386"/>
      <c r="RLX4" s="386"/>
      <c r="RLY4" s="386"/>
      <c r="RLZ4" s="386"/>
      <c r="RMA4" s="386"/>
      <c r="RMB4" s="386"/>
      <c r="RMC4" s="386"/>
      <c r="RMD4" s="386"/>
      <c r="RME4" s="386"/>
      <c r="RMF4" s="386"/>
      <c r="RMG4" s="386">
        <v>45870</v>
      </c>
      <c r="RMH4" s="386"/>
      <c r="RMI4" s="386"/>
      <c r="RMJ4" s="386"/>
      <c r="RMK4" s="386"/>
      <c r="RML4" s="386"/>
      <c r="RMM4" s="386"/>
      <c r="RMN4" s="386"/>
      <c r="RMO4" s="386"/>
      <c r="RMP4" s="386"/>
      <c r="RMQ4" s="386"/>
      <c r="RMR4" s="386"/>
      <c r="RMS4" s="386"/>
      <c r="RMT4" s="386"/>
      <c r="RMU4" s="386"/>
      <c r="RMV4" s="386"/>
      <c r="RMW4" s="386">
        <v>45870</v>
      </c>
      <c r="RMX4" s="386"/>
      <c r="RMY4" s="386"/>
      <c r="RMZ4" s="386"/>
      <c r="RNA4" s="386"/>
      <c r="RNB4" s="386"/>
      <c r="RNC4" s="386"/>
      <c r="RND4" s="386"/>
      <c r="RNE4" s="386"/>
      <c r="RNF4" s="386"/>
      <c r="RNG4" s="386"/>
      <c r="RNH4" s="386"/>
      <c r="RNI4" s="386"/>
      <c r="RNJ4" s="386"/>
      <c r="RNK4" s="386"/>
      <c r="RNL4" s="386"/>
      <c r="RNM4" s="386">
        <v>45870</v>
      </c>
      <c r="RNN4" s="386"/>
      <c r="RNO4" s="386"/>
      <c r="RNP4" s="386"/>
      <c r="RNQ4" s="386"/>
      <c r="RNR4" s="386"/>
      <c r="RNS4" s="386"/>
      <c r="RNT4" s="386"/>
      <c r="RNU4" s="386"/>
      <c r="RNV4" s="386"/>
      <c r="RNW4" s="386"/>
      <c r="RNX4" s="386"/>
      <c r="RNY4" s="386"/>
      <c r="RNZ4" s="386"/>
      <c r="ROA4" s="386"/>
      <c r="ROB4" s="386"/>
      <c r="ROC4" s="386">
        <v>45870</v>
      </c>
      <c r="ROD4" s="386"/>
      <c r="ROE4" s="386"/>
      <c r="ROF4" s="386"/>
      <c r="ROG4" s="386"/>
      <c r="ROH4" s="386"/>
      <c r="ROI4" s="386"/>
      <c r="ROJ4" s="386"/>
      <c r="ROK4" s="386"/>
      <c r="ROL4" s="386"/>
      <c r="ROM4" s="386"/>
      <c r="RON4" s="386"/>
      <c r="ROO4" s="386"/>
      <c r="ROP4" s="386"/>
      <c r="ROQ4" s="386"/>
      <c r="ROR4" s="386"/>
      <c r="ROS4" s="386">
        <v>45870</v>
      </c>
      <c r="ROT4" s="386"/>
      <c r="ROU4" s="386"/>
      <c r="ROV4" s="386"/>
      <c r="ROW4" s="386"/>
      <c r="ROX4" s="386"/>
      <c r="ROY4" s="386"/>
      <c r="ROZ4" s="386"/>
      <c r="RPA4" s="386"/>
      <c r="RPB4" s="386"/>
      <c r="RPC4" s="386"/>
      <c r="RPD4" s="386"/>
      <c r="RPE4" s="386"/>
      <c r="RPF4" s="386"/>
      <c r="RPG4" s="386"/>
      <c r="RPH4" s="386"/>
      <c r="RPI4" s="386">
        <v>45870</v>
      </c>
      <c r="RPJ4" s="386"/>
      <c r="RPK4" s="386"/>
      <c r="RPL4" s="386"/>
      <c r="RPM4" s="386"/>
      <c r="RPN4" s="386"/>
      <c r="RPO4" s="386"/>
      <c r="RPP4" s="386"/>
      <c r="RPQ4" s="386"/>
      <c r="RPR4" s="386"/>
      <c r="RPS4" s="386"/>
      <c r="RPT4" s="386"/>
      <c r="RPU4" s="386"/>
      <c r="RPV4" s="386"/>
      <c r="RPW4" s="386"/>
      <c r="RPX4" s="386"/>
      <c r="RPY4" s="386">
        <v>45870</v>
      </c>
      <c r="RPZ4" s="386"/>
      <c r="RQA4" s="386"/>
      <c r="RQB4" s="386"/>
      <c r="RQC4" s="386"/>
      <c r="RQD4" s="386"/>
      <c r="RQE4" s="386"/>
      <c r="RQF4" s="386"/>
      <c r="RQG4" s="386"/>
      <c r="RQH4" s="386"/>
      <c r="RQI4" s="386"/>
      <c r="RQJ4" s="386"/>
      <c r="RQK4" s="386"/>
      <c r="RQL4" s="386"/>
      <c r="RQM4" s="386"/>
      <c r="RQN4" s="386"/>
      <c r="RQO4" s="386">
        <v>45870</v>
      </c>
      <c r="RQP4" s="386"/>
      <c r="RQQ4" s="386"/>
      <c r="RQR4" s="386"/>
      <c r="RQS4" s="386"/>
      <c r="RQT4" s="386"/>
      <c r="RQU4" s="386"/>
      <c r="RQV4" s="386"/>
      <c r="RQW4" s="386"/>
      <c r="RQX4" s="386"/>
      <c r="RQY4" s="386"/>
      <c r="RQZ4" s="386"/>
      <c r="RRA4" s="386"/>
      <c r="RRB4" s="386"/>
      <c r="RRC4" s="386"/>
      <c r="RRD4" s="386"/>
      <c r="RRE4" s="386">
        <v>45870</v>
      </c>
      <c r="RRF4" s="386"/>
      <c r="RRG4" s="386"/>
      <c r="RRH4" s="386"/>
      <c r="RRI4" s="386"/>
      <c r="RRJ4" s="386"/>
      <c r="RRK4" s="386"/>
      <c r="RRL4" s="386"/>
      <c r="RRM4" s="386"/>
      <c r="RRN4" s="386"/>
      <c r="RRO4" s="386"/>
      <c r="RRP4" s="386"/>
      <c r="RRQ4" s="386"/>
      <c r="RRR4" s="386"/>
      <c r="RRS4" s="386"/>
      <c r="RRT4" s="386"/>
      <c r="RRU4" s="386">
        <v>45870</v>
      </c>
      <c r="RRV4" s="386"/>
      <c r="RRW4" s="386"/>
      <c r="RRX4" s="386"/>
      <c r="RRY4" s="386"/>
      <c r="RRZ4" s="386"/>
      <c r="RSA4" s="386"/>
      <c r="RSB4" s="386"/>
      <c r="RSC4" s="386"/>
      <c r="RSD4" s="386"/>
      <c r="RSE4" s="386"/>
      <c r="RSF4" s="386"/>
      <c r="RSG4" s="386"/>
      <c r="RSH4" s="386"/>
      <c r="RSI4" s="386"/>
      <c r="RSJ4" s="386"/>
      <c r="RSK4" s="386">
        <v>45870</v>
      </c>
      <c r="RSL4" s="386"/>
      <c r="RSM4" s="386"/>
      <c r="RSN4" s="386"/>
      <c r="RSO4" s="386"/>
      <c r="RSP4" s="386"/>
      <c r="RSQ4" s="386"/>
      <c r="RSR4" s="386"/>
      <c r="RSS4" s="386"/>
      <c r="RST4" s="386"/>
      <c r="RSU4" s="386"/>
      <c r="RSV4" s="386"/>
      <c r="RSW4" s="386"/>
      <c r="RSX4" s="386"/>
      <c r="RSY4" s="386"/>
      <c r="RSZ4" s="386"/>
      <c r="RTA4" s="386">
        <v>45870</v>
      </c>
      <c r="RTB4" s="386"/>
      <c r="RTC4" s="386"/>
      <c r="RTD4" s="386"/>
      <c r="RTE4" s="386"/>
      <c r="RTF4" s="386"/>
      <c r="RTG4" s="386"/>
      <c r="RTH4" s="386"/>
      <c r="RTI4" s="386"/>
      <c r="RTJ4" s="386"/>
      <c r="RTK4" s="386"/>
      <c r="RTL4" s="386"/>
      <c r="RTM4" s="386"/>
      <c r="RTN4" s="386"/>
      <c r="RTO4" s="386"/>
      <c r="RTP4" s="386"/>
      <c r="RTQ4" s="386">
        <v>45870</v>
      </c>
      <c r="RTR4" s="386"/>
      <c r="RTS4" s="386"/>
      <c r="RTT4" s="386"/>
      <c r="RTU4" s="386"/>
      <c r="RTV4" s="386"/>
      <c r="RTW4" s="386"/>
      <c r="RTX4" s="386"/>
      <c r="RTY4" s="386"/>
      <c r="RTZ4" s="386"/>
      <c r="RUA4" s="386"/>
      <c r="RUB4" s="386"/>
      <c r="RUC4" s="386"/>
      <c r="RUD4" s="386"/>
      <c r="RUE4" s="386"/>
      <c r="RUF4" s="386"/>
      <c r="RUG4" s="386">
        <v>45870</v>
      </c>
      <c r="RUH4" s="386"/>
      <c r="RUI4" s="386"/>
      <c r="RUJ4" s="386"/>
      <c r="RUK4" s="386"/>
      <c r="RUL4" s="386"/>
      <c r="RUM4" s="386"/>
      <c r="RUN4" s="386"/>
      <c r="RUO4" s="386"/>
      <c r="RUP4" s="386"/>
      <c r="RUQ4" s="386"/>
      <c r="RUR4" s="386"/>
      <c r="RUS4" s="386"/>
      <c r="RUT4" s="386"/>
      <c r="RUU4" s="386"/>
      <c r="RUV4" s="386"/>
      <c r="RUW4" s="386">
        <v>45870</v>
      </c>
      <c r="RUX4" s="386"/>
      <c r="RUY4" s="386"/>
      <c r="RUZ4" s="386"/>
      <c r="RVA4" s="386"/>
      <c r="RVB4" s="386"/>
      <c r="RVC4" s="386"/>
      <c r="RVD4" s="386"/>
      <c r="RVE4" s="386"/>
      <c r="RVF4" s="386"/>
      <c r="RVG4" s="386"/>
      <c r="RVH4" s="386"/>
      <c r="RVI4" s="386"/>
      <c r="RVJ4" s="386"/>
      <c r="RVK4" s="386"/>
      <c r="RVL4" s="386"/>
      <c r="RVM4" s="386">
        <v>45870</v>
      </c>
      <c r="RVN4" s="386"/>
      <c r="RVO4" s="386"/>
      <c r="RVP4" s="386"/>
      <c r="RVQ4" s="386"/>
      <c r="RVR4" s="386"/>
      <c r="RVS4" s="386"/>
      <c r="RVT4" s="386"/>
      <c r="RVU4" s="386"/>
      <c r="RVV4" s="386"/>
      <c r="RVW4" s="386"/>
      <c r="RVX4" s="386"/>
      <c r="RVY4" s="386"/>
      <c r="RVZ4" s="386"/>
      <c r="RWA4" s="386"/>
      <c r="RWB4" s="386"/>
      <c r="RWC4" s="386">
        <v>45870</v>
      </c>
      <c r="RWD4" s="386"/>
      <c r="RWE4" s="386"/>
      <c r="RWF4" s="386"/>
      <c r="RWG4" s="386"/>
      <c r="RWH4" s="386"/>
      <c r="RWI4" s="386"/>
      <c r="RWJ4" s="386"/>
      <c r="RWK4" s="386"/>
      <c r="RWL4" s="386"/>
      <c r="RWM4" s="386"/>
      <c r="RWN4" s="386"/>
      <c r="RWO4" s="386"/>
      <c r="RWP4" s="386"/>
      <c r="RWQ4" s="386"/>
      <c r="RWR4" s="386"/>
      <c r="RWS4" s="386">
        <v>45870</v>
      </c>
      <c r="RWT4" s="386"/>
      <c r="RWU4" s="386"/>
      <c r="RWV4" s="386"/>
      <c r="RWW4" s="386"/>
      <c r="RWX4" s="386"/>
      <c r="RWY4" s="386"/>
      <c r="RWZ4" s="386"/>
      <c r="RXA4" s="386"/>
      <c r="RXB4" s="386"/>
      <c r="RXC4" s="386"/>
      <c r="RXD4" s="386"/>
      <c r="RXE4" s="386"/>
      <c r="RXF4" s="386"/>
      <c r="RXG4" s="386"/>
      <c r="RXH4" s="386"/>
      <c r="RXI4" s="386">
        <v>45870</v>
      </c>
      <c r="RXJ4" s="386"/>
      <c r="RXK4" s="386"/>
      <c r="RXL4" s="386"/>
      <c r="RXM4" s="386"/>
      <c r="RXN4" s="386"/>
      <c r="RXO4" s="386"/>
      <c r="RXP4" s="386"/>
      <c r="RXQ4" s="386"/>
      <c r="RXR4" s="386"/>
      <c r="RXS4" s="386"/>
      <c r="RXT4" s="386"/>
      <c r="RXU4" s="386"/>
      <c r="RXV4" s="386"/>
      <c r="RXW4" s="386"/>
      <c r="RXX4" s="386"/>
      <c r="RXY4" s="386">
        <v>45870</v>
      </c>
      <c r="RXZ4" s="386"/>
      <c r="RYA4" s="386"/>
      <c r="RYB4" s="386"/>
      <c r="RYC4" s="386"/>
      <c r="RYD4" s="386"/>
      <c r="RYE4" s="386"/>
      <c r="RYF4" s="386"/>
      <c r="RYG4" s="386"/>
      <c r="RYH4" s="386"/>
      <c r="RYI4" s="386"/>
      <c r="RYJ4" s="386"/>
      <c r="RYK4" s="386"/>
      <c r="RYL4" s="386"/>
      <c r="RYM4" s="386"/>
      <c r="RYN4" s="386"/>
      <c r="RYO4" s="386">
        <v>45870</v>
      </c>
      <c r="RYP4" s="386"/>
      <c r="RYQ4" s="386"/>
      <c r="RYR4" s="386"/>
      <c r="RYS4" s="386"/>
      <c r="RYT4" s="386"/>
      <c r="RYU4" s="386"/>
      <c r="RYV4" s="386"/>
      <c r="RYW4" s="386"/>
      <c r="RYX4" s="386"/>
      <c r="RYY4" s="386"/>
      <c r="RYZ4" s="386"/>
      <c r="RZA4" s="386"/>
      <c r="RZB4" s="386"/>
      <c r="RZC4" s="386"/>
      <c r="RZD4" s="386"/>
      <c r="RZE4" s="386">
        <v>45870</v>
      </c>
      <c r="RZF4" s="386"/>
      <c r="RZG4" s="386"/>
      <c r="RZH4" s="386"/>
      <c r="RZI4" s="386"/>
      <c r="RZJ4" s="386"/>
      <c r="RZK4" s="386"/>
      <c r="RZL4" s="386"/>
      <c r="RZM4" s="386"/>
      <c r="RZN4" s="386"/>
      <c r="RZO4" s="386"/>
      <c r="RZP4" s="386"/>
      <c r="RZQ4" s="386"/>
      <c r="RZR4" s="386"/>
      <c r="RZS4" s="386"/>
      <c r="RZT4" s="386"/>
      <c r="RZU4" s="386">
        <v>45870</v>
      </c>
      <c r="RZV4" s="386"/>
      <c r="RZW4" s="386"/>
      <c r="RZX4" s="386"/>
      <c r="RZY4" s="386"/>
      <c r="RZZ4" s="386"/>
      <c r="SAA4" s="386"/>
      <c r="SAB4" s="386"/>
      <c r="SAC4" s="386"/>
      <c r="SAD4" s="386"/>
      <c r="SAE4" s="386"/>
      <c r="SAF4" s="386"/>
      <c r="SAG4" s="386"/>
      <c r="SAH4" s="386"/>
      <c r="SAI4" s="386"/>
      <c r="SAJ4" s="386"/>
      <c r="SAK4" s="386">
        <v>45870</v>
      </c>
      <c r="SAL4" s="386"/>
      <c r="SAM4" s="386"/>
      <c r="SAN4" s="386"/>
      <c r="SAO4" s="386"/>
      <c r="SAP4" s="386"/>
      <c r="SAQ4" s="386"/>
      <c r="SAR4" s="386"/>
      <c r="SAS4" s="386"/>
      <c r="SAT4" s="386"/>
      <c r="SAU4" s="386"/>
      <c r="SAV4" s="386"/>
      <c r="SAW4" s="386"/>
      <c r="SAX4" s="386"/>
      <c r="SAY4" s="386"/>
      <c r="SAZ4" s="386"/>
      <c r="SBA4" s="386">
        <v>45870</v>
      </c>
      <c r="SBB4" s="386"/>
      <c r="SBC4" s="386"/>
      <c r="SBD4" s="386"/>
      <c r="SBE4" s="386"/>
      <c r="SBF4" s="386"/>
      <c r="SBG4" s="386"/>
      <c r="SBH4" s="386"/>
      <c r="SBI4" s="386"/>
      <c r="SBJ4" s="386"/>
      <c r="SBK4" s="386"/>
      <c r="SBL4" s="386"/>
      <c r="SBM4" s="386"/>
      <c r="SBN4" s="386"/>
      <c r="SBO4" s="386"/>
      <c r="SBP4" s="386"/>
      <c r="SBQ4" s="386">
        <v>45870</v>
      </c>
      <c r="SBR4" s="386"/>
      <c r="SBS4" s="386"/>
      <c r="SBT4" s="386"/>
      <c r="SBU4" s="386"/>
      <c r="SBV4" s="386"/>
      <c r="SBW4" s="386"/>
      <c r="SBX4" s="386"/>
      <c r="SBY4" s="386"/>
      <c r="SBZ4" s="386"/>
      <c r="SCA4" s="386"/>
      <c r="SCB4" s="386"/>
      <c r="SCC4" s="386"/>
      <c r="SCD4" s="386"/>
      <c r="SCE4" s="386"/>
      <c r="SCF4" s="386"/>
      <c r="SCG4" s="386">
        <v>45870</v>
      </c>
      <c r="SCH4" s="386"/>
      <c r="SCI4" s="386"/>
      <c r="SCJ4" s="386"/>
      <c r="SCK4" s="386"/>
      <c r="SCL4" s="386"/>
      <c r="SCM4" s="386"/>
      <c r="SCN4" s="386"/>
      <c r="SCO4" s="386"/>
      <c r="SCP4" s="386"/>
      <c r="SCQ4" s="386"/>
      <c r="SCR4" s="386"/>
      <c r="SCS4" s="386"/>
      <c r="SCT4" s="386"/>
      <c r="SCU4" s="386"/>
      <c r="SCV4" s="386"/>
      <c r="SCW4" s="386">
        <v>45870</v>
      </c>
      <c r="SCX4" s="386"/>
      <c r="SCY4" s="386"/>
      <c r="SCZ4" s="386"/>
      <c r="SDA4" s="386"/>
      <c r="SDB4" s="386"/>
      <c r="SDC4" s="386"/>
      <c r="SDD4" s="386"/>
      <c r="SDE4" s="386"/>
      <c r="SDF4" s="386"/>
      <c r="SDG4" s="386"/>
      <c r="SDH4" s="386"/>
      <c r="SDI4" s="386"/>
      <c r="SDJ4" s="386"/>
      <c r="SDK4" s="386"/>
      <c r="SDL4" s="386"/>
      <c r="SDM4" s="386">
        <v>45870</v>
      </c>
      <c r="SDN4" s="386"/>
      <c r="SDO4" s="386"/>
      <c r="SDP4" s="386"/>
      <c r="SDQ4" s="386"/>
      <c r="SDR4" s="386"/>
      <c r="SDS4" s="386"/>
      <c r="SDT4" s="386"/>
      <c r="SDU4" s="386"/>
      <c r="SDV4" s="386"/>
      <c r="SDW4" s="386"/>
      <c r="SDX4" s="386"/>
      <c r="SDY4" s="386"/>
      <c r="SDZ4" s="386"/>
      <c r="SEA4" s="386"/>
      <c r="SEB4" s="386"/>
      <c r="SEC4" s="386">
        <v>45870</v>
      </c>
      <c r="SED4" s="386"/>
      <c r="SEE4" s="386"/>
      <c r="SEF4" s="386"/>
      <c r="SEG4" s="386"/>
      <c r="SEH4" s="386"/>
      <c r="SEI4" s="386"/>
      <c r="SEJ4" s="386"/>
      <c r="SEK4" s="386"/>
      <c r="SEL4" s="386"/>
      <c r="SEM4" s="386"/>
      <c r="SEN4" s="386"/>
      <c r="SEO4" s="386"/>
      <c r="SEP4" s="386"/>
      <c r="SEQ4" s="386"/>
      <c r="SER4" s="386"/>
      <c r="SES4" s="386">
        <v>45870</v>
      </c>
      <c r="SET4" s="386"/>
      <c r="SEU4" s="386"/>
      <c r="SEV4" s="386"/>
      <c r="SEW4" s="386"/>
      <c r="SEX4" s="386"/>
      <c r="SEY4" s="386"/>
      <c r="SEZ4" s="386"/>
      <c r="SFA4" s="386"/>
      <c r="SFB4" s="386"/>
      <c r="SFC4" s="386"/>
      <c r="SFD4" s="386"/>
      <c r="SFE4" s="386"/>
      <c r="SFF4" s="386"/>
      <c r="SFG4" s="386"/>
      <c r="SFH4" s="386"/>
      <c r="SFI4" s="386">
        <v>45870</v>
      </c>
      <c r="SFJ4" s="386"/>
      <c r="SFK4" s="386"/>
      <c r="SFL4" s="386"/>
      <c r="SFM4" s="386"/>
      <c r="SFN4" s="386"/>
      <c r="SFO4" s="386"/>
      <c r="SFP4" s="386"/>
      <c r="SFQ4" s="386"/>
      <c r="SFR4" s="386"/>
      <c r="SFS4" s="386"/>
      <c r="SFT4" s="386"/>
      <c r="SFU4" s="386"/>
      <c r="SFV4" s="386"/>
      <c r="SFW4" s="386"/>
      <c r="SFX4" s="386"/>
      <c r="SFY4" s="386">
        <v>45870</v>
      </c>
      <c r="SFZ4" s="386"/>
      <c r="SGA4" s="386"/>
      <c r="SGB4" s="386"/>
      <c r="SGC4" s="386"/>
      <c r="SGD4" s="386"/>
      <c r="SGE4" s="386"/>
      <c r="SGF4" s="386"/>
      <c r="SGG4" s="386"/>
      <c r="SGH4" s="386"/>
      <c r="SGI4" s="386"/>
      <c r="SGJ4" s="386"/>
      <c r="SGK4" s="386"/>
      <c r="SGL4" s="386"/>
      <c r="SGM4" s="386"/>
      <c r="SGN4" s="386"/>
      <c r="SGO4" s="386">
        <v>45870</v>
      </c>
      <c r="SGP4" s="386"/>
      <c r="SGQ4" s="386"/>
      <c r="SGR4" s="386"/>
      <c r="SGS4" s="386"/>
      <c r="SGT4" s="386"/>
      <c r="SGU4" s="386"/>
      <c r="SGV4" s="386"/>
      <c r="SGW4" s="386"/>
      <c r="SGX4" s="386"/>
      <c r="SGY4" s="386"/>
      <c r="SGZ4" s="386"/>
      <c r="SHA4" s="386"/>
      <c r="SHB4" s="386"/>
      <c r="SHC4" s="386"/>
      <c r="SHD4" s="386"/>
      <c r="SHE4" s="386">
        <v>45870</v>
      </c>
      <c r="SHF4" s="386"/>
      <c r="SHG4" s="386"/>
      <c r="SHH4" s="386"/>
      <c r="SHI4" s="386"/>
      <c r="SHJ4" s="386"/>
      <c r="SHK4" s="386"/>
      <c r="SHL4" s="386"/>
      <c r="SHM4" s="386"/>
      <c r="SHN4" s="386"/>
      <c r="SHO4" s="386"/>
      <c r="SHP4" s="386"/>
      <c r="SHQ4" s="386"/>
      <c r="SHR4" s="386"/>
      <c r="SHS4" s="386"/>
      <c r="SHT4" s="386"/>
      <c r="SHU4" s="386">
        <v>45870</v>
      </c>
      <c r="SHV4" s="386"/>
      <c r="SHW4" s="386"/>
      <c r="SHX4" s="386"/>
      <c r="SHY4" s="386"/>
      <c r="SHZ4" s="386"/>
      <c r="SIA4" s="386"/>
      <c r="SIB4" s="386"/>
      <c r="SIC4" s="386"/>
      <c r="SID4" s="386"/>
      <c r="SIE4" s="386"/>
      <c r="SIF4" s="386"/>
      <c r="SIG4" s="386"/>
      <c r="SIH4" s="386"/>
      <c r="SII4" s="386"/>
      <c r="SIJ4" s="386"/>
      <c r="SIK4" s="386">
        <v>45870</v>
      </c>
      <c r="SIL4" s="386"/>
      <c r="SIM4" s="386"/>
      <c r="SIN4" s="386"/>
      <c r="SIO4" s="386"/>
      <c r="SIP4" s="386"/>
      <c r="SIQ4" s="386"/>
      <c r="SIR4" s="386"/>
      <c r="SIS4" s="386"/>
      <c r="SIT4" s="386"/>
      <c r="SIU4" s="386"/>
      <c r="SIV4" s="386"/>
      <c r="SIW4" s="386"/>
      <c r="SIX4" s="386"/>
      <c r="SIY4" s="386"/>
      <c r="SIZ4" s="386"/>
      <c r="SJA4" s="386">
        <v>45870</v>
      </c>
      <c r="SJB4" s="386"/>
      <c r="SJC4" s="386"/>
      <c r="SJD4" s="386"/>
      <c r="SJE4" s="386"/>
      <c r="SJF4" s="386"/>
      <c r="SJG4" s="386"/>
      <c r="SJH4" s="386"/>
      <c r="SJI4" s="386"/>
      <c r="SJJ4" s="386"/>
      <c r="SJK4" s="386"/>
      <c r="SJL4" s="386"/>
      <c r="SJM4" s="386"/>
      <c r="SJN4" s="386"/>
      <c r="SJO4" s="386"/>
      <c r="SJP4" s="386"/>
      <c r="SJQ4" s="386">
        <v>45870</v>
      </c>
      <c r="SJR4" s="386"/>
      <c r="SJS4" s="386"/>
      <c r="SJT4" s="386"/>
      <c r="SJU4" s="386"/>
      <c r="SJV4" s="386"/>
      <c r="SJW4" s="386"/>
      <c r="SJX4" s="386"/>
      <c r="SJY4" s="386"/>
      <c r="SJZ4" s="386"/>
      <c r="SKA4" s="386"/>
      <c r="SKB4" s="386"/>
      <c r="SKC4" s="386"/>
      <c r="SKD4" s="386"/>
      <c r="SKE4" s="386"/>
      <c r="SKF4" s="386"/>
      <c r="SKG4" s="386">
        <v>45870</v>
      </c>
      <c r="SKH4" s="386"/>
      <c r="SKI4" s="386"/>
      <c r="SKJ4" s="386"/>
      <c r="SKK4" s="386"/>
      <c r="SKL4" s="386"/>
      <c r="SKM4" s="386"/>
      <c r="SKN4" s="386"/>
      <c r="SKO4" s="386"/>
      <c r="SKP4" s="386"/>
      <c r="SKQ4" s="386"/>
      <c r="SKR4" s="386"/>
      <c r="SKS4" s="386"/>
      <c r="SKT4" s="386"/>
      <c r="SKU4" s="386"/>
      <c r="SKV4" s="386"/>
      <c r="SKW4" s="386">
        <v>45870</v>
      </c>
      <c r="SKX4" s="386"/>
      <c r="SKY4" s="386"/>
      <c r="SKZ4" s="386"/>
      <c r="SLA4" s="386"/>
      <c r="SLB4" s="386"/>
      <c r="SLC4" s="386"/>
      <c r="SLD4" s="386"/>
      <c r="SLE4" s="386"/>
      <c r="SLF4" s="386"/>
      <c r="SLG4" s="386"/>
      <c r="SLH4" s="386"/>
      <c r="SLI4" s="386"/>
      <c r="SLJ4" s="386"/>
      <c r="SLK4" s="386"/>
      <c r="SLL4" s="386"/>
      <c r="SLM4" s="386">
        <v>45870</v>
      </c>
      <c r="SLN4" s="386"/>
      <c r="SLO4" s="386"/>
      <c r="SLP4" s="386"/>
      <c r="SLQ4" s="386"/>
      <c r="SLR4" s="386"/>
      <c r="SLS4" s="386"/>
      <c r="SLT4" s="386"/>
      <c r="SLU4" s="386"/>
      <c r="SLV4" s="386"/>
      <c r="SLW4" s="386"/>
      <c r="SLX4" s="386"/>
      <c r="SLY4" s="386"/>
      <c r="SLZ4" s="386"/>
      <c r="SMA4" s="386"/>
      <c r="SMB4" s="386"/>
      <c r="SMC4" s="386">
        <v>45870</v>
      </c>
      <c r="SMD4" s="386"/>
      <c r="SME4" s="386"/>
      <c r="SMF4" s="386"/>
      <c r="SMG4" s="386"/>
      <c r="SMH4" s="386"/>
      <c r="SMI4" s="386"/>
      <c r="SMJ4" s="386"/>
      <c r="SMK4" s="386"/>
      <c r="SML4" s="386"/>
      <c r="SMM4" s="386"/>
      <c r="SMN4" s="386"/>
      <c r="SMO4" s="386"/>
      <c r="SMP4" s="386"/>
      <c r="SMQ4" s="386"/>
      <c r="SMR4" s="386"/>
      <c r="SMS4" s="386">
        <v>45870</v>
      </c>
      <c r="SMT4" s="386"/>
      <c r="SMU4" s="386"/>
      <c r="SMV4" s="386"/>
      <c r="SMW4" s="386"/>
      <c r="SMX4" s="386"/>
      <c r="SMY4" s="386"/>
      <c r="SMZ4" s="386"/>
      <c r="SNA4" s="386"/>
      <c r="SNB4" s="386"/>
      <c r="SNC4" s="386"/>
      <c r="SND4" s="386"/>
      <c r="SNE4" s="386"/>
      <c r="SNF4" s="386"/>
      <c r="SNG4" s="386"/>
      <c r="SNH4" s="386"/>
      <c r="SNI4" s="386">
        <v>45870</v>
      </c>
      <c r="SNJ4" s="386"/>
      <c r="SNK4" s="386"/>
      <c r="SNL4" s="386"/>
      <c r="SNM4" s="386"/>
      <c r="SNN4" s="386"/>
      <c r="SNO4" s="386"/>
      <c r="SNP4" s="386"/>
      <c r="SNQ4" s="386"/>
      <c r="SNR4" s="386"/>
      <c r="SNS4" s="386"/>
      <c r="SNT4" s="386"/>
      <c r="SNU4" s="386"/>
      <c r="SNV4" s="386"/>
      <c r="SNW4" s="386"/>
      <c r="SNX4" s="386"/>
      <c r="SNY4" s="386">
        <v>45870</v>
      </c>
      <c r="SNZ4" s="386"/>
      <c r="SOA4" s="386"/>
      <c r="SOB4" s="386"/>
      <c r="SOC4" s="386"/>
      <c r="SOD4" s="386"/>
      <c r="SOE4" s="386"/>
      <c r="SOF4" s="386"/>
      <c r="SOG4" s="386"/>
      <c r="SOH4" s="386"/>
      <c r="SOI4" s="386"/>
      <c r="SOJ4" s="386"/>
      <c r="SOK4" s="386"/>
      <c r="SOL4" s="386"/>
      <c r="SOM4" s="386"/>
      <c r="SON4" s="386"/>
      <c r="SOO4" s="386">
        <v>45870</v>
      </c>
      <c r="SOP4" s="386"/>
      <c r="SOQ4" s="386"/>
      <c r="SOR4" s="386"/>
      <c r="SOS4" s="386"/>
      <c r="SOT4" s="386"/>
      <c r="SOU4" s="386"/>
      <c r="SOV4" s="386"/>
      <c r="SOW4" s="386"/>
      <c r="SOX4" s="386"/>
      <c r="SOY4" s="386"/>
      <c r="SOZ4" s="386"/>
      <c r="SPA4" s="386"/>
      <c r="SPB4" s="386"/>
      <c r="SPC4" s="386"/>
      <c r="SPD4" s="386"/>
      <c r="SPE4" s="386">
        <v>45870</v>
      </c>
      <c r="SPF4" s="386"/>
      <c r="SPG4" s="386"/>
      <c r="SPH4" s="386"/>
      <c r="SPI4" s="386"/>
      <c r="SPJ4" s="386"/>
      <c r="SPK4" s="386"/>
      <c r="SPL4" s="386"/>
      <c r="SPM4" s="386"/>
      <c r="SPN4" s="386"/>
      <c r="SPO4" s="386"/>
      <c r="SPP4" s="386"/>
      <c r="SPQ4" s="386"/>
      <c r="SPR4" s="386"/>
      <c r="SPS4" s="386"/>
      <c r="SPT4" s="386"/>
      <c r="SPU4" s="386">
        <v>45870</v>
      </c>
      <c r="SPV4" s="386"/>
      <c r="SPW4" s="386"/>
      <c r="SPX4" s="386"/>
      <c r="SPY4" s="386"/>
      <c r="SPZ4" s="386"/>
      <c r="SQA4" s="386"/>
      <c r="SQB4" s="386"/>
      <c r="SQC4" s="386"/>
      <c r="SQD4" s="386"/>
      <c r="SQE4" s="386"/>
      <c r="SQF4" s="386"/>
      <c r="SQG4" s="386"/>
      <c r="SQH4" s="386"/>
      <c r="SQI4" s="386"/>
      <c r="SQJ4" s="386"/>
      <c r="SQK4" s="386">
        <v>45870</v>
      </c>
      <c r="SQL4" s="386"/>
      <c r="SQM4" s="386"/>
      <c r="SQN4" s="386"/>
      <c r="SQO4" s="386"/>
      <c r="SQP4" s="386"/>
      <c r="SQQ4" s="386"/>
      <c r="SQR4" s="386"/>
      <c r="SQS4" s="386"/>
      <c r="SQT4" s="386"/>
      <c r="SQU4" s="386"/>
      <c r="SQV4" s="386"/>
      <c r="SQW4" s="386"/>
      <c r="SQX4" s="386"/>
      <c r="SQY4" s="386"/>
      <c r="SQZ4" s="386"/>
      <c r="SRA4" s="386">
        <v>45870</v>
      </c>
      <c r="SRB4" s="386"/>
      <c r="SRC4" s="386"/>
      <c r="SRD4" s="386"/>
      <c r="SRE4" s="386"/>
      <c r="SRF4" s="386"/>
      <c r="SRG4" s="386"/>
      <c r="SRH4" s="386"/>
      <c r="SRI4" s="386"/>
      <c r="SRJ4" s="386"/>
      <c r="SRK4" s="386"/>
      <c r="SRL4" s="386"/>
      <c r="SRM4" s="386"/>
      <c r="SRN4" s="386"/>
      <c r="SRO4" s="386"/>
      <c r="SRP4" s="386"/>
      <c r="SRQ4" s="386">
        <v>45870</v>
      </c>
      <c r="SRR4" s="386"/>
      <c r="SRS4" s="386"/>
      <c r="SRT4" s="386"/>
      <c r="SRU4" s="386"/>
      <c r="SRV4" s="386"/>
      <c r="SRW4" s="386"/>
      <c r="SRX4" s="386"/>
      <c r="SRY4" s="386"/>
      <c r="SRZ4" s="386"/>
      <c r="SSA4" s="386"/>
      <c r="SSB4" s="386"/>
      <c r="SSC4" s="386"/>
      <c r="SSD4" s="386"/>
      <c r="SSE4" s="386"/>
      <c r="SSF4" s="386"/>
      <c r="SSG4" s="386">
        <v>45870</v>
      </c>
      <c r="SSH4" s="386"/>
      <c r="SSI4" s="386"/>
      <c r="SSJ4" s="386"/>
      <c r="SSK4" s="386"/>
      <c r="SSL4" s="386"/>
      <c r="SSM4" s="386"/>
      <c r="SSN4" s="386"/>
      <c r="SSO4" s="386"/>
      <c r="SSP4" s="386"/>
      <c r="SSQ4" s="386"/>
      <c r="SSR4" s="386"/>
      <c r="SSS4" s="386"/>
      <c r="SST4" s="386"/>
      <c r="SSU4" s="386"/>
      <c r="SSV4" s="386"/>
      <c r="SSW4" s="386">
        <v>45870</v>
      </c>
      <c r="SSX4" s="386"/>
      <c r="SSY4" s="386"/>
      <c r="SSZ4" s="386"/>
      <c r="STA4" s="386"/>
      <c r="STB4" s="386"/>
      <c r="STC4" s="386"/>
      <c r="STD4" s="386"/>
      <c r="STE4" s="386"/>
      <c r="STF4" s="386"/>
      <c r="STG4" s="386"/>
      <c r="STH4" s="386"/>
      <c r="STI4" s="386"/>
      <c r="STJ4" s="386"/>
      <c r="STK4" s="386"/>
      <c r="STL4" s="386"/>
      <c r="STM4" s="386">
        <v>45870</v>
      </c>
      <c r="STN4" s="386"/>
      <c r="STO4" s="386"/>
      <c r="STP4" s="386"/>
      <c r="STQ4" s="386"/>
      <c r="STR4" s="386"/>
      <c r="STS4" s="386"/>
      <c r="STT4" s="386"/>
      <c r="STU4" s="386"/>
      <c r="STV4" s="386"/>
      <c r="STW4" s="386"/>
      <c r="STX4" s="386"/>
      <c r="STY4" s="386"/>
      <c r="STZ4" s="386"/>
      <c r="SUA4" s="386"/>
      <c r="SUB4" s="386"/>
      <c r="SUC4" s="386">
        <v>45870</v>
      </c>
      <c r="SUD4" s="386"/>
      <c r="SUE4" s="386"/>
      <c r="SUF4" s="386"/>
      <c r="SUG4" s="386"/>
      <c r="SUH4" s="386"/>
      <c r="SUI4" s="386"/>
      <c r="SUJ4" s="386"/>
      <c r="SUK4" s="386"/>
      <c r="SUL4" s="386"/>
      <c r="SUM4" s="386"/>
      <c r="SUN4" s="386"/>
      <c r="SUO4" s="386"/>
      <c r="SUP4" s="386"/>
      <c r="SUQ4" s="386"/>
      <c r="SUR4" s="386"/>
      <c r="SUS4" s="386">
        <v>45870</v>
      </c>
      <c r="SUT4" s="386"/>
      <c r="SUU4" s="386"/>
      <c r="SUV4" s="386"/>
      <c r="SUW4" s="386"/>
      <c r="SUX4" s="386"/>
      <c r="SUY4" s="386"/>
      <c r="SUZ4" s="386"/>
      <c r="SVA4" s="386"/>
      <c r="SVB4" s="386"/>
      <c r="SVC4" s="386"/>
      <c r="SVD4" s="386"/>
      <c r="SVE4" s="386"/>
      <c r="SVF4" s="386"/>
      <c r="SVG4" s="386"/>
      <c r="SVH4" s="386"/>
      <c r="SVI4" s="386">
        <v>45870</v>
      </c>
      <c r="SVJ4" s="386"/>
      <c r="SVK4" s="386"/>
      <c r="SVL4" s="386"/>
      <c r="SVM4" s="386"/>
      <c r="SVN4" s="386"/>
      <c r="SVO4" s="386"/>
      <c r="SVP4" s="386"/>
      <c r="SVQ4" s="386"/>
      <c r="SVR4" s="386"/>
      <c r="SVS4" s="386"/>
      <c r="SVT4" s="386"/>
      <c r="SVU4" s="386"/>
      <c r="SVV4" s="386"/>
      <c r="SVW4" s="386"/>
      <c r="SVX4" s="386"/>
      <c r="SVY4" s="386">
        <v>45870</v>
      </c>
      <c r="SVZ4" s="386"/>
      <c r="SWA4" s="386"/>
      <c r="SWB4" s="386"/>
      <c r="SWC4" s="386"/>
      <c r="SWD4" s="386"/>
      <c r="SWE4" s="386"/>
      <c r="SWF4" s="386"/>
      <c r="SWG4" s="386"/>
      <c r="SWH4" s="386"/>
      <c r="SWI4" s="386"/>
      <c r="SWJ4" s="386"/>
      <c r="SWK4" s="386"/>
      <c r="SWL4" s="386"/>
      <c r="SWM4" s="386"/>
      <c r="SWN4" s="386"/>
      <c r="SWO4" s="386">
        <v>45870</v>
      </c>
      <c r="SWP4" s="386"/>
      <c r="SWQ4" s="386"/>
      <c r="SWR4" s="386"/>
      <c r="SWS4" s="386"/>
      <c r="SWT4" s="386"/>
      <c r="SWU4" s="386"/>
      <c r="SWV4" s="386"/>
      <c r="SWW4" s="386"/>
      <c r="SWX4" s="386"/>
      <c r="SWY4" s="386"/>
      <c r="SWZ4" s="386"/>
      <c r="SXA4" s="386"/>
      <c r="SXB4" s="386"/>
      <c r="SXC4" s="386"/>
      <c r="SXD4" s="386"/>
      <c r="SXE4" s="386">
        <v>45870</v>
      </c>
      <c r="SXF4" s="386"/>
      <c r="SXG4" s="386"/>
      <c r="SXH4" s="386"/>
      <c r="SXI4" s="386"/>
      <c r="SXJ4" s="386"/>
      <c r="SXK4" s="386"/>
      <c r="SXL4" s="386"/>
      <c r="SXM4" s="386"/>
      <c r="SXN4" s="386"/>
      <c r="SXO4" s="386"/>
      <c r="SXP4" s="386"/>
      <c r="SXQ4" s="386"/>
      <c r="SXR4" s="386"/>
      <c r="SXS4" s="386"/>
      <c r="SXT4" s="386"/>
      <c r="SXU4" s="386">
        <v>45870</v>
      </c>
      <c r="SXV4" s="386"/>
      <c r="SXW4" s="386"/>
      <c r="SXX4" s="386"/>
      <c r="SXY4" s="386"/>
      <c r="SXZ4" s="386"/>
      <c r="SYA4" s="386"/>
      <c r="SYB4" s="386"/>
      <c r="SYC4" s="386"/>
      <c r="SYD4" s="386"/>
      <c r="SYE4" s="386"/>
      <c r="SYF4" s="386"/>
      <c r="SYG4" s="386"/>
      <c r="SYH4" s="386"/>
      <c r="SYI4" s="386"/>
      <c r="SYJ4" s="386"/>
      <c r="SYK4" s="386">
        <v>45870</v>
      </c>
      <c r="SYL4" s="386"/>
      <c r="SYM4" s="386"/>
      <c r="SYN4" s="386"/>
      <c r="SYO4" s="386"/>
      <c r="SYP4" s="386"/>
      <c r="SYQ4" s="386"/>
      <c r="SYR4" s="386"/>
      <c r="SYS4" s="386"/>
      <c r="SYT4" s="386"/>
      <c r="SYU4" s="386"/>
      <c r="SYV4" s="386"/>
      <c r="SYW4" s="386"/>
      <c r="SYX4" s="386"/>
      <c r="SYY4" s="386"/>
      <c r="SYZ4" s="386"/>
      <c r="SZA4" s="386">
        <v>45870</v>
      </c>
      <c r="SZB4" s="386"/>
      <c r="SZC4" s="386"/>
      <c r="SZD4" s="386"/>
      <c r="SZE4" s="386"/>
      <c r="SZF4" s="386"/>
      <c r="SZG4" s="386"/>
      <c r="SZH4" s="386"/>
      <c r="SZI4" s="386"/>
      <c r="SZJ4" s="386"/>
      <c r="SZK4" s="386"/>
      <c r="SZL4" s="386"/>
      <c r="SZM4" s="386"/>
      <c r="SZN4" s="386"/>
      <c r="SZO4" s="386"/>
      <c r="SZP4" s="386"/>
      <c r="SZQ4" s="386">
        <v>45870</v>
      </c>
      <c r="SZR4" s="386"/>
      <c r="SZS4" s="386"/>
      <c r="SZT4" s="386"/>
      <c r="SZU4" s="386"/>
      <c r="SZV4" s="386"/>
      <c r="SZW4" s="386"/>
      <c r="SZX4" s="386"/>
      <c r="SZY4" s="386"/>
      <c r="SZZ4" s="386"/>
      <c r="TAA4" s="386"/>
      <c r="TAB4" s="386"/>
      <c r="TAC4" s="386"/>
      <c r="TAD4" s="386"/>
      <c r="TAE4" s="386"/>
      <c r="TAF4" s="386"/>
      <c r="TAG4" s="386">
        <v>45870</v>
      </c>
      <c r="TAH4" s="386"/>
      <c r="TAI4" s="386"/>
      <c r="TAJ4" s="386"/>
      <c r="TAK4" s="386"/>
      <c r="TAL4" s="386"/>
      <c r="TAM4" s="386"/>
      <c r="TAN4" s="386"/>
      <c r="TAO4" s="386"/>
      <c r="TAP4" s="386"/>
      <c r="TAQ4" s="386"/>
      <c r="TAR4" s="386"/>
      <c r="TAS4" s="386"/>
      <c r="TAT4" s="386"/>
      <c r="TAU4" s="386"/>
      <c r="TAV4" s="386"/>
      <c r="TAW4" s="386">
        <v>45870</v>
      </c>
      <c r="TAX4" s="386"/>
      <c r="TAY4" s="386"/>
      <c r="TAZ4" s="386"/>
      <c r="TBA4" s="386"/>
      <c r="TBB4" s="386"/>
      <c r="TBC4" s="386"/>
      <c r="TBD4" s="386"/>
      <c r="TBE4" s="386"/>
      <c r="TBF4" s="386"/>
      <c r="TBG4" s="386"/>
      <c r="TBH4" s="386"/>
      <c r="TBI4" s="386"/>
      <c r="TBJ4" s="386"/>
      <c r="TBK4" s="386"/>
      <c r="TBL4" s="386"/>
      <c r="TBM4" s="386">
        <v>45870</v>
      </c>
      <c r="TBN4" s="386"/>
      <c r="TBO4" s="386"/>
      <c r="TBP4" s="386"/>
      <c r="TBQ4" s="386"/>
      <c r="TBR4" s="386"/>
      <c r="TBS4" s="386"/>
      <c r="TBT4" s="386"/>
      <c r="TBU4" s="386"/>
      <c r="TBV4" s="386"/>
      <c r="TBW4" s="386"/>
      <c r="TBX4" s="386"/>
      <c r="TBY4" s="386"/>
      <c r="TBZ4" s="386"/>
      <c r="TCA4" s="386"/>
      <c r="TCB4" s="386"/>
      <c r="TCC4" s="386">
        <v>45870</v>
      </c>
      <c r="TCD4" s="386"/>
      <c r="TCE4" s="386"/>
      <c r="TCF4" s="386"/>
      <c r="TCG4" s="386"/>
      <c r="TCH4" s="386"/>
      <c r="TCI4" s="386"/>
      <c r="TCJ4" s="386"/>
      <c r="TCK4" s="386"/>
      <c r="TCL4" s="386"/>
      <c r="TCM4" s="386"/>
      <c r="TCN4" s="386"/>
      <c r="TCO4" s="386"/>
      <c r="TCP4" s="386"/>
      <c r="TCQ4" s="386"/>
      <c r="TCR4" s="386"/>
      <c r="TCS4" s="386">
        <v>45870</v>
      </c>
      <c r="TCT4" s="386"/>
      <c r="TCU4" s="386"/>
      <c r="TCV4" s="386"/>
      <c r="TCW4" s="386"/>
      <c r="TCX4" s="386"/>
      <c r="TCY4" s="386"/>
      <c r="TCZ4" s="386"/>
      <c r="TDA4" s="386"/>
      <c r="TDB4" s="386"/>
      <c r="TDC4" s="386"/>
      <c r="TDD4" s="386"/>
      <c r="TDE4" s="386"/>
      <c r="TDF4" s="386"/>
      <c r="TDG4" s="386"/>
      <c r="TDH4" s="386"/>
      <c r="TDI4" s="386">
        <v>45870</v>
      </c>
      <c r="TDJ4" s="386"/>
      <c r="TDK4" s="386"/>
      <c r="TDL4" s="386"/>
      <c r="TDM4" s="386"/>
      <c r="TDN4" s="386"/>
      <c r="TDO4" s="386"/>
      <c r="TDP4" s="386"/>
      <c r="TDQ4" s="386"/>
      <c r="TDR4" s="386"/>
      <c r="TDS4" s="386"/>
      <c r="TDT4" s="386"/>
      <c r="TDU4" s="386"/>
      <c r="TDV4" s="386"/>
      <c r="TDW4" s="386"/>
      <c r="TDX4" s="386"/>
      <c r="TDY4" s="386">
        <v>45870</v>
      </c>
      <c r="TDZ4" s="386"/>
      <c r="TEA4" s="386"/>
      <c r="TEB4" s="386"/>
      <c r="TEC4" s="386"/>
      <c r="TED4" s="386"/>
      <c r="TEE4" s="386"/>
      <c r="TEF4" s="386"/>
      <c r="TEG4" s="386"/>
      <c r="TEH4" s="386"/>
      <c r="TEI4" s="386"/>
      <c r="TEJ4" s="386"/>
      <c r="TEK4" s="386"/>
      <c r="TEL4" s="386"/>
      <c r="TEM4" s="386"/>
      <c r="TEN4" s="386"/>
      <c r="TEO4" s="386">
        <v>45870</v>
      </c>
      <c r="TEP4" s="386"/>
      <c r="TEQ4" s="386"/>
      <c r="TER4" s="386"/>
      <c r="TES4" s="386"/>
      <c r="TET4" s="386"/>
      <c r="TEU4" s="386"/>
      <c r="TEV4" s="386"/>
      <c r="TEW4" s="386"/>
      <c r="TEX4" s="386"/>
      <c r="TEY4" s="386"/>
      <c r="TEZ4" s="386"/>
      <c r="TFA4" s="386"/>
      <c r="TFB4" s="386"/>
      <c r="TFC4" s="386"/>
      <c r="TFD4" s="386"/>
      <c r="TFE4" s="386">
        <v>45870</v>
      </c>
      <c r="TFF4" s="386"/>
      <c r="TFG4" s="386"/>
      <c r="TFH4" s="386"/>
      <c r="TFI4" s="386"/>
      <c r="TFJ4" s="386"/>
      <c r="TFK4" s="386"/>
      <c r="TFL4" s="386"/>
      <c r="TFM4" s="386"/>
      <c r="TFN4" s="386"/>
      <c r="TFO4" s="386"/>
      <c r="TFP4" s="386"/>
      <c r="TFQ4" s="386"/>
      <c r="TFR4" s="386"/>
      <c r="TFS4" s="386"/>
      <c r="TFT4" s="386"/>
      <c r="TFU4" s="386">
        <v>45870</v>
      </c>
      <c r="TFV4" s="386"/>
      <c r="TFW4" s="386"/>
      <c r="TFX4" s="386"/>
      <c r="TFY4" s="386"/>
      <c r="TFZ4" s="386"/>
      <c r="TGA4" s="386"/>
      <c r="TGB4" s="386"/>
      <c r="TGC4" s="386"/>
      <c r="TGD4" s="386"/>
      <c r="TGE4" s="386"/>
      <c r="TGF4" s="386"/>
      <c r="TGG4" s="386"/>
      <c r="TGH4" s="386"/>
      <c r="TGI4" s="386"/>
      <c r="TGJ4" s="386"/>
      <c r="TGK4" s="386">
        <v>45870</v>
      </c>
      <c r="TGL4" s="386"/>
      <c r="TGM4" s="386"/>
      <c r="TGN4" s="386"/>
      <c r="TGO4" s="386"/>
      <c r="TGP4" s="386"/>
      <c r="TGQ4" s="386"/>
      <c r="TGR4" s="386"/>
      <c r="TGS4" s="386"/>
      <c r="TGT4" s="386"/>
      <c r="TGU4" s="386"/>
      <c r="TGV4" s="386"/>
      <c r="TGW4" s="386"/>
      <c r="TGX4" s="386"/>
      <c r="TGY4" s="386"/>
      <c r="TGZ4" s="386"/>
      <c r="THA4" s="386">
        <v>45870</v>
      </c>
      <c r="THB4" s="386"/>
      <c r="THC4" s="386"/>
      <c r="THD4" s="386"/>
      <c r="THE4" s="386"/>
      <c r="THF4" s="386"/>
      <c r="THG4" s="386"/>
      <c r="THH4" s="386"/>
      <c r="THI4" s="386"/>
      <c r="THJ4" s="386"/>
      <c r="THK4" s="386"/>
      <c r="THL4" s="386"/>
      <c r="THM4" s="386"/>
      <c r="THN4" s="386"/>
      <c r="THO4" s="386"/>
      <c r="THP4" s="386"/>
      <c r="THQ4" s="386">
        <v>45870</v>
      </c>
      <c r="THR4" s="386"/>
      <c r="THS4" s="386"/>
      <c r="THT4" s="386"/>
      <c r="THU4" s="386"/>
      <c r="THV4" s="386"/>
      <c r="THW4" s="386"/>
      <c r="THX4" s="386"/>
      <c r="THY4" s="386"/>
      <c r="THZ4" s="386"/>
      <c r="TIA4" s="386"/>
      <c r="TIB4" s="386"/>
      <c r="TIC4" s="386"/>
      <c r="TID4" s="386"/>
      <c r="TIE4" s="386"/>
      <c r="TIF4" s="386"/>
      <c r="TIG4" s="386">
        <v>45870</v>
      </c>
      <c r="TIH4" s="386"/>
      <c r="TII4" s="386"/>
      <c r="TIJ4" s="386"/>
      <c r="TIK4" s="386"/>
      <c r="TIL4" s="386"/>
      <c r="TIM4" s="386"/>
      <c r="TIN4" s="386"/>
      <c r="TIO4" s="386"/>
      <c r="TIP4" s="386"/>
      <c r="TIQ4" s="386"/>
      <c r="TIR4" s="386"/>
      <c r="TIS4" s="386"/>
      <c r="TIT4" s="386"/>
      <c r="TIU4" s="386"/>
      <c r="TIV4" s="386"/>
      <c r="TIW4" s="386">
        <v>45870</v>
      </c>
      <c r="TIX4" s="386"/>
      <c r="TIY4" s="386"/>
      <c r="TIZ4" s="386"/>
      <c r="TJA4" s="386"/>
      <c r="TJB4" s="386"/>
      <c r="TJC4" s="386"/>
      <c r="TJD4" s="386"/>
      <c r="TJE4" s="386"/>
      <c r="TJF4" s="386"/>
      <c r="TJG4" s="386"/>
      <c r="TJH4" s="386"/>
      <c r="TJI4" s="386"/>
      <c r="TJJ4" s="386"/>
      <c r="TJK4" s="386"/>
      <c r="TJL4" s="386"/>
      <c r="TJM4" s="386">
        <v>45870</v>
      </c>
      <c r="TJN4" s="386"/>
      <c r="TJO4" s="386"/>
      <c r="TJP4" s="386"/>
      <c r="TJQ4" s="386"/>
      <c r="TJR4" s="386"/>
      <c r="TJS4" s="386"/>
      <c r="TJT4" s="386"/>
      <c r="TJU4" s="386"/>
      <c r="TJV4" s="386"/>
      <c r="TJW4" s="386"/>
      <c r="TJX4" s="386"/>
      <c r="TJY4" s="386"/>
      <c r="TJZ4" s="386"/>
      <c r="TKA4" s="386"/>
      <c r="TKB4" s="386"/>
      <c r="TKC4" s="386">
        <v>45870</v>
      </c>
      <c r="TKD4" s="386"/>
      <c r="TKE4" s="386"/>
      <c r="TKF4" s="386"/>
      <c r="TKG4" s="386"/>
      <c r="TKH4" s="386"/>
      <c r="TKI4" s="386"/>
      <c r="TKJ4" s="386"/>
      <c r="TKK4" s="386"/>
      <c r="TKL4" s="386"/>
      <c r="TKM4" s="386"/>
      <c r="TKN4" s="386"/>
      <c r="TKO4" s="386"/>
      <c r="TKP4" s="386"/>
      <c r="TKQ4" s="386"/>
      <c r="TKR4" s="386"/>
      <c r="TKS4" s="386">
        <v>45870</v>
      </c>
      <c r="TKT4" s="386"/>
      <c r="TKU4" s="386"/>
      <c r="TKV4" s="386"/>
      <c r="TKW4" s="386"/>
      <c r="TKX4" s="386"/>
      <c r="TKY4" s="386"/>
      <c r="TKZ4" s="386"/>
      <c r="TLA4" s="386"/>
      <c r="TLB4" s="386"/>
      <c r="TLC4" s="386"/>
      <c r="TLD4" s="386"/>
      <c r="TLE4" s="386"/>
      <c r="TLF4" s="386"/>
      <c r="TLG4" s="386"/>
      <c r="TLH4" s="386"/>
      <c r="TLI4" s="386">
        <v>45870</v>
      </c>
      <c r="TLJ4" s="386"/>
      <c r="TLK4" s="386"/>
      <c r="TLL4" s="386"/>
      <c r="TLM4" s="386"/>
      <c r="TLN4" s="386"/>
      <c r="TLO4" s="386"/>
      <c r="TLP4" s="386"/>
      <c r="TLQ4" s="386"/>
      <c r="TLR4" s="386"/>
      <c r="TLS4" s="386"/>
      <c r="TLT4" s="386"/>
      <c r="TLU4" s="386"/>
      <c r="TLV4" s="386"/>
      <c r="TLW4" s="386"/>
      <c r="TLX4" s="386"/>
      <c r="TLY4" s="386">
        <v>45870</v>
      </c>
      <c r="TLZ4" s="386"/>
      <c r="TMA4" s="386"/>
      <c r="TMB4" s="386"/>
      <c r="TMC4" s="386"/>
      <c r="TMD4" s="386"/>
      <c r="TME4" s="386"/>
      <c r="TMF4" s="386"/>
      <c r="TMG4" s="386"/>
      <c r="TMH4" s="386"/>
      <c r="TMI4" s="386"/>
      <c r="TMJ4" s="386"/>
      <c r="TMK4" s="386"/>
      <c r="TML4" s="386"/>
      <c r="TMM4" s="386"/>
      <c r="TMN4" s="386"/>
      <c r="TMO4" s="386">
        <v>45870</v>
      </c>
      <c r="TMP4" s="386"/>
      <c r="TMQ4" s="386"/>
      <c r="TMR4" s="386"/>
      <c r="TMS4" s="386"/>
      <c r="TMT4" s="386"/>
      <c r="TMU4" s="386"/>
      <c r="TMV4" s="386"/>
      <c r="TMW4" s="386"/>
      <c r="TMX4" s="386"/>
      <c r="TMY4" s="386"/>
      <c r="TMZ4" s="386"/>
      <c r="TNA4" s="386"/>
      <c r="TNB4" s="386"/>
      <c r="TNC4" s="386"/>
      <c r="TND4" s="386"/>
      <c r="TNE4" s="386">
        <v>45870</v>
      </c>
      <c r="TNF4" s="386"/>
      <c r="TNG4" s="386"/>
      <c r="TNH4" s="386"/>
      <c r="TNI4" s="386"/>
      <c r="TNJ4" s="386"/>
      <c r="TNK4" s="386"/>
      <c r="TNL4" s="386"/>
      <c r="TNM4" s="386"/>
      <c r="TNN4" s="386"/>
      <c r="TNO4" s="386"/>
      <c r="TNP4" s="386"/>
      <c r="TNQ4" s="386"/>
      <c r="TNR4" s="386"/>
      <c r="TNS4" s="386"/>
      <c r="TNT4" s="386"/>
      <c r="TNU4" s="386">
        <v>45870</v>
      </c>
      <c r="TNV4" s="386"/>
      <c r="TNW4" s="386"/>
      <c r="TNX4" s="386"/>
      <c r="TNY4" s="386"/>
      <c r="TNZ4" s="386"/>
      <c r="TOA4" s="386"/>
      <c r="TOB4" s="386"/>
      <c r="TOC4" s="386"/>
      <c r="TOD4" s="386"/>
      <c r="TOE4" s="386"/>
      <c r="TOF4" s="386"/>
      <c r="TOG4" s="386"/>
      <c r="TOH4" s="386"/>
      <c r="TOI4" s="386"/>
      <c r="TOJ4" s="386"/>
      <c r="TOK4" s="386">
        <v>45870</v>
      </c>
      <c r="TOL4" s="386"/>
      <c r="TOM4" s="386"/>
      <c r="TON4" s="386"/>
      <c r="TOO4" s="386"/>
      <c r="TOP4" s="386"/>
      <c r="TOQ4" s="386"/>
      <c r="TOR4" s="386"/>
      <c r="TOS4" s="386"/>
      <c r="TOT4" s="386"/>
      <c r="TOU4" s="386"/>
      <c r="TOV4" s="386"/>
      <c r="TOW4" s="386"/>
      <c r="TOX4" s="386"/>
      <c r="TOY4" s="386"/>
      <c r="TOZ4" s="386"/>
      <c r="TPA4" s="386">
        <v>45870</v>
      </c>
      <c r="TPB4" s="386"/>
      <c r="TPC4" s="386"/>
      <c r="TPD4" s="386"/>
      <c r="TPE4" s="386"/>
      <c r="TPF4" s="386"/>
      <c r="TPG4" s="386"/>
      <c r="TPH4" s="386"/>
      <c r="TPI4" s="386"/>
      <c r="TPJ4" s="386"/>
      <c r="TPK4" s="386"/>
      <c r="TPL4" s="386"/>
      <c r="TPM4" s="386"/>
      <c r="TPN4" s="386"/>
      <c r="TPO4" s="386"/>
      <c r="TPP4" s="386"/>
      <c r="TPQ4" s="386">
        <v>45870</v>
      </c>
      <c r="TPR4" s="386"/>
      <c r="TPS4" s="386"/>
      <c r="TPT4" s="386"/>
      <c r="TPU4" s="386"/>
      <c r="TPV4" s="386"/>
      <c r="TPW4" s="386"/>
      <c r="TPX4" s="386"/>
      <c r="TPY4" s="386"/>
      <c r="TPZ4" s="386"/>
      <c r="TQA4" s="386"/>
      <c r="TQB4" s="386"/>
      <c r="TQC4" s="386"/>
      <c r="TQD4" s="386"/>
      <c r="TQE4" s="386"/>
      <c r="TQF4" s="386"/>
      <c r="TQG4" s="386">
        <v>45870</v>
      </c>
      <c r="TQH4" s="386"/>
      <c r="TQI4" s="386"/>
      <c r="TQJ4" s="386"/>
      <c r="TQK4" s="386"/>
      <c r="TQL4" s="386"/>
      <c r="TQM4" s="386"/>
      <c r="TQN4" s="386"/>
      <c r="TQO4" s="386"/>
      <c r="TQP4" s="386"/>
      <c r="TQQ4" s="386"/>
      <c r="TQR4" s="386"/>
      <c r="TQS4" s="386"/>
      <c r="TQT4" s="386"/>
      <c r="TQU4" s="386"/>
      <c r="TQV4" s="386"/>
      <c r="TQW4" s="386">
        <v>45870</v>
      </c>
      <c r="TQX4" s="386"/>
      <c r="TQY4" s="386"/>
      <c r="TQZ4" s="386"/>
      <c r="TRA4" s="386"/>
      <c r="TRB4" s="386"/>
      <c r="TRC4" s="386"/>
      <c r="TRD4" s="386"/>
      <c r="TRE4" s="386"/>
      <c r="TRF4" s="386"/>
      <c r="TRG4" s="386"/>
      <c r="TRH4" s="386"/>
      <c r="TRI4" s="386"/>
      <c r="TRJ4" s="386"/>
      <c r="TRK4" s="386"/>
      <c r="TRL4" s="386"/>
      <c r="TRM4" s="386">
        <v>45870</v>
      </c>
      <c r="TRN4" s="386"/>
      <c r="TRO4" s="386"/>
      <c r="TRP4" s="386"/>
      <c r="TRQ4" s="386"/>
      <c r="TRR4" s="386"/>
      <c r="TRS4" s="386"/>
      <c r="TRT4" s="386"/>
      <c r="TRU4" s="386"/>
      <c r="TRV4" s="386"/>
      <c r="TRW4" s="386"/>
      <c r="TRX4" s="386"/>
      <c r="TRY4" s="386"/>
      <c r="TRZ4" s="386"/>
      <c r="TSA4" s="386"/>
      <c r="TSB4" s="386"/>
      <c r="TSC4" s="386">
        <v>45870</v>
      </c>
      <c r="TSD4" s="386"/>
      <c r="TSE4" s="386"/>
      <c r="TSF4" s="386"/>
      <c r="TSG4" s="386"/>
      <c r="TSH4" s="386"/>
      <c r="TSI4" s="386"/>
      <c r="TSJ4" s="386"/>
      <c r="TSK4" s="386"/>
      <c r="TSL4" s="386"/>
      <c r="TSM4" s="386"/>
      <c r="TSN4" s="386"/>
      <c r="TSO4" s="386"/>
      <c r="TSP4" s="386"/>
      <c r="TSQ4" s="386"/>
      <c r="TSR4" s="386"/>
      <c r="TSS4" s="386">
        <v>45870</v>
      </c>
      <c r="TST4" s="386"/>
      <c r="TSU4" s="386"/>
      <c r="TSV4" s="386"/>
      <c r="TSW4" s="386"/>
      <c r="TSX4" s="386"/>
      <c r="TSY4" s="386"/>
      <c r="TSZ4" s="386"/>
      <c r="TTA4" s="386"/>
      <c r="TTB4" s="386"/>
      <c r="TTC4" s="386"/>
      <c r="TTD4" s="386"/>
      <c r="TTE4" s="386"/>
      <c r="TTF4" s="386"/>
      <c r="TTG4" s="386"/>
      <c r="TTH4" s="386"/>
      <c r="TTI4" s="386">
        <v>45870</v>
      </c>
      <c r="TTJ4" s="386"/>
      <c r="TTK4" s="386"/>
      <c r="TTL4" s="386"/>
      <c r="TTM4" s="386"/>
      <c r="TTN4" s="386"/>
      <c r="TTO4" s="386"/>
      <c r="TTP4" s="386"/>
      <c r="TTQ4" s="386"/>
      <c r="TTR4" s="386"/>
      <c r="TTS4" s="386"/>
      <c r="TTT4" s="386"/>
      <c r="TTU4" s="386"/>
      <c r="TTV4" s="386"/>
      <c r="TTW4" s="386"/>
      <c r="TTX4" s="386"/>
      <c r="TTY4" s="386">
        <v>45870</v>
      </c>
      <c r="TTZ4" s="386"/>
      <c r="TUA4" s="386"/>
      <c r="TUB4" s="386"/>
      <c r="TUC4" s="386"/>
      <c r="TUD4" s="386"/>
      <c r="TUE4" s="386"/>
      <c r="TUF4" s="386"/>
      <c r="TUG4" s="386"/>
      <c r="TUH4" s="386"/>
      <c r="TUI4" s="386"/>
      <c r="TUJ4" s="386"/>
      <c r="TUK4" s="386"/>
      <c r="TUL4" s="386"/>
      <c r="TUM4" s="386"/>
      <c r="TUN4" s="386"/>
      <c r="TUO4" s="386">
        <v>45870</v>
      </c>
      <c r="TUP4" s="386"/>
      <c r="TUQ4" s="386"/>
      <c r="TUR4" s="386"/>
      <c r="TUS4" s="386"/>
      <c r="TUT4" s="386"/>
      <c r="TUU4" s="386"/>
      <c r="TUV4" s="386"/>
      <c r="TUW4" s="386"/>
      <c r="TUX4" s="386"/>
      <c r="TUY4" s="386"/>
      <c r="TUZ4" s="386"/>
      <c r="TVA4" s="386"/>
      <c r="TVB4" s="386"/>
      <c r="TVC4" s="386"/>
      <c r="TVD4" s="386"/>
      <c r="TVE4" s="386">
        <v>45870</v>
      </c>
      <c r="TVF4" s="386"/>
      <c r="TVG4" s="386"/>
      <c r="TVH4" s="386"/>
      <c r="TVI4" s="386"/>
      <c r="TVJ4" s="386"/>
      <c r="TVK4" s="386"/>
      <c r="TVL4" s="386"/>
      <c r="TVM4" s="386"/>
      <c r="TVN4" s="386"/>
      <c r="TVO4" s="386"/>
      <c r="TVP4" s="386"/>
      <c r="TVQ4" s="386"/>
      <c r="TVR4" s="386"/>
      <c r="TVS4" s="386"/>
      <c r="TVT4" s="386"/>
      <c r="TVU4" s="386">
        <v>45870</v>
      </c>
      <c r="TVV4" s="386"/>
      <c r="TVW4" s="386"/>
      <c r="TVX4" s="386"/>
      <c r="TVY4" s="386"/>
      <c r="TVZ4" s="386"/>
      <c r="TWA4" s="386"/>
      <c r="TWB4" s="386"/>
      <c r="TWC4" s="386"/>
      <c r="TWD4" s="386"/>
      <c r="TWE4" s="386"/>
      <c r="TWF4" s="386"/>
      <c r="TWG4" s="386"/>
      <c r="TWH4" s="386"/>
      <c r="TWI4" s="386"/>
      <c r="TWJ4" s="386"/>
      <c r="TWK4" s="386">
        <v>45870</v>
      </c>
      <c r="TWL4" s="386"/>
      <c r="TWM4" s="386"/>
      <c r="TWN4" s="386"/>
      <c r="TWO4" s="386"/>
      <c r="TWP4" s="386"/>
      <c r="TWQ4" s="386"/>
      <c r="TWR4" s="386"/>
      <c r="TWS4" s="386"/>
      <c r="TWT4" s="386"/>
      <c r="TWU4" s="386"/>
      <c r="TWV4" s="386"/>
      <c r="TWW4" s="386"/>
      <c r="TWX4" s="386"/>
      <c r="TWY4" s="386"/>
      <c r="TWZ4" s="386"/>
      <c r="TXA4" s="386">
        <v>45870</v>
      </c>
      <c r="TXB4" s="386"/>
      <c r="TXC4" s="386"/>
      <c r="TXD4" s="386"/>
      <c r="TXE4" s="386"/>
      <c r="TXF4" s="386"/>
      <c r="TXG4" s="386"/>
      <c r="TXH4" s="386"/>
      <c r="TXI4" s="386"/>
      <c r="TXJ4" s="386"/>
      <c r="TXK4" s="386"/>
      <c r="TXL4" s="386"/>
      <c r="TXM4" s="386"/>
      <c r="TXN4" s="386"/>
      <c r="TXO4" s="386"/>
      <c r="TXP4" s="386"/>
      <c r="TXQ4" s="386">
        <v>45870</v>
      </c>
      <c r="TXR4" s="386"/>
      <c r="TXS4" s="386"/>
      <c r="TXT4" s="386"/>
      <c r="TXU4" s="386"/>
      <c r="TXV4" s="386"/>
      <c r="TXW4" s="386"/>
      <c r="TXX4" s="386"/>
      <c r="TXY4" s="386"/>
      <c r="TXZ4" s="386"/>
      <c r="TYA4" s="386"/>
      <c r="TYB4" s="386"/>
      <c r="TYC4" s="386"/>
      <c r="TYD4" s="386"/>
      <c r="TYE4" s="386"/>
      <c r="TYF4" s="386"/>
      <c r="TYG4" s="386">
        <v>45870</v>
      </c>
      <c r="TYH4" s="386"/>
      <c r="TYI4" s="386"/>
      <c r="TYJ4" s="386"/>
      <c r="TYK4" s="386"/>
      <c r="TYL4" s="386"/>
      <c r="TYM4" s="386"/>
      <c r="TYN4" s="386"/>
      <c r="TYO4" s="386"/>
      <c r="TYP4" s="386"/>
      <c r="TYQ4" s="386"/>
      <c r="TYR4" s="386"/>
      <c r="TYS4" s="386"/>
      <c r="TYT4" s="386"/>
      <c r="TYU4" s="386"/>
      <c r="TYV4" s="386"/>
      <c r="TYW4" s="386">
        <v>45870</v>
      </c>
      <c r="TYX4" s="386"/>
      <c r="TYY4" s="386"/>
      <c r="TYZ4" s="386"/>
      <c r="TZA4" s="386"/>
      <c r="TZB4" s="386"/>
      <c r="TZC4" s="386"/>
      <c r="TZD4" s="386"/>
      <c r="TZE4" s="386"/>
      <c r="TZF4" s="386"/>
      <c r="TZG4" s="386"/>
      <c r="TZH4" s="386"/>
      <c r="TZI4" s="386"/>
      <c r="TZJ4" s="386"/>
      <c r="TZK4" s="386"/>
      <c r="TZL4" s="386"/>
      <c r="TZM4" s="386">
        <v>45870</v>
      </c>
      <c r="TZN4" s="386"/>
      <c r="TZO4" s="386"/>
      <c r="TZP4" s="386"/>
      <c r="TZQ4" s="386"/>
      <c r="TZR4" s="386"/>
      <c r="TZS4" s="386"/>
      <c r="TZT4" s="386"/>
      <c r="TZU4" s="386"/>
      <c r="TZV4" s="386"/>
      <c r="TZW4" s="386"/>
      <c r="TZX4" s="386"/>
      <c r="TZY4" s="386"/>
      <c r="TZZ4" s="386"/>
      <c r="UAA4" s="386"/>
      <c r="UAB4" s="386"/>
      <c r="UAC4" s="386">
        <v>45870</v>
      </c>
      <c r="UAD4" s="386"/>
      <c r="UAE4" s="386"/>
      <c r="UAF4" s="386"/>
      <c r="UAG4" s="386"/>
      <c r="UAH4" s="386"/>
      <c r="UAI4" s="386"/>
      <c r="UAJ4" s="386"/>
      <c r="UAK4" s="386"/>
      <c r="UAL4" s="386"/>
      <c r="UAM4" s="386"/>
      <c r="UAN4" s="386"/>
      <c r="UAO4" s="386"/>
      <c r="UAP4" s="386"/>
      <c r="UAQ4" s="386"/>
      <c r="UAR4" s="386"/>
      <c r="UAS4" s="386">
        <v>45870</v>
      </c>
      <c r="UAT4" s="386"/>
      <c r="UAU4" s="386"/>
      <c r="UAV4" s="386"/>
      <c r="UAW4" s="386"/>
      <c r="UAX4" s="386"/>
      <c r="UAY4" s="386"/>
      <c r="UAZ4" s="386"/>
      <c r="UBA4" s="386"/>
      <c r="UBB4" s="386"/>
      <c r="UBC4" s="386"/>
      <c r="UBD4" s="386"/>
      <c r="UBE4" s="386"/>
      <c r="UBF4" s="386"/>
      <c r="UBG4" s="386"/>
      <c r="UBH4" s="386"/>
      <c r="UBI4" s="386">
        <v>45870</v>
      </c>
      <c r="UBJ4" s="386"/>
      <c r="UBK4" s="386"/>
      <c r="UBL4" s="386"/>
      <c r="UBM4" s="386"/>
      <c r="UBN4" s="386"/>
      <c r="UBO4" s="386"/>
      <c r="UBP4" s="386"/>
      <c r="UBQ4" s="386"/>
      <c r="UBR4" s="386"/>
      <c r="UBS4" s="386"/>
      <c r="UBT4" s="386"/>
      <c r="UBU4" s="386"/>
      <c r="UBV4" s="386"/>
      <c r="UBW4" s="386"/>
      <c r="UBX4" s="386"/>
      <c r="UBY4" s="386">
        <v>45870</v>
      </c>
      <c r="UBZ4" s="386"/>
      <c r="UCA4" s="386"/>
      <c r="UCB4" s="386"/>
      <c r="UCC4" s="386"/>
      <c r="UCD4" s="386"/>
      <c r="UCE4" s="386"/>
      <c r="UCF4" s="386"/>
      <c r="UCG4" s="386"/>
      <c r="UCH4" s="386"/>
      <c r="UCI4" s="386"/>
      <c r="UCJ4" s="386"/>
      <c r="UCK4" s="386"/>
      <c r="UCL4" s="386"/>
      <c r="UCM4" s="386"/>
      <c r="UCN4" s="386"/>
      <c r="UCO4" s="386">
        <v>45870</v>
      </c>
      <c r="UCP4" s="386"/>
      <c r="UCQ4" s="386"/>
      <c r="UCR4" s="386"/>
      <c r="UCS4" s="386"/>
      <c r="UCT4" s="386"/>
      <c r="UCU4" s="386"/>
      <c r="UCV4" s="386"/>
      <c r="UCW4" s="386"/>
      <c r="UCX4" s="386"/>
      <c r="UCY4" s="386"/>
      <c r="UCZ4" s="386"/>
      <c r="UDA4" s="386"/>
      <c r="UDB4" s="386"/>
      <c r="UDC4" s="386"/>
      <c r="UDD4" s="386"/>
      <c r="UDE4" s="386">
        <v>45870</v>
      </c>
      <c r="UDF4" s="386"/>
      <c r="UDG4" s="386"/>
      <c r="UDH4" s="386"/>
      <c r="UDI4" s="386"/>
      <c r="UDJ4" s="386"/>
      <c r="UDK4" s="386"/>
      <c r="UDL4" s="386"/>
      <c r="UDM4" s="386"/>
      <c r="UDN4" s="386"/>
      <c r="UDO4" s="386"/>
      <c r="UDP4" s="386"/>
      <c r="UDQ4" s="386"/>
      <c r="UDR4" s="386"/>
      <c r="UDS4" s="386"/>
      <c r="UDT4" s="386"/>
      <c r="UDU4" s="386">
        <v>45870</v>
      </c>
      <c r="UDV4" s="386"/>
      <c r="UDW4" s="386"/>
      <c r="UDX4" s="386"/>
      <c r="UDY4" s="386"/>
      <c r="UDZ4" s="386"/>
      <c r="UEA4" s="386"/>
      <c r="UEB4" s="386"/>
      <c r="UEC4" s="386"/>
      <c r="UED4" s="386"/>
      <c r="UEE4" s="386"/>
      <c r="UEF4" s="386"/>
      <c r="UEG4" s="386"/>
      <c r="UEH4" s="386"/>
      <c r="UEI4" s="386"/>
      <c r="UEJ4" s="386"/>
      <c r="UEK4" s="386">
        <v>45870</v>
      </c>
      <c r="UEL4" s="386"/>
      <c r="UEM4" s="386"/>
      <c r="UEN4" s="386"/>
      <c r="UEO4" s="386"/>
      <c r="UEP4" s="386"/>
      <c r="UEQ4" s="386"/>
      <c r="UER4" s="386"/>
      <c r="UES4" s="386"/>
      <c r="UET4" s="386"/>
      <c r="UEU4" s="386"/>
      <c r="UEV4" s="386"/>
      <c r="UEW4" s="386"/>
      <c r="UEX4" s="386"/>
      <c r="UEY4" s="386"/>
      <c r="UEZ4" s="386"/>
      <c r="UFA4" s="386">
        <v>45870</v>
      </c>
      <c r="UFB4" s="386"/>
      <c r="UFC4" s="386"/>
      <c r="UFD4" s="386"/>
      <c r="UFE4" s="386"/>
      <c r="UFF4" s="386"/>
      <c r="UFG4" s="386"/>
      <c r="UFH4" s="386"/>
      <c r="UFI4" s="386"/>
      <c r="UFJ4" s="386"/>
      <c r="UFK4" s="386"/>
      <c r="UFL4" s="386"/>
      <c r="UFM4" s="386"/>
      <c r="UFN4" s="386"/>
      <c r="UFO4" s="386"/>
      <c r="UFP4" s="386"/>
      <c r="UFQ4" s="386">
        <v>45870</v>
      </c>
      <c r="UFR4" s="386"/>
      <c r="UFS4" s="386"/>
      <c r="UFT4" s="386"/>
      <c r="UFU4" s="386"/>
      <c r="UFV4" s="386"/>
      <c r="UFW4" s="386"/>
      <c r="UFX4" s="386"/>
      <c r="UFY4" s="386"/>
      <c r="UFZ4" s="386"/>
      <c r="UGA4" s="386"/>
      <c r="UGB4" s="386"/>
      <c r="UGC4" s="386"/>
      <c r="UGD4" s="386"/>
      <c r="UGE4" s="386"/>
      <c r="UGF4" s="386"/>
      <c r="UGG4" s="386">
        <v>45870</v>
      </c>
      <c r="UGH4" s="386"/>
      <c r="UGI4" s="386"/>
      <c r="UGJ4" s="386"/>
      <c r="UGK4" s="386"/>
      <c r="UGL4" s="386"/>
      <c r="UGM4" s="386"/>
      <c r="UGN4" s="386"/>
      <c r="UGO4" s="386"/>
      <c r="UGP4" s="386"/>
      <c r="UGQ4" s="386"/>
      <c r="UGR4" s="386"/>
      <c r="UGS4" s="386"/>
      <c r="UGT4" s="386"/>
      <c r="UGU4" s="386"/>
      <c r="UGV4" s="386"/>
      <c r="UGW4" s="386">
        <v>45870</v>
      </c>
      <c r="UGX4" s="386"/>
      <c r="UGY4" s="386"/>
      <c r="UGZ4" s="386"/>
      <c r="UHA4" s="386"/>
      <c r="UHB4" s="386"/>
      <c r="UHC4" s="386"/>
      <c r="UHD4" s="386"/>
      <c r="UHE4" s="386"/>
      <c r="UHF4" s="386"/>
      <c r="UHG4" s="386"/>
      <c r="UHH4" s="386"/>
      <c r="UHI4" s="386"/>
      <c r="UHJ4" s="386"/>
      <c r="UHK4" s="386"/>
      <c r="UHL4" s="386"/>
      <c r="UHM4" s="386">
        <v>45870</v>
      </c>
      <c r="UHN4" s="386"/>
      <c r="UHO4" s="386"/>
      <c r="UHP4" s="386"/>
      <c r="UHQ4" s="386"/>
      <c r="UHR4" s="386"/>
      <c r="UHS4" s="386"/>
      <c r="UHT4" s="386"/>
      <c r="UHU4" s="386"/>
      <c r="UHV4" s="386"/>
      <c r="UHW4" s="386"/>
      <c r="UHX4" s="386"/>
      <c r="UHY4" s="386"/>
      <c r="UHZ4" s="386"/>
      <c r="UIA4" s="386"/>
      <c r="UIB4" s="386"/>
      <c r="UIC4" s="386">
        <v>45870</v>
      </c>
      <c r="UID4" s="386"/>
      <c r="UIE4" s="386"/>
      <c r="UIF4" s="386"/>
      <c r="UIG4" s="386"/>
      <c r="UIH4" s="386"/>
      <c r="UII4" s="386"/>
      <c r="UIJ4" s="386"/>
      <c r="UIK4" s="386"/>
      <c r="UIL4" s="386"/>
      <c r="UIM4" s="386"/>
      <c r="UIN4" s="386"/>
      <c r="UIO4" s="386"/>
      <c r="UIP4" s="386"/>
      <c r="UIQ4" s="386"/>
      <c r="UIR4" s="386"/>
      <c r="UIS4" s="386">
        <v>45870</v>
      </c>
      <c r="UIT4" s="386"/>
      <c r="UIU4" s="386"/>
      <c r="UIV4" s="386"/>
      <c r="UIW4" s="386"/>
      <c r="UIX4" s="386"/>
      <c r="UIY4" s="386"/>
      <c r="UIZ4" s="386"/>
      <c r="UJA4" s="386"/>
      <c r="UJB4" s="386"/>
      <c r="UJC4" s="386"/>
      <c r="UJD4" s="386"/>
      <c r="UJE4" s="386"/>
      <c r="UJF4" s="386"/>
      <c r="UJG4" s="386"/>
      <c r="UJH4" s="386"/>
      <c r="UJI4" s="386">
        <v>45870</v>
      </c>
      <c r="UJJ4" s="386"/>
      <c r="UJK4" s="386"/>
      <c r="UJL4" s="386"/>
      <c r="UJM4" s="386"/>
      <c r="UJN4" s="386"/>
      <c r="UJO4" s="386"/>
      <c r="UJP4" s="386"/>
      <c r="UJQ4" s="386"/>
      <c r="UJR4" s="386"/>
      <c r="UJS4" s="386"/>
      <c r="UJT4" s="386"/>
      <c r="UJU4" s="386"/>
      <c r="UJV4" s="386"/>
      <c r="UJW4" s="386"/>
      <c r="UJX4" s="386"/>
      <c r="UJY4" s="386">
        <v>45870</v>
      </c>
      <c r="UJZ4" s="386"/>
      <c r="UKA4" s="386"/>
      <c r="UKB4" s="386"/>
      <c r="UKC4" s="386"/>
      <c r="UKD4" s="386"/>
      <c r="UKE4" s="386"/>
      <c r="UKF4" s="386"/>
      <c r="UKG4" s="386"/>
      <c r="UKH4" s="386"/>
      <c r="UKI4" s="386"/>
      <c r="UKJ4" s="386"/>
      <c r="UKK4" s="386"/>
      <c r="UKL4" s="386"/>
      <c r="UKM4" s="386"/>
      <c r="UKN4" s="386"/>
      <c r="UKO4" s="386">
        <v>45870</v>
      </c>
      <c r="UKP4" s="386"/>
      <c r="UKQ4" s="386"/>
      <c r="UKR4" s="386"/>
      <c r="UKS4" s="386"/>
      <c r="UKT4" s="386"/>
      <c r="UKU4" s="386"/>
      <c r="UKV4" s="386"/>
      <c r="UKW4" s="386"/>
      <c r="UKX4" s="386"/>
      <c r="UKY4" s="386"/>
      <c r="UKZ4" s="386"/>
      <c r="ULA4" s="386"/>
      <c r="ULB4" s="386"/>
      <c r="ULC4" s="386"/>
      <c r="ULD4" s="386"/>
      <c r="ULE4" s="386">
        <v>45870</v>
      </c>
      <c r="ULF4" s="386"/>
      <c r="ULG4" s="386"/>
      <c r="ULH4" s="386"/>
      <c r="ULI4" s="386"/>
      <c r="ULJ4" s="386"/>
      <c r="ULK4" s="386"/>
      <c r="ULL4" s="386"/>
      <c r="ULM4" s="386"/>
      <c r="ULN4" s="386"/>
      <c r="ULO4" s="386"/>
      <c r="ULP4" s="386"/>
      <c r="ULQ4" s="386"/>
      <c r="ULR4" s="386"/>
      <c r="ULS4" s="386"/>
      <c r="ULT4" s="386"/>
      <c r="ULU4" s="386">
        <v>45870</v>
      </c>
      <c r="ULV4" s="386"/>
      <c r="ULW4" s="386"/>
      <c r="ULX4" s="386"/>
      <c r="ULY4" s="386"/>
      <c r="ULZ4" s="386"/>
      <c r="UMA4" s="386"/>
      <c r="UMB4" s="386"/>
      <c r="UMC4" s="386"/>
      <c r="UMD4" s="386"/>
      <c r="UME4" s="386"/>
      <c r="UMF4" s="386"/>
      <c r="UMG4" s="386"/>
      <c r="UMH4" s="386"/>
      <c r="UMI4" s="386"/>
      <c r="UMJ4" s="386"/>
      <c r="UMK4" s="386">
        <v>45870</v>
      </c>
      <c r="UML4" s="386"/>
      <c r="UMM4" s="386"/>
      <c r="UMN4" s="386"/>
      <c r="UMO4" s="386"/>
      <c r="UMP4" s="386"/>
      <c r="UMQ4" s="386"/>
      <c r="UMR4" s="386"/>
      <c r="UMS4" s="386"/>
      <c r="UMT4" s="386"/>
      <c r="UMU4" s="386"/>
      <c r="UMV4" s="386"/>
      <c r="UMW4" s="386"/>
      <c r="UMX4" s="386"/>
      <c r="UMY4" s="386"/>
      <c r="UMZ4" s="386"/>
      <c r="UNA4" s="386">
        <v>45870</v>
      </c>
      <c r="UNB4" s="386"/>
      <c r="UNC4" s="386"/>
      <c r="UND4" s="386"/>
      <c r="UNE4" s="386"/>
      <c r="UNF4" s="386"/>
      <c r="UNG4" s="386"/>
      <c r="UNH4" s="386"/>
      <c r="UNI4" s="386"/>
      <c r="UNJ4" s="386"/>
      <c r="UNK4" s="386"/>
      <c r="UNL4" s="386"/>
      <c r="UNM4" s="386"/>
      <c r="UNN4" s="386"/>
      <c r="UNO4" s="386"/>
      <c r="UNP4" s="386"/>
      <c r="UNQ4" s="386">
        <v>45870</v>
      </c>
      <c r="UNR4" s="386"/>
      <c r="UNS4" s="386"/>
      <c r="UNT4" s="386"/>
      <c r="UNU4" s="386"/>
      <c r="UNV4" s="386"/>
      <c r="UNW4" s="386"/>
      <c r="UNX4" s="386"/>
      <c r="UNY4" s="386"/>
      <c r="UNZ4" s="386"/>
      <c r="UOA4" s="386"/>
      <c r="UOB4" s="386"/>
      <c r="UOC4" s="386"/>
      <c r="UOD4" s="386"/>
      <c r="UOE4" s="386"/>
      <c r="UOF4" s="386"/>
      <c r="UOG4" s="386">
        <v>45870</v>
      </c>
      <c r="UOH4" s="386"/>
      <c r="UOI4" s="386"/>
      <c r="UOJ4" s="386"/>
      <c r="UOK4" s="386"/>
      <c r="UOL4" s="386"/>
      <c r="UOM4" s="386"/>
      <c r="UON4" s="386"/>
      <c r="UOO4" s="386"/>
      <c r="UOP4" s="386"/>
      <c r="UOQ4" s="386"/>
      <c r="UOR4" s="386"/>
      <c r="UOS4" s="386"/>
      <c r="UOT4" s="386"/>
      <c r="UOU4" s="386"/>
      <c r="UOV4" s="386"/>
      <c r="UOW4" s="386">
        <v>45870</v>
      </c>
      <c r="UOX4" s="386"/>
      <c r="UOY4" s="386"/>
      <c r="UOZ4" s="386"/>
      <c r="UPA4" s="386"/>
      <c r="UPB4" s="386"/>
      <c r="UPC4" s="386"/>
      <c r="UPD4" s="386"/>
      <c r="UPE4" s="386"/>
      <c r="UPF4" s="386"/>
      <c r="UPG4" s="386"/>
      <c r="UPH4" s="386"/>
      <c r="UPI4" s="386"/>
      <c r="UPJ4" s="386"/>
      <c r="UPK4" s="386"/>
      <c r="UPL4" s="386"/>
      <c r="UPM4" s="386">
        <v>45870</v>
      </c>
      <c r="UPN4" s="386"/>
      <c r="UPO4" s="386"/>
      <c r="UPP4" s="386"/>
      <c r="UPQ4" s="386"/>
      <c r="UPR4" s="386"/>
      <c r="UPS4" s="386"/>
      <c r="UPT4" s="386"/>
      <c r="UPU4" s="386"/>
      <c r="UPV4" s="386"/>
      <c r="UPW4" s="386"/>
      <c r="UPX4" s="386"/>
      <c r="UPY4" s="386"/>
      <c r="UPZ4" s="386"/>
      <c r="UQA4" s="386"/>
      <c r="UQB4" s="386"/>
      <c r="UQC4" s="386">
        <v>45870</v>
      </c>
      <c r="UQD4" s="386"/>
      <c r="UQE4" s="386"/>
      <c r="UQF4" s="386"/>
      <c r="UQG4" s="386"/>
      <c r="UQH4" s="386"/>
      <c r="UQI4" s="386"/>
      <c r="UQJ4" s="386"/>
      <c r="UQK4" s="386"/>
      <c r="UQL4" s="386"/>
      <c r="UQM4" s="386"/>
      <c r="UQN4" s="386"/>
      <c r="UQO4" s="386"/>
      <c r="UQP4" s="386"/>
      <c r="UQQ4" s="386"/>
      <c r="UQR4" s="386"/>
      <c r="UQS4" s="386">
        <v>45870</v>
      </c>
      <c r="UQT4" s="386"/>
      <c r="UQU4" s="386"/>
      <c r="UQV4" s="386"/>
      <c r="UQW4" s="386"/>
      <c r="UQX4" s="386"/>
      <c r="UQY4" s="386"/>
      <c r="UQZ4" s="386"/>
      <c r="URA4" s="386"/>
      <c r="URB4" s="386"/>
      <c r="URC4" s="386"/>
      <c r="URD4" s="386"/>
      <c r="URE4" s="386"/>
      <c r="URF4" s="386"/>
      <c r="URG4" s="386"/>
      <c r="URH4" s="386"/>
      <c r="URI4" s="386">
        <v>45870</v>
      </c>
      <c r="URJ4" s="386"/>
      <c r="URK4" s="386"/>
      <c r="URL4" s="386"/>
      <c r="URM4" s="386"/>
      <c r="URN4" s="386"/>
      <c r="URO4" s="386"/>
      <c r="URP4" s="386"/>
      <c r="URQ4" s="386"/>
      <c r="URR4" s="386"/>
      <c r="URS4" s="386"/>
      <c r="URT4" s="386"/>
      <c r="URU4" s="386"/>
      <c r="URV4" s="386"/>
      <c r="URW4" s="386"/>
      <c r="URX4" s="386"/>
      <c r="URY4" s="386">
        <v>45870</v>
      </c>
      <c r="URZ4" s="386"/>
      <c r="USA4" s="386"/>
      <c r="USB4" s="386"/>
      <c r="USC4" s="386"/>
      <c r="USD4" s="386"/>
      <c r="USE4" s="386"/>
      <c r="USF4" s="386"/>
      <c r="USG4" s="386"/>
      <c r="USH4" s="386"/>
      <c r="USI4" s="386"/>
      <c r="USJ4" s="386"/>
      <c r="USK4" s="386"/>
      <c r="USL4" s="386"/>
      <c r="USM4" s="386"/>
      <c r="USN4" s="386"/>
      <c r="USO4" s="386">
        <v>45870</v>
      </c>
      <c r="USP4" s="386"/>
      <c r="USQ4" s="386"/>
      <c r="USR4" s="386"/>
      <c r="USS4" s="386"/>
      <c r="UST4" s="386"/>
      <c r="USU4" s="386"/>
      <c r="USV4" s="386"/>
      <c r="USW4" s="386"/>
      <c r="USX4" s="386"/>
      <c r="USY4" s="386"/>
      <c r="USZ4" s="386"/>
      <c r="UTA4" s="386"/>
      <c r="UTB4" s="386"/>
      <c r="UTC4" s="386"/>
      <c r="UTD4" s="386"/>
      <c r="UTE4" s="386">
        <v>45870</v>
      </c>
      <c r="UTF4" s="386"/>
      <c r="UTG4" s="386"/>
      <c r="UTH4" s="386"/>
      <c r="UTI4" s="386"/>
      <c r="UTJ4" s="386"/>
      <c r="UTK4" s="386"/>
      <c r="UTL4" s="386"/>
      <c r="UTM4" s="386"/>
      <c r="UTN4" s="386"/>
      <c r="UTO4" s="386"/>
      <c r="UTP4" s="386"/>
      <c r="UTQ4" s="386"/>
      <c r="UTR4" s="386"/>
      <c r="UTS4" s="386"/>
      <c r="UTT4" s="386"/>
      <c r="UTU4" s="386">
        <v>45870</v>
      </c>
      <c r="UTV4" s="386"/>
      <c r="UTW4" s="386"/>
      <c r="UTX4" s="386"/>
      <c r="UTY4" s="386"/>
      <c r="UTZ4" s="386"/>
      <c r="UUA4" s="386"/>
      <c r="UUB4" s="386"/>
      <c r="UUC4" s="386"/>
      <c r="UUD4" s="386"/>
      <c r="UUE4" s="386"/>
      <c r="UUF4" s="386"/>
      <c r="UUG4" s="386"/>
      <c r="UUH4" s="386"/>
      <c r="UUI4" s="386"/>
      <c r="UUJ4" s="386"/>
      <c r="UUK4" s="386">
        <v>45870</v>
      </c>
      <c r="UUL4" s="386"/>
      <c r="UUM4" s="386"/>
      <c r="UUN4" s="386"/>
      <c r="UUO4" s="386"/>
      <c r="UUP4" s="386"/>
      <c r="UUQ4" s="386"/>
      <c r="UUR4" s="386"/>
      <c r="UUS4" s="386"/>
      <c r="UUT4" s="386"/>
      <c r="UUU4" s="386"/>
      <c r="UUV4" s="386"/>
      <c r="UUW4" s="386"/>
      <c r="UUX4" s="386"/>
      <c r="UUY4" s="386"/>
      <c r="UUZ4" s="386"/>
      <c r="UVA4" s="386">
        <v>45870</v>
      </c>
      <c r="UVB4" s="386"/>
      <c r="UVC4" s="386"/>
      <c r="UVD4" s="386"/>
      <c r="UVE4" s="386"/>
      <c r="UVF4" s="386"/>
      <c r="UVG4" s="386"/>
      <c r="UVH4" s="386"/>
      <c r="UVI4" s="386"/>
      <c r="UVJ4" s="386"/>
      <c r="UVK4" s="386"/>
      <c r="UVL4" s="386"/>
      <c r="UVM4" s="386"/>
      <c r="UVN4" s="386"/>
      <c r="UVO4" s="386"/>
      <c r="UVP4" s="386"/>
      <c r="UVQ4" s="386">
        <v>45870</v>
      </c>
      <c r="UVR4" s="386"/>
      <c r="UVS4" s="386"/>
      <c r="UVT4" s="386"/>
      <c r="UVU4" s="386"/>
      <c r="UVV4" s="386"/>
      <c r="UVW4" s="386"/>
      <c r="UVX4" s="386"/>
      <c r="UVY4" s="386"/>
      <c r="UVZ4" s="386"/>
      <c r="UWA4" s="386"/>
      <c r="UWB4" s="386"/>
      <c r="UWC4" s="386"/>
      <c r="UWD4" s="386"/>
      <c r="UWE4" s="386"/>
      <c r="UWF4" s="386"/>
      <c r="UWG4" s="386">
        <v>45870</v>
      </c>
      <c r="UWH4" s="386"/>
      <c r="UWI4" s="386"/>
      <c r="UWJ4" s="386"/>
      <c r="UWK4" s="386"/>
      <c r="UWL4" s="386"/>
      <c r="UWM4" s="386"/>
      <c r="UWN4" s="386"/>
      <c r="UWO4" s="386"/>
      <c r="UWP4" s="386"/>
      <c r="UWQ4" s="386"/>
      <c r="UWR4" s="386"/>
      <c r="UWS4" s="386"/>
      <c r="UWT4" s="386"/>
      <c r="UWU4" s="386"/>
      <c r="UWV4" s="386"/>
      <c r="UWW4" s="386">
        <v>45870</v>
      </c>
      <c r="UWX4" s="386"/>
      <c r="UWY4" s="386"/>
      <c r="UWZ4" s="386"/>
      <c r="UXA4" s="386"/>
      <c r="UXB4" s="386"/>
      <c r="UXC4" s="386"/>
      <c r="UXD4" s="386"/>
      <c r="UXE4" s="386"/>
      <c r="UXF4" s="386"/>
      <c r="UXG4" s="386"/>
      <c r="UXH4" s="386"/>
      <c r="UXI4" s="386"/>
      <c r="UXJ4" s="386"/>
      <c r="UXK4" s="386"/>
      <c r="UXL4" s="386"/>
      <c r="UXM4" s="386">
        <v>45870</v>
      </c>
      <c r="UXN4" s="386"/>
      <c r="UXO4" s="386"/>
      <c r="UXP4" s="386"/>
      <c r="UXQ4" s="386"/>
      <c r="UXR4" s="386"/>
      <c r="UXS4" s="386"/>
      <c r="UXT4" s="386"/>
      <c r="UXU4" s="386"/>
      <c r="UXV4" s="386"/>
      <c r="UXW4" s="386"/>
      <c r="UXX4" s="386"/>
      <c r="UXY4" s="386"/>
      <c r="UXZ4" s="386"/>
      <c r="UYA4" s="386"/>
      <c r="UYB4" s="386"/>
      <c r="UYC4" s="386">
        <v>45870</v>
      </c>
      <c r="UYD4" s="386"/>
      <c r="UYE4" s="386"/>
      <c r="UYF4" s="386"/>
      <c r="UYG4" s="386"/>
      <c r="UYH4" s="386"/>
      <c r="UYI4" s="386"/>
      <c r="UYJ4" s="386"/>
      <c r="UYK4" s="386"/>
      <c r="UYL4" s="386"/>
      <c r="UYM4" s="386"/>
      <c r="UYN4" s="386"/>
      <c r="UYO4" s="386"/>
      <c r="UYP4" s="386"/>
      <c r="UYQ4" s="386"/>
      <c r="UYR4" s="386"/>
      <c r="UYS4" s="386">
        <v>45870</v>
      </c>
      <c r="UYT4" s="386"/>
      <c r="UYU4" s="386"/>
      <c r="UYV4" s="386"/>
      <c r="UYW4" s="386"/>
      <c r="UYX4" s="386"/>
      <c r="UYY4" s="386"/>
      <c r="UYZ4" s="386"/>
      <c r="UZA4" s="386"/>
      <c r="UZB4" s="386"/>
      <c r="UZC4" s="386"/>
      <c r="UZD4" s="386"/>
      <c r="UZE4" s="386"/>
      <c r="UZF4" s="386"/>
      <c r="UZG4" s="386"/>
      <c r="UZH4" s="386"/>
      <c r="UZI4" s="386">
        <v>45870</v>
      </c>
      <c r="UZJ4" s="386"/>
      <c r="UZK4" s="386"/>
      <c r="UZL4" s="386"/>
      <c r="UZM4" s="386"/>
      <c r="UZN4" s="386"/>
      <c r="UZO4" s="386"/>
      <c r="UZP4" s="386"/>
      <c r="UZQ4" s="386"/>
      <c r="UZR4" s="386"/>
      <c r="UZS4" s="386"/>
      <c r="UZT4" s="386"/>
      <c r="UZU4" s="386"/>
      <c r="UZV4" s="386"/>
      <c r="UZW4" s="386"/>
      <c r="UZX4" s="386"/>
      <c r="UZY4" s="386">
        <v>45870</v>
      </c>
      <c r="UZZ4" s="386"/>
      <c r="VAA4" s="386"/>
      <c r="VAB4" s="386"/>
      <c r="VAC4" s="386"/>
      <c r="VAD4" s="386"/>
      <c r="VAE4" s="386"/>
      <c r="VAF4" s="386"/>
      <c r="VAG4" s="386"/>
      <c r="VAH4" s="386"/>
      <c r="VAI4" s="386"/>
      <c r="VAJ4" s="386"/>
      <c r="VAK4" s="386"/>
      <c r="VAL4" s="386"/>
      <c r="VAM4" s="386"/>
      <c r="VAN4" s="386"/>
      <c r="VAO4" s="386">
        <v>45870</v>
      </c>
      <c r="VAP4" s="386"/>
      <c r="VAQ4" s="386"/>
      <c r="VAR4" s="386"/>
      <c r="VAS4" s="386"/>
      <c r="VAT4" s="386"/>
      <c r="VAU4" s="386"/>
      <c r="VAV4" s="386"/>
      <c r="VAW4" s="386"/>
      <c r="VAX4" s="386"/>
      <c r="VAY4" s="386"/>
      <c r="VAZ4" s="386"/>
      <c r="VBA4" s="386"/>
      <c r="VBB4" s="386"/>
      <c r="VBC4" s="386"/>
      <c r="VBD4" s="386"/>
      <c r="VBE4" s="386">
        <v>45870</v>
      </c>
      <c r="VBF4" s="386"/>
      <c r="VBG4" s="386"/>
      <c r="VBH4" s="386"/>
      <c r="VBI4" s="386"/>
      <c r="VBJ4" s="386"/>
      <c r="VBK4" s="386"/>
      <c r="VBL4" s="386"/>
      <c r="VBM4" s="386"/>
      <c r="VBN4" s="386"/>
      <c r="VBO4" s="386"/>
      <c r="VBP4" s="386"/>
      <c r="VBQ4" s="386"/>
      <c r="VBR4" s="386"/>
      <c r="VBS4" s="386"/>
      <c r="VBT4" s="386"/>
      <c r="VBU4" s="386">
        <v>45870</v>
      </c>
      <c r="VBV4" s="386"/>
      <c r="VBW4" s="386"/>
      <c r="VBX4" s="386"/>
      <c r="VBY4" s="386"/>
      <c r="VBZ4" s="386"/>
      <c r="VCA4" s="386"/>
      <c r="VCB4" s="386"/>
      <c r="VCC4" s="386"/>
      <c r="VCD4" s="386"/>
      <c r="VCE4" s="386"/>
      <c r="VCF4" s="386"/>
      <c r="VCG4" s="386"/>
      <c r="VCH4" s="386"/>
      <c r="VCI4" s="386"/>
      <c r="VCJ4" s="386"/>
      <c r="VCK4" s="386">
        <v>45870</v>
      </c>
      <c r="VCL4" s="386"/>
      <c r="VCM4" s="386"/>
      <c r="VCN4" s="386"/>
      <c r="VCO4" s="386"/>
      <c r="VCP4" s="386"/>
      <c r="VCQ4" s="386"/>
      <c r="VCR4" s="386"/>
      <c r="VCS4" s="386"/>
      <c r="VCT4" s="386"/>
      <c r="VCU4" s="386"/>
      <c r="VCV4" s="386"/>
      <c r="VCW4" s="386"/>
      <c r="VCX4" s="386"/>
      <c r="VCY4" s="386"/>
      <c r="VCZ4" s="386"/>
      <c r="VDA4" s="386">
        <v>45870</v>
      </c>
      <c r="VDB4" s="386"/>
      <c r="VDC4" s="386"/>
      <c r="VDD4" s="386"/>
      <c r="VDE4" s="386"/>
      <c r="VDF4" s="386"/>
      <c r="VDG4" s="386"/>
      <c r="VDH4" s="386"/>
      <c r="VDI4" s="386"/>
      <c r="VDJ4" s="386"/>
      <c r="VDK4" s="386"/>
      <c r="VDL4" s="386"/>
      <c r="VDM4" s="386"/>
      <c r="VDN4" s="386"/>
      <c r="VDO4" s="386"/>
      <c r="VDP4" s="386"/>
      <c r="VDQ4" s="386">
        <v>45870</v>
      </c>
      <c r="VDR4" s="386"/>
      <c r="VDS4" s="386"/>
      <c r="VDT4" s="386"/>
      <c r="VDU4" s="386"/>
      <c r="VDV4" s="386"/>
      <c r="VDW4" s="386"/>
      <c r="VDX4" s="386"/>
      <c r="VDY4" s="386"/>
      <c r="VDZ4" s="386"/>
      <c r="VEA4" s="386"/>
      <c r="VEB4" s="386"/>
      <c r="VEC4" s="386"/>
      <c r="VED4" s="386"/>
      <c r="VEE4" s="386"/>
      <c r="VEF4" s="386"/>
      <c r="VEG4" s="386">
        <v>45870</v>
      </c>
      <c r="VEH4" s="386"/>
      <c r="VEI4" s="386"/>
      <c r="VEJ4" s="386"/>
      <c r="VEK4" s="386"/>
      <c r="VEL4" s="386"/>
      <c r="VEM4" s="386"/>
      <c r="VEN4" s="386"/>
      <c r="VEO4" s="386"/>
      <c r="VEP4" s="386"/>
      <c r="VEQ4" s="386"/>
      <c r="VER4" s="386"/>
      <c r="VES4" s="386"/>
      <c r="VET4" s="386"/>
      <c r="VEU4" s="386"/>
      <c r="VEV4" s="386"/>
      <c r="VEW4" s="386">
        <v>45870</v>
      </c>
      <c r="VEX4" s="386"/>
      <c r="VEY4" s="386"/>
      <c r="VEZ4" s="386"/>
      <c r="VFA4" s="386"/>
      <c r="VFB4" s="386"/>
      <c r="VFC4" s="386"/>
      <c r="VFD4" s="386"/>
      <c r="VFE4" s="386"/>
      <c r="VFF4" s="386"/>
      <c r="VFG4" s="386"/>
      <c r="VFH4" s="386"/>
      <c r="VFI4" s="386"/>
      <c r="VFJ4" s="386"/>
      <c r="VFK4" s="386"/>
      <c r="VFL4" s="386"/>
      <c r="VFM4" s="386">
        <v>45870</v>
      </c>
      <c r="VFN4" s="386"/>
      <c r="VFO4" s="386"/>
      <c r="VFP4" s="386"/>
      <c r="VFQ4" s="386"/>
      <c r="VFR4" s="386"/>
      <c r="VFS4" s="386"/>
      <c r="VFT4" s="386"/>
      <c r="VFU4" s="386"/>
      <c r="VFV4" s="386"/>
      <c r="VFW4" s="386"/>
      <c r="VFX4" s="386"/>
      <c r="VFY4" s="386"/>
      <c r="VFZ4" s="386"/>
      <c r="VGA4" s="386"/>
      <c r="VGB4" s="386"/>
      <c r="VGC4" s="386">
        <v>45870</v>
      </c>
      <c r="VGD4" s="386"/>
      <c r="VGE4" s="386"/>
      <c r="VGF4" s="386"/>
      <c r="VGG4" s="386"/>
      <c r="VGH4" s="386"/>
      <c r="VGI4" s="386"/>
      <c r="VGJ4" s="386"/>
      <c r="VGK4" s="386"/>
      <c r="VGL4" s="386"/>
      <c r="VGM4" s="386"/>
      <c r="VGN4" s="386"/>
      <c r="VGO4" s="386"/>
      <c r="VGP4" s="386"/>
      <c r="VGQ4" s="386"/>
      <c r="VGR4" s="386"/>
      <c r="VGS4" s="386">
        <v>45870</v>
      </c>
      <c r="VGT4" s="386"/>
      <c r="VGU4" s="386"/>
      <c r="VGV4" s="386"/>
      <c r="VGW4" s="386"/>
      <c r="VGX4" s="386"/>
      <c r="VGY4" s="386"/>
      <c r="VGZ4" s="386"/>
      <c r="VHA4" s="386"/>
      <c r="VHB4" s="386"/>
      <c r="VHC4" s="386"/>
      <c r="VHD4" s="386"/>
      <c r="VHE4" s="386"/>
      <c r="VHF4" s="386"/>
      <c r="VHG4" s="386"/>
      <c r="VHH4" s="386"/>
      <c r="VHI4" s="386">
        <v>45870</v>
      </c>
      <c r="VHJ4" s="386"/>
      <c r="VHK4" s="386"/>
      <c r="VHL4" s="386"/>
      <c r="VHM4" s="386"/>
      <c r="VHN4" s="386"/>
      <c r="VHO4" s="386"/>
      <c r="VHP4" s="386"/>
      <c r="VHQ4" s="386"/>
      <c r="VHR4" s="386"/>
      <c r="VHS4" s="386"/>
      <c r="VHT4" s="386"/>
      <c r="VHU4" s="386"/>
      <c r="VHV4" s="386"/>
      <c r="VHW4" s="386"/>
      <c r="VHX4" s="386"/>
      <c r="VHY4" s="386">
        <v>45870</v>
      </c>
      <c r="VHZ4" s="386"/>
      <c r="VIA4" s="386"/>
      <c r="VIB4" s="386"/>
      <c r="VIC4" s="386"/>
      <c r="VID4" s="386"/>
      <c r="VIE4" s="386"/>
      <c r="VIF4" s="386"/>
      <c r="VIG4" s="386"/>
      <c r="VIH4" s="386"/>
      <c r="VII4" s="386"/>
      <c r="VIJ4" s="386"/>
      <c r="VIK4" s="386"/>
      <c r="VIL4" s="386"/>
      <c r="VIM4" s="386"/>
      <c r="VIN4" s="386"/>
      <c r="VIO4" s="386">
        <v>45870</v>
      </c>
      <c r="VIP4" s="386"/>
      <c r="VIQ4" s="386"/>
      <c r="VIR4" s="386"/>
      <c r="VIS4" s="386"/>
      <c r="VIT4" s="386"/>
      <c r="VIU4" s="386"/>
      <c r="VIV4" s="386"/>
      <c r="VIW4" s="386"/>
      <c r="VIX4" s="386"/>
      <c r="VIY4" s="386"/>
      <c r="VIZ4" s="386"/>
      <c r="VJA4" s="386"/>
      <c r="VJB4" s="386"/>
      <c r="VJC4" s="386"/>
      <c r="VJD4" s="386"/>
      <c r="VJE4" s="386">
        <v>45870</v>
      </c>
      <c r="VJF4" s="386"/>
      <c r="VJG4" s="386"/>
      <c r="VJH4" s="386"/>
      <c r="VJI4" s="386"/>
      <c r="VJJ4" s="386"/>
      <c r="VJK4" s="386"/>
      <c r="VJL4" s="386"/>
      <c r="VJM4" s="386"/>
      <c r="VJN4" s="386"/>
      <c r="VJO4" s="386"/>
      <c r="VJP4" s="386"/>
      <c r="VJQ4" s="386"/>
      <c r="VJR4" s="386"/>
      <c r="VJS4" s="386"/>
      <c r="VJT4" s="386"/>
      <c r="VJU4" s="386">
        <v>45870</v>
      </c>
      <c r="VJV4" s="386"/>
      <c r="VJW4" s="386"/>
      <c r="VJX4" s="386"/>
      <c r="VJY4" s="386"/>
      <c r="VJZ4" s="386"/>
      <c r="VKA4" s="386"/>
      <c r="VKB4" s="386"/>
      <c r="VKC4" s="386"/>
      <c r="VKD4" s="386"/>
      <c r="VKE4" s="386"/>
      <c r="VKF4" s="386"/>
      <c r="VKG4" s="386"/>
      <c r="VKH4" s="386"/>
      <c r="VKI4" s="386"/>
      <c r="VKJ4" s="386"/>
      <c r="VKK4" s="386">
        <v>45870</v>
      </c>
      <c r="VKL4" s="386"/>
      <c r="VKM4" s="386"/>
      <c r="VKN4" s="386"/>
      <c r="VKO4" s="386"/>
      <c r="VKP4" s="386"/>
      <c r="VKQ4" s="386"/>
      <c r="VKR4" s="386"/>
      <c r="VKS4" s="386"/>
      <c r="VKT4" s="386"/>
      <c r="VKU4" s="386"/>
      <c r="VKV4" s="386"/>
      <c r="VKW4" s="386"/>
      <c r="VKX4" s="386"/>
      <c r="VKY4" s="386"/>
      <c r="VKZ4" s="386"/>
      <c r="VLA4" s="386">
        <v>45870</v>
      </c>
      <c r="VLB4" s="386"/>
      <c r="VLC4" s="386"/>
      <c r="VLD4" s="386"/>
      <c r="VLE4" s="386"/>
      <c r="VLF4" s="386"/>
      <c r="VLG4" s="386"/>
      <c r="VLH4" s="386"/>
      <c r="VLI4" s="386"/>
      <c r="VLJ4" s="386"/>
      <c r="VLK4" s="386"/>
      <c r="VLL4" s="386"/>
      <c r="VLM4" s="386"/>
      <c r="VLN4" s="386"/>
      <c r="VLO4" s="386"/>
      <c r="VLP4" s="386"/>
      <c r="VLQ4" s="386">
        <v>45870</v>
      </c>
      <c r="VLR4" s="386"/>
      <c r="VLS4" s="386"/>
      <c r="VLT4" s="386"/>
      <c r="VLU4" s="386"/>
      <c r="VLV4" s="386"/>
      <c r="VLW4" s="386"/>
      <c r="VLX4" s="386"/>
      <c r="VLY4" s="386"/>
      <c r="VLZ4" s="386"/>
      <c r="VMA4" s="386"/>
      <c r="VMB4" s="386"/>
      <c r="VMC4" s="386"/>
      <c r="VMD4" s="386"/>
      <c r="VME4" s="386"/>
      <c r="VMF4" s="386"/>
      <c r="VMG4" s="386">
        <v>45870</v>
      </c>
      <c r="VMH4" s="386"/>
      <c r="VMI4" s="386"/>
      <c r="VMJ4" s="386"/>
      <c r="VMK4" s="386"/>
      <c r="VML4" s="386"/>
      <c r="VMM4" s="386"/>
      <c r="VMN4" s="386"/>
      <c r="VMO4" s="386"/>
      <c r="VMP4" s="386"/>
      <c r="VMQ4" s="386"/>
      <c r="VMR4" s="386"/>
      <c r="VMS4" s="386"/>
      <c r="VMT4" s="386"/>
      <c r="VMU4" s="386"/>
      <c r="VMV4" s="386"/>
      <c r="VMW4" s="386">
        <v>45870</v>
      </c>
      <c r="VMX4" s="386"/>
      <c r="VMY4" s="386"/>
      <c r="VMZ4" s="386"/>
      <c r="VNA4" s="386"/>
      <c r="VNB4" s="386"/>
      <c r="VNC4" s="386"/>
      <c r="VND4" s="386"/>
      <c r="VNE4" s="386"/>
      <c r="VNF4" s="386"/>
      <c r="VNG4" s="386"/>
      <c r="VNH4" s="386"/>
      <c r="VNI4" s="386"/>
      <c r="VNJ4" s="386"/>
      <c r="VNK4" s="386"/>
      <c r="VNL4" s="386"/>
      <c r="VNM4" s="386">
        <v>45870</v>
      </c>
      <c r="VNN4" s="386"/>
      <c r="VNO4" s="386"/>
      <c r="VNP4" s="386"/>
      <c r="VNQ4" s="386"/>
      <c r="VNR4" s="386"/>
      <c r="VNS4" s="386"/>
      <c r="VNT4" s="386"/>
      <c r="VNU4" s="386"/>
      <c r="VNV4" s="386"/>
      <c r="VNW4" s="386"/>
      <c r="VNX4" s="386"/>
      <c r="VNY4" s="386"/>
      <c r="VNZ4" s="386"/>
      <c r="VOA4" s="386"/>
      <c r="VOB4" s="386"/>
      <c r="VOC4" s="386">
        <v>45870</v>
      </c>
      <c r="VOD4" s="386"/>
      <c r="VOE4" s="386"/>
      <c r="VOF4" s="386"/>
      <c r="VOG4" s="386"/>
      <c r="VOH4" s="386"/>
      <c r="VOI4" s="386"/>
      <c r="VOJ4" s="386"/>
      <c r="VOK4" s="386"/>
      <c r="VOL4" s="386"/>
      <c r="VOM4" s="386"/>
      <c r="VON4" s="386"/>
      <c r="VOO4" s="386"/>
      <c r="VOP4" s="386"/>
      <c r="VOQ4" s="386"/>
      <c r="VOR4" s="386"/>
      <c r="VOS4" s="386">
        <v>45870</v>
      </c>
      <c r="VOT4" s="386"/>
      <c r="VOU4" s="386"/>
      <c r="VOV4" s="386"/>
      <c r="VOW4" s="386"/>
      <c r="VOX4" s="386"/>
      <c r="VOY4" s="386"/>
      <c r="VOZ4" s="386"/>
      <c r="VPA4" s="386"/>
      <c r="VPB4" s="386"/>
      <c r="VPC4" s="386"/>
      <c r="VPD4" s="386"/>
      <c r="VPE4" s="386"/>
      <c r="VPF4" s="386"/>
      <c r="VPG4" s="386"/>
      <c r="VPH4" s="386"/>
      <c r="VPI4" s="386">
        <v>45870</v>
      </c>
      <c r="VPJ4" s="386"/>
      <c r="VPK4" s="386"/>
      <c r="VPL4" s="386"/>
      <c r="VPM4" s="386"/>
      <c r="VPN4" s="386"/>
      <c r="VPO4" s="386"/>
      <c r="VPP4" s="386"/>
      <c r="VPQ4" s="386"/>
      <c r="VPR4" s="386"/>
      <c r="VPS4" s="386"/>
      <c r="VPT4" s="386"/>
      <c r="VPU4" s="386"/>
      <c r="VPV4" s="386"/>
      <c r="VPW4" s="386"/>
      <c r="VPX4" s="386"/>
      <c r="VPY4" s="386">
        <v>45870</v>
      </c>
      <c r="VPZ4" s="386"/>
      <c r="VQA4" s="386"/>
      <c r="VQB4" s="386"/>
      <c r="VQC4" s="386"/>
      <c r="VQD4" s="386"/>
      <c r="VQE4" s="386"/>
      <c r="VQF4" s="386"/>
      <c r="VQG4" s="386"/>
      <c r="VQH4" s="386"/>
      <c r="VQI4" s="386"/>
      <c r="VQJ4" s="386"/>
      <c r="VQK4" s="386"/>
      <c r="VQL4" s="386"/>
      <c r="VQM4" s="386"/>
      <c r="VQN4" s="386"/>
      <c r="VQO4" s="386">
        <v>45870</v>
      </c>
      <c r="VQP4" s="386"/>
      <c r="VQQ4" s="386"/>
      <c r="VQR4" s="386"/>
      <c r="VQS4" s="386"/>
      <c r="VQT4" s="386"/>
      <c r="VQU4" s="386"/>
      <c r="VQV4" s="386"/>
      <c r="VQW4" s="386"/>
      <c r="VQX4" s="386"/>
      <c r="VQY4" s="386"/>
      <c r="VQZ4" s="386"/>
      <c r="VRA4" s="386"/>
      <c r="VRB4" s="386"/>
      <c r="VRC4" s="386"/>
      <c r="VRD4" s="386"/>
      <c r="VRE4" s="386">
        <v>45870</v>
      </c>
      <c r="VRF4" s="386"/>
      <c r="VRG4" s="386"/>
      <c r="VRH4" s="386"/>
      <c r="VRI4" s="386"/>
      <c r="VRJ4" s="386"/>
      <c r="VRK4" s="386"/>
      <c r="VRL4" s="386"/>
      <c r="VRM4" s="386"/>
      <c r="VRN4" s="386"/>
      <c r="VRO4" s="386"/>
      <c r="VRP4" s="386"/>
      <c r="VRQ4" s="386"/>
      <c r="VRR4" s="386"/>
      <c r="VRS4" s="386"/>
      <c r="VRT4" s="386"/>
      <c r="VRU4" s="386">
        <v>45870</v>
      </c>
      <c r="VRV4" s="386"/>
      <c r="VRW4" s="386"/>
      <c r="VRX4" s="386"/>
      <c r="VRY4" s="386"/>
      <c r="VRZ4" s="386"/>
      <c r="VSA4" s="386"/>
      <c r="VSB4" s="386"/>
      <c r="VSC4" s="386"/>
      <c r="VSD4" s="386"/>
      <c r="VSE4" s="386"/>
      <c r="VSF4" s="386"/>
      <c r="VSG4" s="386"/>
      <c r="VSH4" s="386"/>
      <c r="VSI4" s="386"/>
      <c r="VSJ4" s="386"/>
      <c r="VSK4" s="386">
        <v>45870</v>
      </c>
      <c r="VSL4" s="386"/>
      <c r="VSM4" s="386"/>
      <c r="VSN4" s="386"/>
      <c r="VSO4" s="386"/>
      <c r="VSP4" s="386"/>
      <c r="VSQ4" s="386"/>
      <c r="VSR4" s="386"/>
      <c r="VSS4" s="386"/>
      <c r="VST4" s="386"/>
      <c r="VSU4" s="386"/>
      <c r="VSV4" s="386"/>
      <c r="VSW4" s="386"/>
      <c r="VSX4" s="386"/>
      <c r="VSY4" s="386"/>
      <c r="VSZ4" s="386"/>
      <c r="VTA4" s="386">
        <v>45870</v>
      </c>
      <c r="VTB4" s="386"/>
      <c r="VTC4" s="386"/>
      <c r="VTD4" s="386"/>
      <c r="VTE4" s="386"/>
      <c r="VTF4" s="386"/>
      <c r="VTG4" s="386"/>
      <c r="VTH4" s="386"/>
      <c r="VTI4" s="386"/>
      <c r="VTJ4" s="386"/>
      <c r="VTK4" s="386"/>
      <c r="VTL4" s="386"/>
      <c r="VTM4" s="386"/>
      <c r="VTN4" s="386"/>
      <c r="VTO4" s="386"/>
      <c r="VTP4" s="386"/>
      <c r="VTQ4" s="386">
        <v>45870</v>
      </c>
      <c r="VTR4" s="386"/>
      <c r="VTS4" s="386"/>
      <c r="VTT4" s="386"/>
      <c r="VTU4" s="386"/>
      <c r="VTV4" s="386"/>
      <c r="VTW4" s="386"/>
      <c r="VTX4" s="386"/>
      <c r="VTY4" s="386"/>
      <c r="VTZ4" s="386"/>
      <c r="VUA4" s="386"/>
      <c r="VUB4" s="386"/>
      <c r="VUC4" s="386"/>
      <c r="VUD4" s="386"/>
      <c r="VUE4" s="386"/>
      <c r="VUF4" s="386"/>
      <c r="VUG4" s="386">
        <v>45870</v>
      </c>
      <c r="VUH4" s="386"/>
      <c r="VUI4" s="386"/>
      <c r="VUJ4" s="386"/>
      <c r="VUK4" s="386"/>
      <c r="VUL4" s="386"/>
      <c r="VUM4" s="386"/>
      <c r="VUN4" s="386"/>
      <c r="VUO4" s="386"/>
      <c r="VUP4" s="386"/>
      <c r="VUQ4" s="386"/>
      <c r="VUR4" s="386"/>
      <c r="VUS4" s="386"/>
      <c r="VUT4" s="386"/>
      <c r="VUU4" s="386"/>
      <c r="VUV4" s="386"/>
      <c r="VUW4" s="386">
        <v>45870</v>
      </c>
      <c r="VUX4" s="386"/>
      <c r="VUY4" s="386"/>
      <c r="VUZ4" s="386"/>
      <c r="VVA4" s="386"/>
      <c r="VVB4" s="386"/>
      <c r="VVC4" s="386"/>
      <c r="VVD4" s="386"/>
      <c r="VVE4" s="386"/>
      <c r="VVF4" s="386"/>
      <c r="VVG4" s="386"/>
      <c r="VVH4" s="386"/>
      <c r="VVI4" s="386"/>
      <c r="VVJ4" s="386"/>
      <c r="VVK4" s="386"/>
      <c r="VVL4" s="386"/>
      <c r="VVM4" s="386">
        <v>45870</v>
      </c>
      <c r="VVN4" s="386"/>
      <c r="VVO4" s="386"/>
      <c r="VVP4" s="386"/>
      <c r="VVQ4" s="386"/>
      <c r="VVR4" s="386"/>
      <c r="VVS4" s="386"/>
      <c r="VVT4" s="386"/>
      <c r="VVU4" s="386"/>
      <c r="VVV4" s="386"/>
      <c r="VVW4" s="386"/>
      <c r="VVX4" s="386"/>
      <c r="VVY4" s="386"/>
      <c r="VVZ4" s="386"/>
      <c r="VWA4" s="386"/>
      <c r="VWB4" s="386"/>
      <c r="VWC4" s="386">
        <v>45870</v>
      </c>
      <c r="VWD4" s="386"/>
      <c r="VWE4" s="386"/>
      <c r="VWF4" s="386"/>
      <c r="VWG4" s="386"/>
      <c r="VWH4" s="386"/>
      <c r="VWI4" s="386"/>
      <c r="VWJ4" s="386"/>
      <c r="VWK4" s="386"/>
      <c r="VWL4" s="386"/>
      <c r="VWM4" s="386"/>
      <c r="VWN4" s="386"/>
      <c r="VWO4" s="386"/>
      <c r="VWP4" s="386"/>
      <c r="VWQ4" s="386"/>
      <c r="VWR4" s="386"/>
      <c r="VWS4" s="386">
        <v>45870</v>
      </c>
      <c r="VWT4" s="386"/>
      <c r="VWU4" s="386"/>
      <c r="VWV4" s="386"/>
      <c r="VWW4" s="386"/>
      <c r="VWX4" s="386"/>
      <c r="VWY4" s="386"/>
      <c r="VWZ4" s="386"/>
      <c r="VXA4" s="386"/>
      <c r="VXB4" s="386"/>
      <c r="VXC4" s="386"/>
      <c r="VXD4" s="386"/>
      <c r="VXE4" s="386"/>
      <c r="VXF4" s="386"/>
      <c r="VXG4" s="386"/>
      <c r="VXH4" s="386"/>
      <c r="VXI4" s="386">
        <v>45870</v>
      </c>
      <c r="VXJ4" s="386"/>
      <c r="VXK4" s="386"/>
      <c r="VXL4" s="386"/>
      <c r="VXM4" s="386"/>
      <c r="VXN4" s="386"/>
      <c r="VXO4" s="386"/>
      <c r="VXP4" s="386"/>
      <c r="VXQ4" s="386"/>
      <c r="VXR4" s="386"/>
      <c r="VXS4" s="386"/>
      <c r="VXT4" s="386"/>
      <c r="VXU4" s="386"/>
      <c r="VXV4" s="386"/>
      <c r="VXW4" s="386"/>
      <c r="VXX4" s="386"/>
      <c r="VXY4" s="386">
        <v>45870</v>
      </c>
      <c r="VXZ4" s="386"/>
      <c r="VYA4" s="386"/>
      <c r="VYB4" s="386"/>
      <c r="VYC4" s="386"/>
      <c r="VYD4" s="386"/>
      <c r="VYE4" s="386"/>
      <c r="VYF4" s="386"/>
      <c r="VYG4" s="386"/>
      <c r="VYH4" s="386"/>
      <c r="VYI4" s="386"/>
      <c r="VYJ4" s="386"/>
      <c r="VYK4" s="386"/>
      <c r="VYL4" s="386"/>
      <c r="VYM4" s="386"/>
      <c r="VYN4" s="386"/>
      <c r="VYO4" s="386">
        <v>45870</v>
      </c>
      <c r="VYP4" s="386"/>
      <c r="VYQ4" s="386"/>
      <c r="VYR4" s="386"/>
      <c r="VYS4" s="386"/>
      <c r="VYT4" s="386"/>
      <c r="VYU4" s="386"/>
      <c r="VYV4" s="386"/>
      <c r="VYW4" s="386"/>
      <c r="VYX4" s="386"/>
      <c r="VYY4" s="386"/>
      <c r="VYZ4" s="386"/>
      <c r="VZA4" s="386"/>
      <c r="VZB4" s="386"/>
      <c r="VZC4" s="386"/>
      <c r="VZD4" s="386"/>
      <c r="VZE4" s="386">
        <v>45870</v>
      </c>
      <c r="VZF4" s="386"/>
      <c r="VZG4" s="386"/>
      <c r="VZH4" s="386"/>
      <c r="VZI4" s="386"/>
      <c r="VZJ4" s="386"/>
      <c r="VZK4" s="386"/>
      <c r="VZL4" s="386"/>
      <c r="VZM4" s="386"/>
      <c r="VZN4" s="386"/>
      <c r="VZO4" s="386"/>
      <c r="VZP4" s="386"/>
      <c r="VZQ4" s="386"/>
      <c r="VZR4" s="386"/>
      <c r="VZS4" s="386"/>
      <c r="VZT4" s="386"/>
      <c r="VZU4" s="386">
        <v>45870</v>
      </c>
      <c r="VZV4" s="386"/>
      <c r="VZW4" s="386"/>
      <c r="VZX4" s="386"/>
      <c r="VZY4" s="386"/>
      <c r="VZZ4" s="386"/>
      <c r="WAA4" s="386"/>
      <c r="WAB4" s="386"/>
      <c r="WAC4" s="386"/>
      <c r="WAD4" s="386"/>
      <c r="WAE4" s="386"/>
      <c r="WAF4" s="386"/>
      <c r="WAG4" s="386"/>
      <c r="WAH4" s="386"/>
      <c r="WAI4" s="386"/>
      <c r="WAJ4" s="386"/>
      <c r="WAK4" s="386">
        <v>45870</v>
      </c>
      <c r="WAL4" s="386"/>
      <c r="WAM4" s="386"/>
      <c r="WAN4" s="386"/>
      <c r="WAO4" s="386"/>
      <c r="WAP4" s="386"/>
      <c r="WAQ4" s="386"/>
      <c r="WAR4" s="386"/>
      <c r="WAS4" s="386"/>
      <c r="WAT4" s="386"/>
      <c r="WAU4" s="386"/>
      <c r="WAV4" s="386"/>
      <c r="WAW4" s="386"/>
      <c r="WAX4" s="386"/>
      <c r="WAY4" s="386"/>
      <c r="WAZ4" s="386"/>
      <c r="WBA4" s="386">
        <v>45870</v>
      </c>
      <c r="WBB4" s="386"/>
      <c r="WBC4" s="386"/>
      <c r="WBD4" s="386"/>
      <c r="WBE4" s="386"/>
      <c r="WBF4" s="386"/>
      <c r="WBG4" s="386"/>
      <c r="WBH4" s="386"/>
      <c r="WBI4" s="386"/>
      <c r="WBJ4" s="386"/>
      <c r="WBK4" s="386"/>
      <c r="WBL4" s="386"/>
      <c r="WBM4" s="386"/>
      <c r="WBN4" s="386"/>
      <c r="WBO4" s="386"/>
      <c r="WBP4" s="386"/>
      <c r="WBQ4" s="386">
        <v>45870</v>
      </c>
      <c r="WBR4" s="386"/>
      <c r="WBS4" s="386"/>
      <c r="WBT4" s="386"/>
      <c r="WBU4" s="386"/>
      <c r="WBV4" s="386"/>
      <c r="WBW4" s="386"/>
      <c r="WBX4" s="386"/>
      <c r="WBY4" s="386"/>
      <c r="WBZ4" s="386"/>
      <c r="WCA4" s="386"/>
      <c r="WCB4" s="386"/>
      <c r="WCC4" s="386"/>
      <c r="WCD4" s="386"/>
      <c r="WCE4" s="386"/>
      <c r="WCF4" s="386"/>
      <c r="WCG4" s="386">
        <v>45870</v>
      </c>
      <c r="WCH4" s="386"/>
      <c r="WCI4" s="386"/>
      <c r="WCJ4" s="386"/>
      <c r="WCK4" s="386"/>
      <c r="WCL4" s="386"/>
      <c r="WCM4" s="386"/>
      <c r="WCN4" s="386"/>
      <c r="WCO4" s="386"/>
      <c r="WCP4" s="386"/>
      <c r="WCQ4" s="386"/>
      <c r="WCR4" s="386"/>
      <c r="WCS4" s="386"/>
      <c r="WCT4" s="386"/>
      <c r="WCU4" s="386"/>
      <c r="WCV4" s="386"/>
      <c r="WCW4" s="386">
        <v>45870</v>
      </c>
      <c r="WCX4" s="386"/>
      <c r="WCY4" s="386"/>
      <c r="WCZ4" s="386"/>
      <c r="WDA4" s="386"/>
      <c r="WDB4" s="386"/>
      <c r="WDC4" s="386"/>
      <c r="WDD4" s="386"/>
      <c r="WDE4" s="386"/>
      <c r="WDF4" s="386"/>
      <c r="WDG4" s="386"/>
      <c r="WDH4" s="386"/>
      <c r="WDI4" s="386"/>
      <c r="WDJ4" s="386"/>
      <c r="WDK4" s="386"/>
      <c r="WDL4" s="386"/>
      <c r="WDM4" s="386">
        <v>45870</v>
      </c>
      <c r="WDN4" s="386"/>
      <c r="WDO4" s="386"/>
      <c r="WDP4" s="386"/>
      <c r="WDQ4" s="386"/>
      <c r="WDR4" s="386"/>
      <c r="WDS4" s="386"/>
      <c r="WDT4" s="386"/>
      <c r="WDU4" s="386"/>
      <c r="WDV4" s="386"/>
      <c r="WDW4" s="386"/>
      <c r="WDX4" s="386"/>
      <c r="WDY4" s="386"/>
      <c r="WDZ4" s="386"/>
      <c r="WEA4" s="386"/>
      <c r="WEB4" s="386"/>
      <c r="WEC4" s="386">
        <v>45870</v>
      </c>
      <c r="WED4" s="386"/>
      <c r="WEE4" s="386"/>
      <c r="WEF4" s="386"/>
      <c r="WEG4" s="386"/>
      <c r="WEH4" s="386"/>
      <c r="WEI4" s="386"/>
      <c r="WEJ4" s="386"/>
      <c r="WEK4" s="386"/>
      <c r="WEL4" s="386"/>
      <c r="WEM4" s="386"/>
      <c r="WEN4" s="386"/>
      <c r="WEO4" s="386"/>
      <c r="WEP4" s="386"/>
      <c r="WEQ4" s="386"/>
      <c r="WER4" s="386"/>
      <c r="WES4" s="386">
        <v>45870</v>
      </c>
      <c r="WET4" s="386"/>
      <c r="WEU4" s="386"/>
      <c r="WEV4" s="386"/>
      <c r="WEW4" s="386"/>
      <c r="WEX4" s="386"/>
      <c r="WEY4" s="386"/>
      <c r="WEZ4" s="386"/>
      <c r="WFA4" s="386"/>
      <c r="WFB4" s="386"/>
      <c r="WFC4" s="386"/>
      <c r="WFD4" s="386"/>
      <c r="WFE4" s="386"/>
      <c r="WFF4" s="386"/>
      <c r="WFG4" s="386"/>
      <c r="WFH4" s="386"/>
      <c r="WFI4" s="386">
        <v>45870</v>
      </c>
      <c r="WFJ4" s="386"/>
      <c r="WFK4" s="386"/>
      <c r="WFL4" s="386"/>
      <c r="WFM4" s="386"/>
      <c r="WFN4" s="386"/>
      <c r="WFO4" s="386"/>
      <c r="WFP4" s="386"/>
      <c r="WFQ4" s="386"/>
      <c r="WFR4" s="386"/>
      <c r="WFS4" s="386"/>
      <c r="WFT4" s="386"/>
      <c r="WFU4" s="386"/>
      <c r="WFV4" s="386"/>
      <c r="WFW4" s="386"/>
      <c r="WFX4" s="386"/>
      <c r="WFY4" s="386">
        <v>45870</v>
      </c>
      <c r="WFZ4" s="386"/>
      <c r="WGA4" s="386"/>
      <c r="WGB4" s="386"/>
      <c r="WGC4" s="386"/>
      <c r="WGD4" s="386"/>
      <c r="WGE4" s="386"/>
      <c r="WGF4" s="386"/>
      <c r="WGG4" s="386"/>
      <c r="WGH4" s="386"/>
      <c r="WGI4" s="386"/>
      <c r="WGJ4" s="386"/>
      <c r="WGK4" s="386"/>
      <c r="WGL4" s="386"/>
      <c r="WGM4" s="386"/>
      <c r="WGN4" s="386"/>
      <c r="WGO4" s="386">
        <v>45870</v>
      </c>
      <c r="WGP4" s="386"/>
      <c r="WGQ4" s="386"/>
      <c r="WGR4" s="386"/>
      <c r="WGS4" s="386"/>
      <c r="WGT4" s="386"/>
      <c r="WGU4" s="386"/>
      <c r="WGV4" s="386"/>
      <c r="WGW4" s="386"/>
      <c r="WGX4" s="386"/>
      <c r="WGY4" s="386"/>
      <c r="WGZ4" s="386"/>
      <c r="WHA4" s="386"/>
      <c r="WHB4" s="386"/>
      <c r="WHC4" s="386"/>
      <c r="WHD4" s="386"/>
      <c r="WHE4" s="386">
        <v>45870</v>
      </c>
      <c r="WHF4" s="386"/>
      <c r="WHG4" s="386"/>
      <c r="WHH4" s="386"/>
      <c r="WHI4" s="386"/>
      <c r="WHJ4" s="386"/>
      <c r="WHK4" s="386"/>
      <c r="WHL4" s="386"/>
      <c r="WHM4" s="386"/>
      <c r="WHN4" s="386"/>
      <c r="WHO4" s="386"/>
      <c r="WHP4" s="386"/>
      <c r="WHQ4" s="386"/>
      <c r="WHR4" s="386"/>
      <c r="WHS4" s="386"/>
      <c r="WHT4" s="386"/>
      <c r="WHU4" s="386">
        <v>45870</v>
      </c>
      <c r="WHV4" s="386"/>
      <c r="WHW4" s="386"/>
      <c r="WHX4" s="386"/>
      <c r="WHY4" s="386"/>
      <c r="WHZ4" s="386"/>
      <c r="WIA4" s="386"/>
      <c r="WIB4" s="386"/>
      <c r="WIC4" s="386"/>
      <c r="WID4" s="386"/>
      <c r="WIE4" s="386"/>
      <c r="WIF4" s="386"/>
      <c r="WIG4" s="386"/>
      <c r="WIH4" s="386"/>
      <c r="WII4" s="386"/>
      <c r="WIJ4" s="386"/>
      <c r="WIK4" s="386">
        <v>45870</v>
      </c>
      <c r="WIL4" s="386"/>
      <c r="WIM4" s="386"/>
      <c r="WIN4" s="386"/>
      <c r="WIO4" s="386"/>
      <c r="WIP4" s="386"/>
      <c r="WIQ4" s="386"/>
      <c r="WIR4" s="386"/>
      <c r="WIS4" s="386"/>
      <c r="WIT4" s="386"/>
      <c r="WIU4" s="386"/>
      <c r="WIV4" s="386"/>
      <c r="WIW4" s="386"/>
      <c r="WIX4" s="386"/>
      <c r="WIY4" s="386"/>
      <c r="WIZ4" s="386"/>
      <c r="WJA4" s="386">
        <v>45870</v>
      </c>
      <c r="WJB4" s="386"/>
      <c r="WJC4" s="386"/>
      <c r="WJD4" s="386"/>
      <c r="WJE4" s="386"/>
      <c r="WJF4" s="386"/>
      <c r="WJG4" s="386"/>
      <c r="WJH4" s="386"/>
      <c r="WJI4" s="386"/>
      <c r="WJJ4" s="386"/>
      <c r="WJK4" s="386"/>
      <c r="WJL4" s="386"/>
      <c r="WJM4" s="386"/>
      <c r="WJN4" s="386"/>
      <c r="WJO4" s="386"/>
      <c r="WJP4" s="386"/>
      <c r="WJQ4" s="386">
        <v>45870</v>
      </c>
      <c r="WJR4" s="386"/>
      <c r="WJS4" s="386"/>
      <c r="WJT4" s="386"/>
      <c r="WJU4" s="386"/>
      <c r="WJV4" s="386"/>
      <c r="WJW4" s="386"/>
      <c r="WJX4" s="386"/>
      <c r="WJY4" s="386"/>
      <c r="WJZ4" s="386"/>
      <c r="WKA4" s="386"/>
      <c r="WKB4" s="386"/>
      <c r="WKC4" s="386"/>
      <c r="WKD4" s="386"/>
      <c r="WKE4" s="386"/>
      <c r="WKF4" s="386"/>
      <c r="WKG4" s="386">
        <v>45870</v>
      </c>
      <c r="WKH4" s="386"/>
      <c r="WKI4" s="386"/>
      <c r="WKJ4" s="386"/>
      <c r="WKK4" s="386"/>
      <c r="WKL4" s="386"/>
      <c r="WKM4" s="386"/>
      <c r="WKN4" s="386"/>
      <c r="WKO4" s="386"/>
      <c r="WKP4" s="386"/>
      <c r="WKQ4" s="386"/>
      <c r="WKR4" s="386"/>
      <c r="WKS4" s="386"/>
      <c r="WKT4" s="386"/>
      <c r="WKU4" s="386"/>
      <c r="WKV4" s="386"/>
      <c r="WKW4" s="386">
        <v>45870</v>
      </c>
      <c r="WKX4" s="386"/>
      <c r="WKY4" s="386"/>
      <c r="WKZ4" s="386"/>
      <c r="WLA4" s="386"/>
      <c r="WLB4" s="386"/>
      <c r="WLC4" s="386"/>
      <c r="WLD4" s="386"/>
      <c r="WLE4" s="386"/>
      <c r="WLF4" s="386"/>
      <c r="WLG4" s="386"/>
      <c r="WLH4" s="386"/>
      <c r="WLI4" s="386"/>
      <c r="WLJ4" s="386"/>
      <c r="WLK4" s="386"/>
      <c r="WLL4" s="386"/>
      <c r="WLM4" s="386">
        <v>45870</v>
      </c>
      <c r="WLN4" s="386"/>
      <c r="WLO4" s="386"/>
      <c r="WLP4" s="386"/>
      <c r="WLQ4" s="386"/>
      <c r="WLR4" s="386"/>
      <c r="WLS4" s="386"/>
      <c r="WLT4" s="386"/>
      <c r="WLU4" s="386"/>
      <c r="WLV4" s="386"/>
      <c r="WLW4" s="386"/>
      <c r="WLX4" s="386"/>
      <c r="WLY4" s="386"/>
      <c r="WLZ4" s="386"/>
      <c r="WMA4" s="386"/>
      <c r="WMB4" s="386"/>
      <c r="WMC4" s="386">
        <v>45870</v>
      </c>
      <c r="WMD4" s="386"/>
      <c r="WME4" s="386"/>
      <c r="WMF4" s="386"/>
      <c r="WMG4" s="386"/>
      <c r="WMH4" s="386"/>
      <c r="WMI4" s="386"/>
      <c r="WMJ4" s="386"/>
      <c r="WMK4" s="386"/>
      <c r="WML4" s="386"/>
      <c r="WMM4" s="386"/>
      <c r="WMN4" s="386"/>
      <c r="WMO4" s="386"/>
      <c r="WMP4" s="386"/>
      <c r="WMQ4" s="386"/>
      <c r="WMR4" s="386"/>
      <c r="WMS4" s="386">
        <v>45870</v>
      </c>
      <c r="WMT4" s="386"/>
      <c r="WMU4" s="386"/>
      <c r="WMV4" s="386"/>
      <c r="WMW4" s="386"/>
      <c r="WMX4" s="386"/>
      <c r="WMY4" s="386"/>
      <c r="WMZ4" s="386"/>
      <c r="WNA4" s="386"/>
      <c r="WNB4" s="386"/>
      <c r="WNC4" s="386"/>
      <c r="WND4" s="386"/>
      <c r="WNE4" s="386"/>
      <c r="WNF4" s="386"/>
      <c r="WNG4" s="386"/>
      <c r="WNH4" s="386"/>
      <c r="WNI4" s="386">
        <v>45870</v>
      </c>
      <c r="WNJ4" s="386"/>
      <c r="WNK4" s="386"/>
      <c r="WNL4" s="386"/>
      <c r="WNM4" s="386"/>
      <c r="WNN4" s="386"/>
      <c r="WNO4" s="386"/>
      <c r="WNP4" s="386"/>
      <c r="WNQ4" s="386"/>
      <c r="WNR4" s="386"/>
      <c r="WNS4" s="386"/>
      <c r="WNT4" s="386"/>
      <c r="WNU4" s="386"/>
      <c r="WNV4" s="386"/>
      <c r="WNW4" s="386"/>
      <c r="WNX4" s="386"/>
      <c r="WNY4" s="386">
        <v>45870</v>
      </c>
      <c r="WNZ4" s="386"/>
      <c r="WOA4" s="386"/>
      <c r="WOB4" s="386"/>
      <c r="WOC4" s="386"/>
      <c r="WOD4" s="386"/>
      <c r="WOE4" s="386"/>
      <c r="WOF4" s="386"/>
      <c r="WOG4" s="386"/>
      <c r="WOH4" s="386"/>
      <c r="WOI4" s="386"/>
      <c r="WOJ4" s="386"/>
      <c r="WOK4" s="386"/>
      <c r="WOL4" s="386"/>
      <c r="WOM4" s="386"/>
      <c r="WON4" s="386"/>
      <c r="WOO4" s="386">
        <v>45870</v>
      </c>
      <c r="WOP4" s="386"/>
      <c r="WOQ4" s="386"/>
      <c r="WOR4" s="386"/>
      <c r="WOS4" s="386"/>
      <c r="WOT4" s="386"/>
      <c r="WOU4" s="386"/>
      <c r="WOV4" s="386"/>
      <c r="WOW4" s="386"/>
      <c r="WOX4" s="386"/>
      <c r="WOY4" s="386"/>
      <c r="WOZ4" s="386"/>
      <c r="WPA4" s="386"/>
      <c r="WPB4" s="386"/>
      <c r="WPC4" s="386"/>
      <c r="WPD4" s="386"/>
      <c r="WPE4" s="386">
        <v>45870</v>
      </c>
      <c r="WPF4" s="386"/>
      <c r="WPG4" s="386"/>
      <c r="WPH4" s="386"/>
      <c r="WPI4" s="386"/>
      <c r="WPJ4" s="386"/>
      <c r="WPK4" s="386"/>
      <c r="WPL4" s="386"/>
      <c r="WPM4" s="386"/>
      <c r="WPN4" s="386"/>
      <c r="WPO4" s="386"/>
      <c r="WPP4" s="386"/>
      <c r="WPQ4" s="386"/>
      <c r="WPR4" s="386"/>
      <c r="WPS4" s="386"/>
      <c r="WPT4" s="386"/>
      <c r="WPU4" s="386">
        <v>45870</v>
      </c>
      <c r="WPV4" s="386"/>
      <c r="WPW4" s="386"/>
      <c r="WPX4" s="386"/>
      <c r="WPY4" s="386"/>
      <c r="WPZ4" s="386"/>
      <c r="WQA4" s="386"/>
      <c r="WQB4" s="386"/>
      <c r="WQC4" s="386"/>
      <c r="WQD4" s="386"/>
      <c r="WQE4" s="386"/>
      <c r="WQF4" s="386"/>
      <c r="WQG4" s="386"/>
      <c r="WQH4" s="386"/>
      <c r="WQI4" s="386"/>
      <c r="WQJ4" s="386"/>
      <c r="WQK4" s="386">
        <v>45870</v>
      </c>
      <c r="WQL4" s="386"/>
      <c r="WQM4" s="386"/>
      <c r="WQN4" s="386"/>
      <c r="WQO4" s="386"/>
      <c r="WQP4" s="386"/>
      <c r="WQQ4" s="386"/>
      <c r="WQR4" s="386"/>
      <c r="WQS4" s="386"/>
      <c r="WQT4" s="386"/>
      <c r="WQU4" s="386"/>
      <c r="WQV4" s="386"/>
      <c r="WQW4" s="386"/>
      <c r="WQX4" s="386"/>
      <c r="WQY4" s="386"/>
      <c r="WQZ4" s="386"/>
      <c r="WRA4" s="386">
        <v>45870</v>
      </c>
      <c r="WRB4" s="386"/>
      <c r="WRC4" s="386"/>
      <c r="WRD4" s="386"/>
      <c r="WRE4" s="386"/>
      <c r="WRF4" s="386"/>
      <c r="WRG4" s="386"/>
      <c r="WRH4" s="386"/>
      <c r="WRI4" s="386"/>
      <c r="WRJ4" s="386"/>
      <c r="WRK4" s="386"/>
      <c r="WRL4" s="386"/>
      <c r="WRM4" s="386"/>
      <c r="WRN4" s="386"/>
      <c r="WRO4" s="386"/>
      <c r="WRP4" s="386"/>
      <c r="WRQ4" s="386">
        <v>45870</v>
      </c>
      <c r="WRR4" s="386"/>
      <c r="WRS4" s="386"/>
      <c r="WRT4" s="386"/>
      <c r="WRU4" s="386"/>
      <c r="WRV4" s="386"/>
      <c r="WRW4" s="386"/>
      <c r="WRX4" s="386"/>
      <c r="WRY4" s="386"/>
      <c r="WRZ4" s="386"/>
      <c r="WSA4" s="386"/>
      <c r="WSB4" s="386"/>
      <c r="WSC4" s="386"/>
      <c r="WSD4" s="386"/>
      <c r="WSE4" s="386"/>
      <c r="WSF4" s="386"/>
      <c r="WSG4" s="386">
        <v>45870</v>
      </c>
      <c r="WSH4" s="386"/>
      <c r="WSI4" s="386"/>
      <c r="WSJ4" s="386"/>
      <c r="WSK4" s="386"/>
      <c r="WSL4" s="386"/>
      <c r="WSM4" s="386"/>
      <c r="WSN4" s="386"/>
      <c r="WSO4" s="386"/>
      <c r="WSP4" s="386"/>
      <c r="WSQ4" s="386"/>
      <c r="WSR4" s="386"/>
      <c r="WSS4" s="386"/>
      <c r="WST4" s="386"/>
      <c r="WSU4" s="386"/>
      <c r="WSV4" s="386"/>
      <c r="WSW4" s="386">
        <v>45870</v>
      </c>
      <c r="WSX4" s="386"/>
      <c r="WSY4" s="386"/>
      <c r="WSZ4" s="386"/>
      <c r="WTA4" s="386"/>
      <c r="WTB4" s="386"/>
      <c r="WTC4" s="386"/>
      <c r="WTD4" s="386"/>
      <c r="WTE4" s="386"/>
      <c r="WTF4" s="386"/>
      <c r="WTG4" s="386"/>
      <c r="WTH4" s="386"/>
      <c r="WTI4" s="386"/>
      <c r="WTJ4" s="386"/>
      <c r="WTK4" s="386"/>
      <c r="WTL4" s="386"/>
      <c r="WTM4" s="386">
        <v>45870</v>
      </c>
      <c r="WTN4" s="386"/>
      <c r="WTO4" s="386"/>
      <c r="WTP4" s="386"/>
      <c r="WTQ4" s="386"/>
      <c r="WTR4" s="386"/>
      <c r="WTS4" s="386"/>
      <c r="WTT4" s="386"/>
      <c r="WTU4" s="386"/>
      <c r="WTV4" s="386"/>
      <c r="WTW4" s="386"/>
      <c r="WTX4" s="386"/>
      <c r="WTY4" s="386"/>
      <c r="WTZ4" s="386"/>
      <c r="WUA4" s="386"/>
      <c r="WUB4" s="386"/>
      <c r="WUC4" s="386">
        <v>45870</v>
      </c>
      <c r="WUD4" s="386"/>
      <c r="WUE4" s="386"/>
      <c r="WUF4" s="386"/>
      <c r="WUG4" s="386"/>
      <c r="WUH4" s="386"/>
      <c r="WUI4" s="386"/>
      <c r="WUJ4" s="386"/>
      <c r="WUK4" s="386"/>
      <c r="WUL4" s="386"/>
      <c r="WUM4" s="386"/>
      <c r="WUN4" s="386"/>
      <c r="WUO4" s="386"/>
      <c r="WUP4" s="386"/>
      <c r="WUQ4" s="386"/>
      <c r="WUR4" s="386"/>
      <c r="WUS4" s="386">
        <v>45870</v>
      </c>
      <c r="WUT4" s="386"/>
      <c r="WUU4" s="386"/>
      <c r="WUV4" s="386"/>
      <c r="WUW4" s="386"/>
      <c r="WUX4" s="386"/>
      <c r="WUY4" s="386"/>
      <c r="WUZ4" s="386"/>
      <c r="WVA4" s="386"/>
      <c r="WVB4" s="386"/>
      <c r="WVC4" s="386"/>
      <c r="WVD4" s="386"/>
      <c r="WVE4" s="386"/>
      <c r="WVF4" s="386"/>
      <c r="WVG4" s="386"/>
      <c r="WVH4" s="386"/>
      <c r="WVI4" s="386">
        <v>45870</v>
      </c>
      <c r="WVJ4" s="386"/>
      <c r="WVK4" s="386"/>
      <c r="WVL4" s="386"/>
      <c r="WVM4" s="386"/>
      <c r="WVN4" s="386"/>
      <c r="WVO4" s="386"/>
      <c r="WVP4" s="386"/>
      <c r="WVQ4" s="386"/>
      <c r="WVR4" s="386"/>
      <c r="WVS4" s="386"/>
      <c r="WVT4" s="386"/>
      <c r="WVU4" s="386"/>
      <c r="WVV4" s="386"/>
      <c r="WVW4" s="386"/>
      <c r="WVX4" s="386"/>
      <c r="WVY4" s="386">
        <v>45870</v>
      </c>
      <c r="WVZ4" s="386"/>
      <c r="WWA4" s="386"/>
      <c r="WWB4" s="386"/>
      <c r="WWC4" s="386"/>
      <c r="WWD4" s="386"/>
      <c r="WWE4" s="386"/>
      <c r="WWF4" s="386"/>
      <c r="WWG4" s="386"/>
      <c r="WWH4" s="386"/>
      <c r="WWI4" s="386"/>
      <c r="WWJ4" s="386"/>
      <c r="WWK4" s="386"/>
      <c r="WWL4" s="386"/>
      <c r="WWM4" s="386"/>
      <c r="WWN4" s="386"/>
      <c r="WWO4" s="386">
        <v>45870</v>
      </c>
      <c r="WWP4" s="386"/>
      <c r="WWQ4" s="386"/>
      <c r="WWR4" s="386"/>
      <c r="WWS4" s="386"/>
      <c r="WWT4" s="386"/>
      <c r="WWU4" s="386"/>
      <c r="WWV4" s="386"/>
      <c r="WWW4" s="386"/>
      <c r="WWX4" s="386"/>
      <c r="WWY4" s="386"/>
      <c r="WWZ4" s="386"/>
      <c r="WXA4" s="386"/>
      <c r="WXB4" s="386"/>
      <c r="WXC4" s="386"/>
      <c r="WXD4" s="386"/>
      <c r="WXE4" s="386">
        <v>45870</v>
      </c>
      <c r="WXF4" s="386"/>
      <c r="WXG4" s="386"/>
      <c r="WXH4" s="386"/>
      <c r="WXI4" s="386"/>
      <c r="WXJ4" s="386"/>
      <c r="WXK4" s="386"/>
      <c r="WXL4" s="386"/>
      <c r="WXM4" s="386"/>
      <c r="WXN4" s="386"/>
      <c r="WXO4" s="386"/>
      <c r="WXP4" s="386"/>
      <c r="WXQ4" s="386"/>
      <c r="WXR4" s="386"/>
      <c r="WXS4" s="386"/>
      <c r="WXT4" s="386"/>
      <c r="WXU4" s="386">
        <v>45870</v>
      </c>
      <c r="WXV4" s="386"/>
      <c r="WXW4" s="386"/>
      <c r="WXX4" s="386"/>
      <c r="WXY4" s="386"/>
      <c r="WXZ4" s="386"/>
      <c r="WYA4" s="386"/>
      <c r="WYB4" s="386"/>
      <c r="WYC4" s="386"/>
      <c r="WYD4" s="386"/>
      <c r="WYE4" s="386"/>
      <c r="WYF4" s="386"/>
      <c r="WYG4" s="386"/>
      <c r="WYH4" s="386"/>
      <c r="WYI4" s="386"/>
      <c r="WYJ4" s="386"/>
      <c r="WYK4" s="386">
        <v>45870</v>
      </c>
      <c r="WYL4" s="386"/>
      <c r="WYM4" s="386"/>
      <c r="WYN4" s="386"/>
      <c r="WYO4" s="386"/>
      <c r="WYP4" s="386"/>
      <c r="WYQ4" s="386"/>
      <c r="WYR4" s="386"/>
      <c r="WYS4" s="386"/>
      <c r="WYT4" s="386"/>
      <c r="WYU4" s="386"/>
      <c r="WYV4" s="386"/>
      <c r="WYW4" s="386"/>
      <c r="WYX4" s="386"/>
      <c r="WYY4" s="386"/>
      <c r="WYZ4" s="386"/>
      <c r="WZA4" s="386">
        <v>45870</v>
      </c>
      <c r="WZB4" s="386"/>
      <c r="WZC4" s="386"/>
      <c r="WZD4" s="386"/>
      <c r="WZE4" s="386"/>
      <c r="WZF4" s="386"/>
      <c r="WZG4" s="386"/>
      <c r="WZH4" s="386"/>
      <c r="WZI4" s="386"/>
      <c r="WZJ4" s="386"/>
      <c r="WZK4" s="386"/>
      <c r="WZL4" s="386"/>
      <c r="WZM4" s="386"/>
      <c r="WZN4" s="386"/>
      <c r="WZO4" s="386"/>
      <c r="WZP4" s="386"/>
      <c r="WZQ4" s="386">
        <v>45870</v>
      </c>
      <c r="WZR4" s="386"/>
      <c r="WZS4" s="386"/>
      <c r="WZT4" s="386"/>
      <c r="WZU4" s="386"/>
      <c r="WZV4" s="386"/>
      <c r="WZW4" s="386"/>
      <c r="WZX4" s="386"/>
      <c r="WZY4" s="386"/>
      <c r="WZZ4" s="386"/>
      <c r="XAA4" s="386"/>
      <c r="XAB4" s="386"/>
      <c r="XAC4" s="386"/>
      <c r="XAD4" s="386"/>
      <c r="XAE4" s="386"/>
      <c r="XAF4" s="386"/>
      <c r="XAG4" s="386">
        <v>45870</v>
      </c>
      <c r="XAH4" s="386"/>
      <c r="XAI4" s="386"/>
      <c r="XAJ4" s="386"/>
      <c r="XAK4" s="386"/>
      <c r="XAL4" s="386"/>
      <c r="XAM4" s="386"/>
      <c r="XAN4" s="386"/>
      <c r="XAO4" s="386"/>
      <c r="XAP4" s="386"/>
      <c r="XAQ4" s="386"/>
      <c r="XAR4" s="386"/>
      <c r="XAS4" s="386"/>
      <c r="XAT4" s="386"/>
      <c r="XAU4" s="386"/>
      <c r="XAV4" s="386"/>
      <c r="XAW4" s="386">
        <v>45870</v>
      </c>
      <c r="XAX4" s="386"/>
      <c r="XAY4" s="386"/>
      <c r="XAZ4" s="386"/>
      <c r="XBA4" s="386"/>
      <c r="XBB4" s="386"/>
      <c r="XBC4" s="386"/>
      <c r="XBD4" s="386"/>
      <c r="XBE4" s="386"/>
      <c r="XBF4" s="386"/>
      <c r="XBG4" s="386"/>
      <c r="XBH4" s="386"/>
      <c r="XBI4" s="386"/>
      <c r="XBJ4" s="386"/>
      <c r="XBK4" s="386"/>
      <c r="XBL4" s="386"/>
      <c r="XBM4" s="386">
        <v>45870</v>
      </c>
      <c r="XBN4" s="386"/>
      <c r="XBO4" s="386"/>
      <c r="XBP4" s="386"/>
      <c r="XBQ4" s="386"/>
      <c r="XBR4" s="386"/>
      <c r="XBS4" s="386"/>
      <c r="XBT4" s="386"/>
      <c r="XBU4" s="386"/>
      <c r="XBV4" s="386"/>
      <c r="XBW4" s="386"/>
      <c r="XBX4" s="386"/>
      <c r="XBY4" s="386"/>
      <c r="XBZ4" s="386"/>
      <c r="XCA4" s="386"/>
      <c r="XCB4" s="386"/>
      <c r="XCC4" s="386">
        <v>45870</v>
      </c>
      <c r="XCD4" s="386"/>
      <c r="XCE4" s="386"/>
      <c r="XCF4" s="386"/>
      <c r="XCG4" s="386"/>
      <c r="XCH4" s="386"/>
      <c r="XCI4" s="386"/>
      <c r="XCJ4" s="386"/>
      <c r="XCK4" s="386"/>
      <c r="XCL4" s="386"/>
      <c r="XCM4" s="386"/>
      <c r="XCN4" s="386"/>
      <c r="XCO4" s="386"/>
      <c r="XCP4" s="386"/>
      <c r="XCQ4" s="386"/>
      <c r="XCR4" s="386"/>
      <c r="XCS4" s="386">
        <v>45870</v>
      </c>
      <c r="XCT4" s="386"/>
      <c r="XCU4" s="386"/>
      <c r="XCV4" s="386"/>
      <c r="XCW4" s="386"/>
      <c r="XCX4" s="386"/>
      <c r="XCY4" s="386"/>
      <c r="XCZ4" s="386"/>
      <c r="XDA4" s="386"/>
      <c r="XDB4" s="386"/>
      <c r="XDC4" s="386"/>
      <c r="XDD4" s="386"/>
      <c r="XDE4" s="386"/>
      <c r="XDF4" s="386"/>
      <c r="XDG4" s="386"/>
      <c r="XDH4" s="386"/>
      <c r="XDI4" s="386">
        <v>45870</v>
      </c>
      <c r="XDJ4" s="386"/>
      <c r="XDK4" s="386"/>
      <c r="XDL4" s="386"/>
      <c r="XDM4" s="386"/>
      <c r="XDN4" s="386"/>
      <c r="XDO4" s="386"/>
      <c r="XDP4" s="386"/>
      <c r="XDQ4" s="386"/>
      <c r="XDR4" s="386"/>
      <c r="XDS4" s="386"/>
      <c r="XDT4" s="386"/>
      <c r="XDU4" s="386"/>
      <c r="XDV4" s="386"/>
      <c r="XDW4" s="386"/>
      <c r="XDX4" s="386"/>
      <c r="XDY4" s="386">
        <v>45870</v>
      </c>
      <c r="XDZ4" s="386"/>
      <c r="XEA4" s="386"/>
      <c r="XEB4" s="386"/>
      <c r="XEC4" s="386"/>
      <c r="XED4" s="386"/>
      <c r="XEE4" s="386"/>
      <c r="XEF4" s="386"/>
      <c r="XEG4" s="386"/>
      <c r="XEH4" s="386"/>
      <c r="XEI4" s="386"/>
      <c r="XEJ4" s="386"/>
      <c r="XEK4" s="386"/>
      <c r="XEL4" s="386"/>
      <c r="XEM4" s="386"/>
      <c r="XEN4" s="386"/>
      <c r="XEO4" s="386">
        <v>45870</v>
      </c>
      <c r="XEP4" s="386"/>
      <c r="XEQ4" s="386"/>
      <c r="XER4" s="386"/>
      <c r="XES4" s="386"/>
      <c r="XET4" s="386"/>
      <c r="XEU4" s="386"/>
      <c r="XEV4" s="386"/>
      <c r="XEW4" s="386"/>
      <c r="XEX4" s="386"/>
      <c r="XEY4" s="386"/>
      <c r="XEZ4" s="386"/>
      <c r="XFA4" s="386"/>
      <c r="XFB4" s="386"/>
      <c r="XFC4" s="386"/>
      <c r="XFD4" s="386"/>
    </row>
    <row r="5" spans="1:16384" ht="36" customHeight="1" thickTop="1" thickBot="1">
      <c r="B5" s="20" t="s">
        <v>2</v>
      </c>
      <c r="C5" s="2" t="s">
        <v>3</v>
      </c>
      <c r="D5" s="27" t="s">
        <v>4</v>
      </c>
      <c r="E5" s="2" t="s">
        <v>37</v>
      </c>
      <c r="F5" s="20" t="s">
        <v>12</v>
      </c>
      <c r="G5" s="2" t="s">
        <v>5</v>
      </c>
      <c r="H5" s="2" t="s">
        <v>13</v>
      </c>
      <c r="I5" s="237" t="s">
        <v>26</v>
      </c>
      <c r="J5" s="2" t="s">
        <v>18</v>
      </c>
      <c r="K5" s="2" t="s">
        <v>6</v>
      </c>
      <c r="L5" s="240" t="s">
        <v>22</v>
      </c>
      <c r="M5" s="243" t="s">
        <v>24</v>
      </c>
      <c r="N5" s="243" t="s">
        <v>25</v>
      </c>
      <c r="O5" s="243" t="s">
        <v>23</v>
      </c>
      <c r="P5" s="20" t="s">
        <v>6</v>
      </c>
      <c r="Q5" s="4" t="s">
        <v>9</v>
      </c>
      <c r="R5" s="2" t="s">
        <v>20</v>
      </c>
      <c r="S5" s="243" t="s">
        <v>160</v>
      </c>
    </row>
    <row r="6" spans="1:16384" ht="16.5" customHeight="1" thickTop="1">
      <c r="B6" s="21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238"/>
      <c r="J6" s="8" t="s">
        <v>17</v>
      </c>
      <c r="K6" s="8" t="s">
        <v>17</v>
      </c>
      <c r="L6" s="241"/>
      <c r="M6" s="244"/>
      <c r="N6" s="244"/>
      <c r="O6" s="244"/>
      <c r="P6" s="21" t="s">
        <v>19</v>
      </c>
      <c r="Q6" s="9" t="s">
        <v>10</v>
      </c>
      <c r="R6" s="382" t="s">
        <v>21</v>
      </c>
      <c r="S6" s="244"/>
    </row>
    <row r="7" spans="1:16384" ht="16.5" thickBot="1">
      <c r="B7" s="22"/>
      <c r="C7" s="10"/>
      <c r="D7" s="29"/>
      <c r="E7" s="8"/>
      <c r="F7" s="22" t="s">
        <v>15</v>
      </c>
      <c r="G7" s="10"/>
      <c r="H7" s="10" t="s">
        <v>16</v>
      </c>
      <c r="I7" s="239"/>
      <c r="J7" s="10"/>
      <c r="K7" s="10"/>
      <c r="L7" s="242"/>
      <c r="M7" s="245"/>
      <c r="N7" s="245"/>
      <c r="O7" s="245"/>
      <c r="P7" s="22"/>
      <c r="Q7" s="11"/>
      <c r="R7" s="383"/>
      <c r="S7" s="245"/>
    </row>
    <row r="8" spans="1:16384" ht="16.5" customHeight="1">
      <c r="B8" s="92">
        <v>46266</v>
      </c>
      <c r="C8" s="88">
        <v>1</v>
      </c>
      <c r="D8" s="30" t="s">
        <v>27</v>
      </c>
      <c r="E8" s="402">
        <v>1440</v>
      </c>
      <c r="F8" s="39">
        <f>[3]Sept!$N63</f>
        <v>815</v>
      </c>
      <c r="G8" s="18">
        <v>5560</v>
      </c>
      <c r="H8" s="54">
        <f t="shared" ref="H8:H48" si="0">(G8)*24/(F8/60)/17000*100</f>
        <v>57.78708047636232</v>
      </c>
      <c r="I8" s="55"/>
      <c r="J8" s="54">
        <f>SUM(95,88.2,98.5,91)</f>
        <v>372.7</v>
      </c>
      <c r="K8" s="54">
        <f t="shared" ref="K8" si="1">(G8)*0.066</f>
        <v>366.96000000000004</v>
      </c>
      <c r="L8" s="54">
        <f t="shared" ref="L8" si="2">J8-K8</f>
        <v>5.7399999999999523</v>
      </c>
      <c r="M8" s="55">
        <f>[3]Sept!$AD8</f>
        <v>342</v>
      </c>
      <c r="N8" s="55">
        <f>2+13+3</f>
        <v>18</v>
      </c>
      <c r="O8" s="55"/>
      <c r="P8" s="51">
        <f t="shared" ref="P8" si="3">(J8-K8)/J8*100</f>
        <v>1.540112691172512</v>
      </c>
      <c r="Q8" s="55">
        <f>(G8)/(E8/60)</f>
        <v>231.66666666666666</v>
      </c>
      <c r="R8" s="16"/>
      <c r="S8" s="54">
        <f>SUM('[4]Daily glue Sep'!$H$3)</f>
        <v>3.2808123249299715E-3</v>
      </c>
    </row>
    <row r="9" spans="1:16384" ht="15.75">
      <c r="B9" s="92">
        <v>46266</v>
      </c>
      <c r="C9" s="88">
        <v>1</v>
      </c>
      <c r="D9" s="30" t="s">
        <v>151</v>
      </c>
      <c r="E9" s="404"/>
      <c r="F9" s="39">
        <f>[3]Sept!$N64</f>
        <v>367</v>
      </c>
      <c r="G9" s="18">
        <v>1916</v>
      </c>
      <c r="H9" s="54">
        <f t="shared" si="0"/>
        <v>44.222471549927874</v>
      </c>
      <c r="I9" s="55"/>
      <c r="J9" s="54">
        <f>SUM(95.6,89.8)-56.3</f>
        <v>129.09999999999997</v>
      </c>
      <c r="K9" s="54">
        <f t="shared" ref="K9" si="4">(G9)*0.066</f>
        <v>126.456</v>
      </c>
      <c r="L9" s="54">
        <f t="shared" ref="L9" si="5">J9-K9</f>
        <v>2.6439999999999628</v>
      </c>
      <c r="M9" s="55">
        <f>[3]Sept!$AD9</f>
        <v>259</v>
      </c>
      <c r="N9" s="55">
        <v>6</v>
      </c>
      <c r="O9" s="55"/>
      <c r="P9" s="51">
        <f t="shared" ref="P9:P53" si="6">(J9-K9)/J9*100</f>
        <v>2.0480247869868036</v>
      </c>
      <c r="Q9" s="55">
        <f>(G9)/(E8/60)</f>
        <v>79.833333333333329</v>
      </c>
      <c r="R9" s="33"/>
      <c r="S9" s="54">
        <f>'[4]Daily glue Sep'!$H$4</f>
        <v>1.1818869828456103E-2</v>
      </c>
    </row>
    <row r="10" spans="1:16384" ht="15.75">
      <c r="B10" s="92">
        <v>46267</v>
      </c>
      <c r="C10" s="88">
        <v>2</v>
      </c>
      <c r="D10" s="30" t="s">
        <v>151</v>
      </c>
      <c r="E10" s="402">
        <v>1440</v>
      </c>
      <c r="F10" s="39">
        <f>[3]Sept!$N65</f>
        <v>520</v>
      </c>
      <c r="G10" s="18">
        <v>2831</v>
      </c>
      <c r="H10" s="54">
        <f t="shared" si="0"/>
        <v>46.115837104072405</v>
      </c>
      <c r="I10" s="55"/>
      <c r="J10" s="428">
        <f>SUM(56.3,91,90,100.8,91.3,93.1,94.4)-89.5</f>
        <v>527.4</v>
      </c>
      <c r="K10" s="428">
        <f>(G10+G11+G12)*0.066</f>
        <v>519.42000000000007</v>
      </c>
      <c r="L10" s="54">
        <f t="shared" ref="L10:L23" si="7">J10-K10</f>
        <v>7.9799999999999045</v>
      </c>
      <c r="M10" s="55">
        <f>[3]Sept!$AD10</f>
        <v>207</v>
      </c>
      <c r="N10" s="55">
        <f>8+2</f>
        <v>10</v>
      </c>
      <c r="O10" s="55"/>
      <c r="P10" s="428">
        <f t="shared" si="6"/>
        <v>1.5130830489192084</v>
      </c>
      <c r="Q10" s="55">
        <f>(G10)/(E10/60)</f>
        <v>117.95833333333333</v>
      </c>
      <c r="R10" s="33"/>
      <c r="S10" s="54">
        <f>'[4]Daily glue Sep'!$H$5/2</f>
        <v>3.2310344827586207E-3</v>
      </c>
      <c r="T10" s="6"/>
    </row>
    <row r="11" spans="1:16384" ht="15.75">
      <c r="B11" s="92">
        <v>46267</v>
      </c>
      <c r="C11" s="88">
        <v>2</v>
      </c>
      <c r="D11" s="30" t="s">
        <v>145</v>
      </c>
      <c r="E11" s="403"/>
      <c r="F11" s="39">
        <f>[3]Sept!$N66</f>
        <v>334</v>
      </c>
      <c r="G11" s="18">
        <v>2342</v>
      </c>
      <c r="H11" s="54">
        <f t="shared" si="0"/>
        <v>59.395561817541385</v>
      </c>
      <c r="I11" s="55"/>
      <c r="J11" s="428"/>
      <c r="K11" s="428"/>
      <c r="L11" s="54">
        <f t="shared" si="7"/>
        <v>0</v>
      </c>
      <c r="M11" s="55">
        <f>[3]Sept!$AD11</f>
        <v>139</v>
      </c>
      <c r="N11" s="55">
        <f>1+2</f>
        <v>3</v>
      </c>
      <c r="O11" s="55"/>
      <c r="P11" s="428"/>
      <c r="Q11" s="55">
        <f>(G11)/(E10/60)</f>
        <v>97.583333333333329</v>
      </c>
      <c r="R11" s="33"/>
      <c r="S11" s="54">
        <f>'[4]Daily glue Sep'!$H$5/2</f>
        <v>3.2310344827586207E-3</v>
      </c>
      <c r="T11" s="6"/>
    </row>
    <row r="12" spans="1:16384" ht="15.75">
      <c r="B12" s="92">
        <v>46267</v>
      </c>
      <c r="C12" s="88">
        <v>2</v>
      </c>
      <c r="D12" s="30" t="s">
        <v>45</v>
      </c>
      <c r="E12" s="404"/>
      <c r="F12" s="39">
        <f>[3]Sept!$N67</f>
        <v>405</v>
      </c>
      <c r="G12" s="18">
        <v>2697</v>
      </c>
      <c r="H12" s="54">
        <f t="shared" si="0"/>
        <v>56.407843137254908</v>
      </c>
      <c r="I12" s="55"/>
      <c r="J12" s="428"/>
      <c r="K12" s="428"/>
      <c r="L12" s="54">
        <f t="shared" si="7"/>
        <v>0</v>
      </c>
      <c r="M12" s="55">
        <f>[3]Sept!$AD12</f>
        <v>100</v>
      </c>
      <c r="N12" s="55">
        <v>3</v>
      </c>
      <c r="O12" s="55"/>
      <c r="P12" s="428"/>
      <c r="Q12" s="55">
        <f>(G12)/(E10/60)</f>
        <v>112.375</v>
      </c>
      <c r="R12" s="33"/>
      <c r="S12" s="54">
        <f>'[4]Daily glue Sep'!$H$7</f>
        <v>7.0303121248499389E-3</v>
      </c>
      <c r="T12" s="6"/>
    </row>
    <row r="13" spans="1:16384" ht="15.75">
      <c r="B13" s="92">
        <v>46268</v>
      </c>
      <c r="C13" s="88">
        <v>3</v>
      </c>
      <c r="D13" s="30" t="s">
        <v>45</v>
      </c>
      <c r="E13" s="402">
        <v>1440</v>
      </c>
      <c r="F13" s="39">
        <f>[3]Sept!$N68</f>
        <v>198</v>
      </c>
      <c r="G13" s="18">
        <v>1343</v>
      </c>
      <c r="H13" s="54">
        <f t="shared" si="0"/>
        <v>57.45454545454546</v>
      </c>
      <c r="I13" s="55"/>
      <c r="J13" s="54">
        <v>89.5</v>
      </c>
      <c r="K13" s="54">
        <f t="shared" ref="K13:K23" si="8">(G13)*0.066</f>
        <v>88.638000000000005</v>
      </c>
      <c r="L13" s="54">
        <f t="shared" si="7"/>
        <v>0.86199999999999477</v>
      </c>
      <c r="M13" s="55">
        <f>[3]Sept!$AD13</f>
        <v>23</v>
      </c>
      <c r="N13" s="55">
        <v>0</v>
      </c>
      <c r="O13" s="55"/>
      <c r="P13" s="51">
        <f t="shared" si="6"/>
        <v>0.96312849162010583</v>
      </c>
      <c r="Q13" s="55">
        <f>(G13)/(E13/60)</f>
        <v>55.958333333333336</v>
      </c>
      <c r="R13" s="33"/>
      <c r="S13" s="54">
        <f>'[4]Daily glue Sep'!$H$8</f>
        <v>4.0387931034482757E-3</v>
      </c>
      <c r="T13" s="6"/>
    </row>
    <row r="14" spans="1:16384" ht="15.75">
      <c r="B14" s="92">
        <v>46268</v>
      </c>
      <c r="C14" s="88">
        <v>3</v>
      </c>
      <c r="D14" s="30" t="s">
        <v>27</v>
      </c>
      <c r="E14" s="403"/>
      <c r="F14" s="39">
        <f>[3]Sept!$N69</f>
        <v>700</v>
      </c>
      <c r="G14" s="18">
        <v>5440</v>
      </c>
      <c r="H14" s="54">
        <f t="shared" si="0"/>
        <v>65.828571428571422</v>
      </c>
      <c r="I14" s="55"/>
      <c r="J14" s="54">
        <f>SUM(90,91.4,88.4,92)</f>
        <v>361.8</v>
      </c>
      <c r="K14" s="54">
        <f t="shared" si="8"/>
        <v>359.04</v>
      </c>
      <c r="L14" s="54">
        <f t="shared" si="7"/>
        <v>2.7599999999999909</v>
      </c>
      <c r="M14" s="55">
        <f>[3]Sept!$AD14</f>
        <v>243</v>
      </c>
      <c r="N14" s="55">
        <f>2+1</f>
        <v>3</v>
      </c>
      <c r="O14" s="55"/>
      <c r="P14" s="51">
        <f t="shared" si="6"/>
        <v>0.76285240464344684</v>
      </c>
      <c r="Q14" s="55">
        <f>(G14)/(E13/60)</f>
        <v>226.66666666666666</v>
      </c>
      <c r="R14" s="16"/>
      <c r="S14" s="54">
        <f>SUM('[4]Daily glue Sep'!$H$9:$H$10)</f>
        <v>1.1447944482967203E-2</v>
      </c>
      <c r="T14" s="6"/>
    </row>
    <row r="15" spans="1:16384" ht="15.75">
      <c r="B15" s="92">
        <v>46268</v>
      </c>
      <c r="C15" s="88">
        <v>3</v>
      </c>
      <c r="D15" s="30" t="s">
        <v>137</v>
      </c>
      <c r="E15" s="404"/>
      <c r="F15" s="39">
        <f>[3]Sept!$N70</f>
        <v>68</v>
      </c>
      <c r="G15" s="18">
        <v>0</v>
      </c>
      <c r="H15" s="54">
        <f t="shared" si="0"/>
        <v>0</v>
      </c>
      <c r="I15" s="55"/>
      <c r="J15" s="54">
        <v>0</v>
      </c>
      <c r="K15" s="54">
        <f t="shared" si="8"/>
        <v>0</v>
      </c>
      <c r="L15" s="54">
        <f t="shared" si="7"/>
        <v>0</v>
      </c>
      <c r="M15" s="55">
        <f>[3]Sept!$AD15</f>
        <v>297</v>
      </c>
      <c r="N15" s="55">
        <v>0</v>
      </c>
      <c r="O15" s="55"/>
      <c r="P15" s="51" t="e">
        <f t="shared" si="6"/>
        <v>#DIV/0!</v>
      </c>
      <c r="Q15" s="55">
        <f>(G15)/(E13/60)</f>
        <v>0</v>
      </c>
      <c r="R15" s="33"/>
      <c r="S15" s="184"/>
      <c r="T15" s="6"/>
    </row>
    <row r="16" spans="1:16384" ht="15.75">
      <c r="B16" s="92">
        <v>46269</v>
      </c>
      <c r="C16" s="88">
        <v>4</v>
      </c>
      <c r="D16" s="30" t="s">
        <v>137</v>
      </c>
      <c r="E16" s="48">
        <v>247</v>
      </c>
      <c r="F16" s="39">
        <f>[3]Sept!$N71</f>
        <v>180</v>
      </c>
      <c r="G16" s="18">
        <v>1459</v>
      </c>
      <c r="H16" s="54">
        <f t="shared" si="0"/>
        <v>68.658823529411762</v>
      </c>
      <c r="I16" s="55"/>
      <c r="J16" s="54">
        <v>100.9</v>
      </c>
      <c r="K16" s="54">
        <f t="shared" si="8"/>
        <v>96.294000000000011</v>
      </c>
      <c r="L16" s="54">
        <f t="shared" si="7"/>
        <v>4.6059999999999945</v>
      </c>
      <c r="M16" s="55">
        <f>[3]Sept!$AD16</f>
        <v>71</v>
      </c>
      <c r="N16" s="55">
        <v>6</v>
      </c>
      <c r="O16" s="55"/>
      <c r="P16" s="51">
        <f t="shared" si="6"/>
        <v>4.5649157581764062</v>
      </c>
      <c r="Q16" s="55">
        <f>(G16)/(E16/60)</f>
        <v>354.41295546558706</v>
      </c>
      <c r="R16" s="33"/>
      <c r="S16" s="54">
        <f>'[4]Daily glue Sep'!$H$11</f>
        <v>6.4222069910897872E-3</v>
      </c>
      <c r="T16" s="6"/>
    </row>
    <row r="17" spans="2:20" s="254" customFormat="1" ht="15.75" customHeight="1">
      <c r="B17" s="190">
        <v>46273</v>
      </c>
      <c r="C17" s="191">
        <v>5</v>
      </c>
      <c r="D17" s="192" t="s">
        <v>45</v>
      </c>
      <c r="E17" s="380">
        <v>910</v>
      </c>
      <c r="F17" s="365">
        <f>[3]Sept!$N72</f>
        <v>757</v>
      </c>
      <c r="G17" s="185">
        <v>3961</v>
      </c>
      <c r="H17" s="184">
        <f t="shared" si="0"/>
        <v>44.322324966974904</v>
      </c>
      <c r="I17" s="187"/>
      <c r="J17" s="184">
        <f>SUM(99,97,101.4,82.7)-54.2-59.9</f>
        <v>266</v>
      </c>
      <c r="K17" s="184">
        <f t="shared" si="8"/>
        <v>261.42599999999999</v>
      </c>
      <c r="L17" s="184">
        <f t="shared" si="7"/>
        <v>4.5740000000000123</v>
      </c>
      <c r="M17" s="187">
        <f>[3]Sept!$AD17</f>
        <v>426</v>
      </c>
      <c r="N17" s="187">
        <v>24</v>
      </c>
      <c r="O17" s="187"/>
      <c r="P17" s="366">
        <f t="shared" si="6"/>
        <v>1.7195488721804559</v>
      </c>
      <c r="Q17" s="187">
        <f>(G17)/(E17/60)</f>
        <v>261.16483516483515</v>
      </c>
      <c r="R17" s="381"/>
      <c r="S17" s="184">
        <f>'[4]Daily glue Sep'!$H$15</f>
        <v>6.4889196675900276E-3</v>
      </c>
      <c r="T17" s="253"/>
    </row>
    <row r="18" spans="2:20" ht="15.75" customHeight="1">
      <c r="B18" s="92">
        <v>46274</v>
      </c>
      <c r="C18" s="88">
        <v>6</v>
      </c>
      <c r="D18" s="30" t="s">
        <v>45</v>
      </c>
      <c r="E18" s="48">
        <v>910</v>
      </c>
      <c r="F18" s="39">
        <f>[3]Sept!$N73</f>
        <v>694</v>
      </c>
      <c r="G18" s="18">
        <v>6085</v>
      </c>
      <c r="H18" s="54">
        <f>(G18)*24/(F18/60)/17000*100</f>
        <v>74.270215290727251</v>
      </c>
      <c r="I18" s="55"/>
      <c r="J18" s="54">
        <f>SUM(96.5,91.5,54.2,59.9,97.5,95.7)-90.4</f>
        <v>404.9</v>
      </c>
      <c r="K18" s="54">
        <f t="shared" si="8"/>
        <v>401.61</v>
      </c>
      <c r="L18" s="54">
        <f t="shared" si="7"/>
        <v>3.2899999999999636</v>
      </c>
      <c r="M18" s="55">
        <f>[3]Sept!$AD18</f>
        <v>178</v>
      </c>
      <c r="N18" s="55">
        <f>24+10</f>
        <v>34</v>
      </c>
      <c r="O18" s="55"/>
      <c r="P18" s="51">
        <f t="shared" si="6"/>
        <v>0.81254630773029479</v>
      </c>
      <c r="Q18" s="55">
        <f>(G18)/(E18/60)</f>
        <v>401.20879120879124</v>
      </c>
      <c r="R18" s="33"/>
      <c r="S18" s="54">
        <f>SUM('[4]Daily glue Sep'!$H$16:$H$17)</f>
        <v>1.0925125650022832E-2</v>
      </c>
      <c r="T18" s="6"/>
    </row>
    <row r="19" spans="2:20" ht="15.75" customHeight="1">
      <c r="B19" s="92">
        <v>46275</v>
      </c>
      <c r="C19" s="88">
        <v>7</v>
      </c>
      <c r="D19" s="30" t="s">
        <v>45</v>
      </c>
      <c r="E19" s="48">
        <v>910</v>
      </c>
      <c r="F19" s="39">
        <f>[3]Sept!$N74</f>
        <v>798</v>
      </c>
      <c r="G19" s="18">
        <v>6104</v>
      </c>
      <c r="H19" s="54">
        <f>(G19)*24/(F19/60)/17000*100</f>
        <v>64.792569659442719</v>
      </c>
      <c r="I19" s="55"/>
      <c r="J19" s="54">
        <f>SUM(90.4,87.1,83,91,109)-57</f>
        <v>403.5</v>
      </c>
      <c r="K19" s="54">
        <f t="shared" si="8"/>
        <v>402.86400000000003</v>
      </c>
      <c r="L19" s="54">
        <f t="shared" si="7"/>
        <v>0.63599999999996726</v>
      </c>
      <c r="M19" s="55">
        <f>[3]Sept!$AD19</f>
        <v>117</v>
      </c>
      <c r="N19" s="55">
        <v>12</v>
      </c>
      <c r="O19" s="55"/>
      <c r="P19" s="51">
        <f t="shared" si="6"/>
        <v>0.15762081784385804</v>
      </c>
      <c r="Q19" s="55">
        <f t="shared" ref="Q19:Q53" si="9">(G19)/(E19/60)</f>
        <v>402.46153846153845</v>
      </c>
      <c r="R19" s="33"/>
      <c r="S19" s="54">
        <f>'[4]Daily glue Sep'!$H$18</f>
        <v>7.1308980213089799E-3</v>
      </c>
      <c r="T19" s="6"/>
    </row>
    <row r="20" spans="2:20" ht="17.25" customHeight="1">
      <c r="B20" s="92">
        <v>46276</v>
      </c>
      <c r="C20" s="88">
        <v>8</v>
      </c>
      <c r="D20" s="30" t="s">
        <v>45</v>
      </c>
      <c r="E20" s="402">
        <v>790</v>
      </c>
      <c r="F20" s="39">
        <f>[3]Sept!$N75</f>
        <v>109</v>
      </c>
      <c r="G20" s="18">
        <v>854</v>
      </c>
      <c r="H20" s="54">
        <f t="shared" si="0"/>
        <v>66.365893146249334</v>
      </c>
      <c r="I20" s="55"/>
      <c r="J20" s="54">
        <f>SUM(57)</f>
        <v>57</v>
      </c>
      <c r="K20" s="54">
        <f t="shared" si="8"/>
        <v>56.364000000000004</v>
      </c>
      <c r="L20" s="54">
        <f t="shared" si="7"/>
        <v>0.63599999999999568</v>
      </c>
      <c r="M20" s="55">
        <f>[3]Sept!$AD20</f>
        <v>22</v>
      </c>
      <c r="N20" s="55">
        <f>6+1</f>
        <v>7</v>
      </c>
      <c r="O20" s="55"/>
      <c r="P20" s="51">
        <f t="shared" si="6"/>
        <v>1.1157894736842029</v>
      </c>
      <c r="Q20" s="55">
        <f t="shared" si="9"/>
        <v>64.860759493670884</v>
      </c>
      <c r="R20" s="33"/>
      <c r="S20" s="54">
        <f>[4]!Table1456782456791011[[#This Row],[Glue usage lb/ case]]</f>
        <v>1.0971896955503511E-2</v>
      </c>
      <c r="T20" s="6"/>
    </row>
    <row r="21" spans="2:20" ht="15.75" customHeight="1">
      <c r="B21" s="92">
        <v>46276</v>
      </c>
      <c r="C21" s="88">
        <v>8</v>
      </c>
      <c r="D21" s="30" t="s">
        <v>49</v>
      </c>
      <c r="E21" s="404"/>
      <c r="F21" s="39">
        <f>[3]Sept!$N76</f>
        <v>427</v>
      </c>
      <c r="G21" s="18">
        <v>3180</v>
      </c>
      <c r="H21" s="54">
        <f t="shared" si="0"/>
        <v>63.083069293291096</v>
      </c>
      <c r="I21" s="55"/>
      <c r="J21" s="54">
        <f>SUM(97,96,90)-70</f>
        <v>213</v>
      </c>
      <c r="K21" s="54">
        <f t="shared" si="8"/>
        <v>209.88000000000002</v>
      </c>
      <c r="L21" s="54">
        <f t="shared" si="7"/>
        <v>3.1199999999999761</v>
      </c>
      <c r="M21" s="55">
        <f>[3]Sept!$AD21</f>
        <v>198</v>
      </c>
      <c r="N21" s="55">
        <v>0</v>
      </c>
      <c r="O21" s="55"/>
      <c r="P21" s="51">
        <f t="shared" si="6"/>
        <v>1.4647887323943549</v>
      </c>
      <c r="Q21" s="55">
        <f>(G21)/(E20/60)</f>
        <v>241.51898734177217</v>
      </c>
      <c r="R21" s="16"/>
      <c r="S21" s="54">
        <f>'[4]Daily glue Sep'!$H$22</f>
        <v>4.4875478927203062E-3</v>
      </c>
      <c r="T21" s="6"/>
    </row>
    <row r="22" spans="2:20" ht="15.75" customHeight="1">
      <c r="B22" s="92">
        <v>46279</v>
      </c>
      <c r="C22" s="88">
        <v>9</v>
      </c>
      <c r="D22" s="30" t="s">
        <v>49</v>
      </c>
      <c r="E22" s="402">
        <v>1380</v>
      </c>
      <c r="F22" s="39">
        <f>[3]Sept!$N77</f>
        <v>467</v>
      </c>
      <c r="G22" s="18">
        <v>2454</v>
      </c>
      <c r="H22" s="54">
        <f t="shared" si="0"/>
        <v>44.511399420581938</v>
      </c>
      <c r="I22" s="55"/>
      <c r="J22" s="54">
        <f>SUM(97,70)</f>
        <v>167</v>
      </c>
      <c r="K22" s="54">
        <f t="shared" si="8"/>
        <v>161.964</v>
      </c>
      <c r="L22" s="54">
        <f t="shared" si="7"/>
        <v>5.0360000000000014</v>
      </c>
      <c r="M22" s="55">
        <f>[3]Sept!$AD22</f>
        <v>226</v>
      </c>
      <c r="N22" s="55">
        <f>14+5</f>
        <v>19</v>
      </c>
      <c r="O22" s="55"/>
      <c r="P22" s="51">
        <f t="shared" si="6"/>
        <v>3.0155688622754502</v>
      </c>
      <c r="Q22" s="55">
        <f t="shared" si="9"/>
        <v>106.69565217391305</v>
      </c>
      <c r="R22" s="33"/>
      <c r="S22" s="54">
        <f>SUM('[4]Daily glue Sep'!$H$22:$H$23)</f>
        <v>1.1877137798083082E-2</v>
      </c>
      <c r="T22" s="6"/>
    </row>
    <row r="23" spans="2:20" ht="15.75" customHeight="1">
      <c r="B23" s="92">
        <v>46279</v>
      </c>
      <c r="C23" s="88">
        <v>9</v>
      </c>
      <c r="D23" s="30" t="s">
        <v>27</v>
      </c>
      <c r="E23" s="404"/>
      <c r="F23" s="39">
        <f>[3]Sept!$N78</f>
        <v>691</v>
      </c>
      <c r="G23" s="18">
        <v>5090</v>
      </c>
      <c r="H23" s="54">
        <f t="shared" si="0"/>
        <v>62.395505235379247</v>
      </c>
      <c r="I23" s="55"/>
      <c r="J23" s="54">
        <f>SUM(95.9,96.2,95.8,98.5,69)-55.5-62</f>
        <v>337.90000000000003</v>
      </c>
      <c r="K23" s="54">
        <f t="shared" si="8"/>
        <v>335.94</v>
      </c>
      <c r="L23" s="54">
        <f t="shared" si="7"/>
        <v>1.9600000000000364</v>
      </c>
      <c r="M23" s="55">
        <f>[3]Sept!$AD23</f>
        <v>242</v>
      </c>
      <c r="N23" s="55">
        <f>5+3</f>
        <v>8</v>
      </c>
      <c r="O23" s="55"/>
      <c r="P23" s="51">
        <f t="shared" si="6"/>
        <v>0.58005327019829422</v>
      </c>
      <c r="Q23" s="55">
        <f>(G23)/(E22/60)</f>
        <v>221.30434782608697</v>
      </c>
      <c r="R23" s="33"/>
      <c r="S23" s="54">
        <f>'[4]Daily glue Sep'!$H$24</f>
        <v>7.8827818283791363E-3</v>
      </c>
      <c r="T23" s="6"/>
    </row>
    <row r="24" spans="2:20" ht="15.75" customHeight="1">
      <c r="B24" s="92">
        <v>46280</v>
      </c>
      <c r="C24" s="88">
        <v>10</v>
      </c>
      <c r="D24" s="30" t="s">
        <v>27</v>
      </c>
      <c r="E24" s="402">
        <v>1430</v>
      </c>
      <c r="F24" s="39">
        <f>[3]Sept!$N79</f>
        <v>221</v>
      </c>
      <c r="G24" s="18">
        <v>1759</v>
      </c>
      <c r="H24" s="54">
        <f t="shared" si="0"/>
        <v>67.419749800372642</v>
      </c>
      <c r="I24" s="55"/>
      <c r="J24" s="54">
        <f>SUM(62,55.5)</f>
        <v>117.5</v>
      </c>
      <c r="K24" s="54">
        <f t="shared" ref="K24:K45" si="10">(G24)*0.066</f>
        <v>116.09400000000001</v>
      </c>
      <c r="L24" s="54">
        <f t="shared" ref="L24:L48" si="11">J24-K24</f>
        <v>1.4059999999999917</v>
      </c>
      <c r="M24" s="55">
        <f>[3]Sept!$AD24</f>
        <v>86</v>
      </c>
      <c r="N24" s="55">
        <v>5</v>
      </c>
      <c r="O24" s="55"/>
      <c r="P24" s="51">
        <f t="shared" si="6"/>
        <v>1.196595744680844</v>
      </c>
      <c r="Q24" s="55">
        <f t="shared" si="9"/>
        <v>73.804195804195814</v>
      </c>
      <c r="R24" s="16"/>
      <c r="S24" s="54">
        <f>'[4]Daily glue Sep'!$H$25</f>
        <v>3.0422077922077919E-3</v>
      </c>
      <c r="T24" s="6"/>
    </row>
    <row r="25" spans="2:20" ht="15.75" customHeight="1">
      <c r="B25" s="92">
        <v>46280</v>
      </c>
      <c r="C25" s="88">
        <v>10</v>
      </c>
      <c r="D25" s="30" t="s">
        <v>146</v>
      </c>
      <c r="E25" s="404"/>
      <c r="F25" s="39">
        <f>[3]Sept!$N80</f>
        <v>1030</v>
      </c>
      <c r="G25" s="18">
        <v>7376</v>
      </c>
      <c r="H25" s="54">
        <f t="shared" si="0"/>
        <v>60.659280411193592</v>
      </c>
      <c r="I25" s="55"/>
      <c r="J25" s="184">
        <f>SUM(91.2,95.2,63,95,96,76.5,57.4)-30-44.2</f>
        <v>500.09999999999997</v>
      </c>
      <c r="K25" s="54">
        <f t="shared" si="10"/>
        <v>486.81600000000003</v>
      </c>
      <c r="L25" s="54">
        <f t="shared" si="11"/>
        <v>13.283999999999935</v>
      </c>
      <c r="M25" s="55">
        <f>[3]Sept!$AD25</f>
        <v>301</v>
      </c>
      <c r="N25" s="55">
        <f>5+14</f>
        <v>19</v>
      </c>
      <c r="O25" s="55"/>
      <c r="P25" s="51">
        <f t="shared" si="6"/>
        <v>2.6562687462507371</v>
      </c>
      <c r="Q25" s="55">
        <f>(G25)/(E24/60)</f>
        <v>309.48251748251749</v>
      </c>
      <c r="R25" s="33"/>
      <c r="S25" s="54">
        <f>SUM('[4]Daily glue Sep'!$H$26:$H$27)</f>
        <v>1.0607730779722265E-2</v>
      </c>
      <c r="T25" s="6"/>
    </row>
    <row r="26" spans="2:20" ht="15.75" customHeight="1">
      <c r="B26" s="92">
        <v>46281</v>
      </c>
      <c r="C26" s="88">
        <v>11</v>
      </c>
      <c r="D26" s="30" t="s">
        <v>45</v>
      </c>
      <c r="E26" s="402">
        <v>1430</v>
      </c>
      <c r="F26" s="39">
        <f>[3]Sept!$N81</f>
        <v>394</v>
      </c>
      <c r="G26" s="18">
        <v>3098</v>
      </c>
      <c r="H26" s="54">
        <f t="shared" si="0"/>
        <v>66.603762317109599</v>
      </c>
      <c r="I26" s="55">
        <f>460+70</f>
        <v>530</v>
      </c>
      <c r="J26" s="54">
        <f>SUM(72.2,99.2,44.2)-8</f>
        <v>207.60000000000002</v>
      </c>
      <c r="K26" s="54">
        <f t="shared" si="10"/>
        <v>204.46800000000002</v>
      </c>
      <c r="L26" s="54">
        <f t="shared" si="11"/>
        <v>3.132000000000005</v>
      </c>
      <c r="M26" s="55">
        <f>[3]Sept!$AD26</f>
        <v>159</v>
      </c>
      <c r="N26" s="55">
        <f>5+2</f>
        <v>7</v>
      </c>
      <c r="O26" s="55"/>
      <c r="P26" s="51">
        <f t="shared" si="6"/>
        <v>1.5086705202312161</v>
      </c>
      <c r="Q26" s="55">
        <f t="shared" si="9"/>
        <v>129.986013986014</v>
      </c>
      <c r="R26" s="33"/>
      <c r="S26" s="54">
        <f>SUM('[4]Daily glue Sep'!$H$28:$H$29)</f>
        <v>5.9725930028380666E-3</v>
      </c>
      <c r="T26" s="6"/>
    </row>
    <row r="27" spans="2:20" ht="15.75" customHeight="1">
      <c r="B27" s="92">
        <v>46281</v>
      </c>
      <c r="C27" s="88">
        <v>11</v>
      </c>
      <c r="D27" s="30" t="s">
        <v>161</v>
      </c>
      <c r="E27" s="404"/>
      <c r="F27" s="39">
        <f>[3]Sept!$N82</f>
        <v>88</v>
      </c>
      <c r="G27" s="18">
        <v>589</v>
      </c>
      <c r="H27" s="54">
        <f t="shared" si="0"/>
        <v>56.695187165775394</v>
      </c>
      <c r="I27" s="55"/>
      <c r="J27" s="54">
        <f>SUM(87.3)-45</f>
        <v>42.3</v>
      </c>
      <c r="K27" s="54">
        <f t="shared" si="10"/>
        <v>38.874000000000002</v>
      </c>
      <c r="L27" s="54">
        <f t="shared" si="11"/>
        <v>3.4259999999999948</v>
      </c>
      <c r="M27" s="55">
        <f>[3]Sept!$AD27</f>
        <v>901</v>
      </c>
      <c r="N27" s="55">
        <v>16</v>
      </c>
      <c r="O27" s="55"/>
      <c r="P27" s="51">
        <f t="shared" si="6"/>
        <v>8.0992907801418319</v>
      </c>
      <c r="Q27" s="55">
        <f>(G27)/(E26/60)</f>
        <v>24.713286713286713</v>
      </c>
      <c r="R27" s="33"/>
      <c r="S27" s="184"/>
      <c r="T27" s="6"/>
    </row>
    <row r="28" spans="2:20" ht="15.75" customHeight="1">
      <c r="B28" s="92">
        <v>46282</v>
      </c>
      <c r="C28" s="88">
        <v>12</v>
      </c>
      <c r="D28" s="30" t="s">
        <v>161</v>
      </c>
      <c r="E28" s="402">
        <v>1440</v>
      </c>
      <c r="F28" s="39">
        <f>[3]Sept!$N83</f>
        <v>248</v>
      </c>
      <c r="G28" s="18">
        <v>623</v>
      </c>
      <c r="H28" s="54">
        <f t="shared" si="0"/>
        <v>21.278937381404173</v>
      </c>
      <c r="I28" s="55"/>
      <c r="J28" s="54">
        <v>45</v>
      </c>
      <c r="K28" s="54">
        <f t="shared" si="10"/>
        <v>41.118000000000002</v>
      </c>
      <c r="L28" s="54">
        <f t="shared" si="11"/>
        <v>3.8819999999999979</v>
      </c>
      <c r="M28" s="55">
        <f>[3]Sept!$AD28</f>
        <v>185</v>
      </c>
      <c r="N28" s="55">
        <v>6</v>
      </c>
      <c r="O28" s="55"/>
      <c r="P28" s="51">
        <f t="shared" si="6"/>
        <v>8.6266666666666616</v>
      </c>
      <c r="Q28" s="55">
        <f t="shared" si="9"/>
        <v>25.958333333333332</v>
      </c>
      <c r="R28" s="33"/>
      <c r="S28" s="54">
        <f>'[4]Daily glue Sep'!$H$31</f>
        <v>1.5076427996781978E-2</v>
      </c>
      <c r="T28" s="6"/>
    </row>
    <row r="29" spans="2:20" ht="15.75" customHeight="1">
      <c r="B29" s="92">
        <v>46282</v>
      </c>
      <c r="C29" s="88">
        <v>12</v>
      </c>
      <c r="D29" s="30" t="s">
        <v>163</v>
      </c>
      <c r="E29" s="403"/>
      <c r="F29" s="39">
        <f>[3]Sept!$N84</f>
        <v>459</v>
      </c>
      <c r="G29" s="18">
        <v>1134</v>
      </c>
      <c r="H29" s="54">
        <f t="shared" si="0"/>
        <v>20.927335640138409</v>
      </c>
      <c r="I29" s="55"/>
      <c r="J29" s="54">
        <f>SUM(82)</f>
        <v>82</v>
      </c>
      <c r="K29" s="54">
        <f t="shared" si="10"/>
        <v>74.844000000000008</v>
      </c>
      <c r="L29" s="54">
        <f t="shared" si="11"/>
        <v>7.1559999999999917</v>
      </c>
      <c r="M29" s="55">
        <f>[3]Sept!$AD29</f>
        <v>251</v>
      </c>
      <c r="N29" s="55">
        <f>3+10</f>
        <v>13</v>
      </c>
      <c r="O29" s="55"/>
      <c r="P29" s="51">
        <f t="shared" si="6"/>
        <v>8.726829268292672</v>
      </c>
      <c r="Q29" s="55">
        <f>(G29)/(E28/60)</f>
        <v>47.25</v>
      </c>
      <c r="R29" s="33"/>
      <c r="S29" s="54">
        <f>'[4]Daily glue Sep'!$H$32</f>
        <v>2.1065647482014387E-2</v>
      </c>
      <c r="T29" s="6"/>
    </row>
    <row r="30" spans="2:20" ht="15.75" customHeight="1">
      <c r="B30" s="92">
        <v>46282</v>
      </c>
      <c r="C30" s="88">
        <v>12</v>
      </c>
      <c r="D30" s="30" t="s">
        <v>162</v>
      </c>
      <c r="E30" s="404"/>
      <c r="F30" s="39">
        <f>[3]Sept!$N85</f>
        <v>544</v>
      </c>
      <c r="G30" s="18">
        <v>2640</v>
      </c>
      <c r="H30" s="54">
        <f t="shared" si="0"/>
        <v>41.107266435986155</v>
      </c>
      <c r="I30" s="55">
        <v>6</v>
      </c>
      <c r="J30" s="54">
        <f>SUM(94.8,88.4)</f>
        <v>183.2</v>
      </c>
      <c r="K30" s="54">
        <f t="shared" si="10"/>
        <v>174.24</v>
      </c>
      <c r="L30" s="54">
        <f t="shared" si="11"/>
        <v>8.9599999999999795</v>
      </c>
      <c r="M30" s="55">
        <f>[3]Sept!$AD30</f>
        <v>339</v>
      </c>
      <c r="N30" s="55">
        <f>3+5+6</f>
        <v>14</v>
      </c>
      <c r="O30" s="55"/>
      <c r="P30" s="51">
        <f t="shared" si="6"/>
        <v>4.8908296943231333</v>
      </c>
      <c r="Q30" s="55">
        <f>(G30)/(E28/60)</f>
        <v>110</v>
      </c>
      <c r="R30" s="33"/>
      <c r="S30" s="54">
        <f>'[4]Daily glue Sep'!$H$33</f>
        <v>1.531045751633987E-2</v>
      </c>
      <c r="T30" s="6"/>
    </row>
    <row r="31" spans="2:20" ht="17.25" customHeight="1">
      <c r="B31" s="92">
        <v>46283</v>
      </c>
      <c r="C31" s="88">
        <v>13</v>
      </c>
      <c r="D31" s="30" t="s">
        <v>146</v>
      </c>
      <c r="E31" s="402">
        <v>1260</v>
      </c>
      <c r="F31" s="39">
        <f>[3]Sept!$N86</f>
        <v>629</v>
      </c>
      <c r="G31" s="18">
        <v>5195</v>
      </c>
      <c r="H31" s="54">
        <f t="shared" si="0"/>
        <v>69.959786776395774</v>
      </c>
      <c r="I31" s="55"/>
      <c r="J31" s="54">
        <f>SUM(95,77.7,98,93.5)-15</f>
        <v>349.2</v>
      </c>
      <c r="K31" s="54">
        <f t="shared" si="10"/>
        <v>342.87</v>
      </c>
      <c r="L31" s="54">
        <f t="shared" si="11"/>
        <v>6.3299999999999841</v>
      </c>
      <c r="M31" s="55">
        <f>[3]Sept!$AD31</f>
        <v>345</v>
      </c>
      <c r="N31" s="55">
        <f>2+3</f>
        <v>5</v>
      </c>
      <c r="O31" s="55"/>
      <c r="P31" s="51">
        <f t="shared" si="6"/>
        <v>1.812714776632298</v>
      </c>
      <c r="Q31" s="55">
        <f t="shared" si="9"/>
        <v>247.38095238095238</v>
      </c>
      <c r="R31" s="33"/>
      <c r="S31" s="54">
        <f>'[4]Daily glue Sep'!$H$35</f>
        <v>1.0242036227357899E-2</v>
      </c>
      <c r="T31" s="6"/>
    </row>
    <row r="32" spans="2:20" ht="18.75" customHeight="1">
      <c r="B32" s="92">
        <v>46283</v>
      </c>
      <c r="C32" s="88">
        <v>13</v>
      </c>
      <c r="D32" s="30" t="s">
        <v>139</v>
      </c>
      <c r="E32" s="403"/>
      <c r="F32" s="405">
        <f>[3]Sept!$N87</f>
        <v>106</v>
      </c>
      <c r="G32" s="18">
        <v>368</v>
      </c>
      <c r="H32" s="54">
        <f t="shared" si="0"/>
        <v>29.407325194228633</v>
      </c>
      <c r="I32" s="55"/>
      <c r="J32" s="428">
        <f>SUM(52.6)</f>
        <v>52.6</v>
      </c>
      <c r="K32" s="428">
        <f>(G32+G33)*0.066</f>
        <v>49.764000000000003</v>
      </c>
      <c r="L32" s="428">
        <f t="shared" si="11"/>
        <v>2.8359999999999985</v>
      </c>
      <c r="M32" s="406">
        <f>[3]Sept!$AD32</f>
        <v>32</v>
      </c>
      <c r="N32" s="406">
        <v>8</v>
      </c>
      <c r="O32" s="55"/>
      <c r="P32" s="428">
        <f t="shared" si="6"/>
        <v>5.3916349809885906</v>
      </c>
      <c r="Q32" s="55">
        <f>(G32)/(E31/60)</f>
        <v>17.523809523809526</v>
      </c>
      <c r="R32" s="33"/>
      <c r="S32" s="428">
        <f>'[4]Daily glue Sep'!$H$36/2</f>
        <v>3.2958142806894125E-3</v>
      </c>
      <c r="T32" s="6"/>
    </row>
    <row r="33" spans="1:21" ht="18.75" customHeight="1">
      <c r="B33" s="92">
        <v>46283</v>
      </c>
      <c r="C33" s="88">
        <v>13</v>
      </c>
      <c r="D33" s="30" t="s">
        <v>138</v>
      </c>
      <c r="E33" s="403"/>
      <c r="F33" s="405"/>
      <c r="G33" s="18">
        <v>386</v>
      </c>
      <c r="H33" s="54" t="e">
        <f t="shared" si="0"/>
        <v>#DIV/0!</v>
      </c>
      <c r="I33" s="55"/>
      <c r="J33" s="428"/>
      <c r="K33" s="428"/>
      <c r="L33" s="428"/>
      <c r="M33" s="406"/>
      <c r="N33" s="406"/>
      <c r="O33" s="55"/>
      <c r="P33" s="428"/>
      <c r="Q33" s="55">
        <f>(G33)/(E31/60)</f>
        <v>18.38095238095238</v>
      </c>
      <c r="R33" s="33"/>
      <c r="S33" s="428"/>
      <c r="T33" s="6"/>
    </row>
    <row r="34" spans="1:21" ht="16.5" customHeight="1">
      <c r="B34" s="92">
        <v>46283</v>
      </c>
      <c r="C34" s="88">
        <v>13</v>
      </c>
      <c r="D34" s="30" t="s">
        <v>140</v>
      </c>
      <c r="E34" s="403"/>
      <c r="F34" s="405">
        <f>[3]Sept!$N88</f>
        <v>101</v>
      </c>
      <c r="G34" s="18">
        <v>369</v>
      </c>
      <c r="H34" s="54">
        <f t="shared" si="0"/>
        <v>30.947000582411182</v>
      </c>
      <c r="I34" s="55"/>
      <c r="J34" s="428">
        <f>50</f>
        <v>50</v>
      </c>
      <c r="K34" s="428">
        <f>(G34+G35)*0.066</f>
        <v>48.18</v>
      </c>
      <c r="L34" s="428">
        <f t="shared" si="11"/>
        <v>1.8200000000000003</v>
      </c>
      <c r="M34" s="406">
        <f>[3]Sept!$AD33</f>
        <v>26</v>
      </c>
      <c r="N34" s="406">
        <v>10</v>
      </c>
      <c r="O34" s="55"/>
      <c r="P34" s="428">
        <f t="shared" si="6"/>
        <v>3.640000000000001</v>
      </c>
      <c r="Q34" s="55">
        <f>(G34)/(E31/60)</f>
        <v>17.571428571428573</v>
      </c>
      <c r="R34" s="33"/>
      <c r="S34" s="428">
        <f>'[4]Daily glue Sep'!$H$36/2</f>
        <v>3.2958142806894125E-3</v>
      </c>
      <c r="T34" s="6"/>
    </row>
    <row r="35" spans="1:21" ht="18.75" customHeight="1">
      <c r="B35" s="92">
        <v>46283</v>
      </c>
      <c r="C35" s="88">
        <v>13</v>
      </c>
      <c r="D35" s="30" t="s">
        <v>141</v>
      </c>
      <c r="E35" s="404"/>
      <c r="F35" s="405"/>
      <c r="G35" s="18">
        <v>361</v>
      </c>
      <c r="H35" s="54" t="e">
        <f t="shared" si="0"/>
        <v>#DIV/0!</v>
      </c>
      <c r="I35" s="55"/>
      <c r="J35" s="428"/>
      <c r="K35" s="428"/>
      <c r="L35" s="428"/>
      <c r="M35" s="406"/>
      <c r="N35" s="406"/>
      <c r="O35" s="55"/>
      <c r="P35" s="428"/>
      <c r="Q35" s="55">
        <f>(G35)/(E31/60)</f>
        <v>17.19047619047619</v>
      </c>
      <c r="R35" s="33"/>
      <c r="S35" s="428"/>
      <c r="T35" s="6"/>
    </row>
    <row r="36" spans="1:21" ht="15.75" customHeight="1">
      <c r="B36" s="92">
        <v>46286</v>
      </c>
      <c r="C36" s="88">
        <v>14</v>
      </c>
      <c r="D36" s="30" t="s">
        <v>142</v>
      </c>
      <c r="E36" s="402">
        <v>910</v>
      </c>
      <c r="F36" s="39">
        <f>[3]Sept!$N89</f>
        <v>111</v>
      </c>
      <c r="G36" s="358">
        <v>381</v>
      </c>
      <c r="H36" s="54">
        <f t="shared" si="0"/>
        <v>29.074721780604136</v>
      </c>
      <c r="I36" s="55"/>
      <c r="J36" s="428">
        <f>SUM(94,92)</f>
        <v>186</v>
      </c>
      <c r="K36" s="428">
        <f>(G36+G37)*0.066</f>
        <v>179.916</v>
      </c>
      <c r="L36" s="54">
        <f t="shared" si="11"/>
        <v>6.0840000000000032</v>
      </c>
      <c r="M36" s="55">
        <f>[3]Sept!$AD34</f>
        <v>196</v>
      </c>
      <c r="N36" s="406">
        <f>2+27</f>
        <v>29</v>
      </c>
      <c r="O36" s="55"/>
      <c r="P36" s="428">
        <f>(J36-K36)/J36*100</f>
        <v>3.2709677419354857</v>
      </c>
      <c r="Q36" s="55">
        <f>(G36)/(E36/60)</f>
        <v>25.12087912087912</v>
      </c>
      <c r="R36" s="33"/>
      <c r="S36" s="428">
        <f>SUM('[4]Daily glue Sep'!$H$37:$H$38)</f>
        <v>1.4731608285535493E-2</v>
      </c>
      <c r="T36" s="6"/>
    </row>
    <row r="37" spans="1:21" s="234" customFormat="1" ht="15.75" customHeight="1">
      <c r="A37"/>
      <c r="B37" s="92">
        <v>46286</v>
      </c>
      <c r="C37" s="88">
        <v>14</v>
      </c>
      <c r="D37" s="30" t="s">
        <v>164</v>
      </c>
      <c r="E37" s="404"/>
      <c r="F37" s="39">
        <f>[3]Sept!$N90</f>
        <v>331</v>
      </c>
      <c r="G37" s="358">
        <v>2345</v>
      </c>
      <c r="H37" s="54">
        <f t="shared" si="0"/>
        <v>60.010662875422071</v>
      </c>
      <c r="I37" s="55"/>
      <c r="J37" s="428"/>
      <c r="K37" s="428"/>
      <c r="L37" s="54">
        <f t="shared" si="11"/>
        <v>0</v>
      </c>
      <c r="M37" s="55">
        <f>[3]Sept!$AD35</f>
        <v>71</v>
      </c>
      <c r="N37" s="406"/>
      <c r="O37" s="55"/>
      <c r="P37" s="428"/>
      <c r="Q37" s="55">
        <f>(G37)/(E36/60)</f>
        <v>154.61538461538461</v>
      </c>
      <c r="R37" s="33"/>
      <c r="S37" s="428"/>
      <c r="T37" s="251"/>
    </row>
    <row r="38" spans="1:21" ht="15" customHeight="1">
      <c r="B38" s="92">
        <v>46287</v>
      </c>
      <c r="C38" s="88">
        <v>15</v>
      </c>
      <c r="D38" s="30" t="s">
        <v>27</v>
      </c>
      <c r="E38" s="48">
        <v>910</v>
      </c>
      <c r="F38" s="39">
        <f>[3]Sept!$N91</f>
        <v>732</v>
      </c>
      <c r="G38" s="18">
        <v>5538</v>
      </c>
      <c r="H38" s="54">
        <f t="shared" si="0"/>
        <v>64.084860173577624</v>
      </c>
      <c r="I38" s="55"/>
      <c r="J38" s="54">
        <f>SUM(95,100.3,102.3,96.5)-21.2</f>
        <v>372.90000000000003</v>
      </c>
      <c r="K38" s="54">
        <f t="shared" si="10"/>
        <v>365.50800000000004</v>
      </c>
      <c r="L38" s="54">
        <f t="shared" si="11"/>
        <v>7.3919999999999959</v>
      </c>
      <c r="M38" s="55">
        <f>[3]Sept!$AD36</f>
        <v>158</v>
      </c>
      <c r="N38" s="55">
        <v>3</v>
      </c>
      <c r="O38" s="55"/>
      <c r="P38" s="51">
        <f t="shared" si="6"/>
        <v>1.9823008849557511</v>
      </c>
      <c r="Q38" s="55">
        <f t="shared" si="9"/>
        <v>365.14285714285717</v>
      </c>
      <c r="R38" s="33"/>
      <c r="S38" s="54">
        <f>SUM('[4]Daily glue Sep'!$H$39:$H$40)</f>
        <v>1.1809309813840764E-2</v>
      </c>
      <c r="T38" s="6"/>
    </row>
    <row r="39" spans="1:21" ht="16.5" customHeight="1">
      <c r="B39" s="92">
        <v>46288</v>
      </c>
      <c r="C39" s="88">
        <v>16</v>
      </c>
      <c r="D39" s="30" t="s">
        <v>27</v>
      </c>
      <c r="E39" s="402">
        <v>910</v>
      </c>
      <c r="F39" s="39">
        <f>[3]Sept!$N92</f>
        <v>218</v>
      </c>
      <c r="G39" s="18">
        <v>1605</v>
      </c>
      <c r="H39" s="54">
        <f>(G39)*24/(F39/60)/17000*100</f>
        <v>62.363734484619535</v>
      </c>
      <c r="I39" s="55"/>
      <c r="J39" s="54">
        <v>109</v>
      </c>
      <c r="K39" s="54">
        <f t="shared" si="10"/>
        <v>105.93</v>
      </c>
      <c r="L39" s="54">
        <f t="shared" si="11"/>
        <v>3.0699999999999932</v>
      </c>
      <c r="M39" s="55">
        <f>[3]Sept!$AD37</f>
        <v>34</v>
      </c>
      <c r="N39" s="55">
        <v>4</v>
      </c>
      <c r="O39" s="55"/>
      <c r="P39" s="51">
        <f t="shared" si="6"/>
        <v>2.8165137614678835</v>
      </c>
      <c r="Q39" s="55">
        <f t="shared" si="9"/>
        <v>105.82417582417582</v>
      </c>
      <c r="R39" s="16"/>
      <c r="S39" s="218"/>
      <c r="T39" s="6"/>
    </row>
    <row r="40" spans="1:21" ht="15.75">
      <c r="B40" s="92">
        <v>46288</v>
      </c>
      <c r="C40" s="88">
        <v>16</v>
      </c>
      <c r="D40" s="30" t="s">
        <v>150</v>
      </c>
      <c r="E40" s="404"/>
      <c r="F40" s="39">
        <f>[3]Sept!$N93</f>
        <v>487</v>
      </c>
      <c r="G40" s="18">
        <v>2640</v>
      </c>
      <c r="H40" s="54">
        <f t="shared" si="0"/>
        <v>45.918589201594386</v>
      </c>
      <c r="I40" s="55"/>
      <c r="J40" s="54">
        <f>SUM(91.5,100.1)-17</f>
        <v>174.6</v>
      </c>
      <c r="K40" s="54">
        <f t="shared" si="10"/>
        <v>174.24</v>
      </c>
      <c r="L40" s="54">
        <f t="shared" si="11"/>
        <v>0.35999999999998522</v>
      </c>
      <c r="M40" s="55">
        <f>[3]Sept!$AD38</f>
        <v>232</v>
      </c>
      <c r="N40" s="187"/>
      <c r="O40" s="55"/>
      <c r="P40" s="51">
        <f t="shared" si="6"/>
        <v>0.20618556701030083</v>
      </c>
      <c r="Q40" s="55">
        <f>(G40)/(E39/60)</f>
        <v>174.06593406593407</v>
      </c>
      <c r="R40" s="16"/>
      <c r="S40" s="54">
        <f>'[4]Daily glue Sep'!$H$42</f>
        <v>8.8731060606060588E-3</v>
      </c>
    </row>
    <row r="41" spans="1:21" ht="17.25" customHeight="1">
      <c r="B41" s="92">
        <v>46289</v>
      </c>
      <c r="C41" s="88">
        <v>17</v>
      </c>
      <c r="D41" s="30" t="s">
        <v>150</v>
      </c>
      <c r="E41" s="48">
        <v>910</v>
      </c>
      <c r="F41" s="39">
        <f>[3]Sept!$N94</f>
        <v>723</v>
      </c>
      <c r="G41" s="18">
        <v>5378</v>
      </c>
      <c r="H41" s="54">
        <f t="shared" si="0"/>
        <v>63.008054674151815</v>
      </c>
      <c r="I41" s="55"/>
      <c r="J41" s="54">
        <f>SUM(17,98.5,98.4,81,98)-36.9</f>
        <v>356</v>
      </c>
      <c r="K41" s="54">
        <f t="shared" si="10"/>
        <v>354.94800000000004</v>
      </c>
      <c r="L41" s="54">
        <f t="shared" si="11"/>
        <v>1.0519999999999641</v>
      </c>
      <c r="M41" s="55">
        <f>[3]Sept!$AD39</f>
        <v>206</v>
      </c>
      <c r="N41" s="55">
        <f>8+11</f>
        <v>19</v>
      </c>
      <c r="O41" s="55"/>
      <c r="P41" s="51">
        <f t="shared" si="6"/>
        <v>0.29550561797751801</v>
      </c>
      <c r="Q41" s="55">
        <f>(G41)/(E41/60)</f>
        <v>354.5934065934066</v>
      </c>
      <c r="R41" s="33"/>
      <c r="S41" s="54">
        <f>'[4]Daily glue Sep'!$H$44</f>
        <v>6.1482939632545924E-3</v>
      </c>
    </row>
    <row r="42" spans="1:21" ht="15.75">
      <c r="B42" s="92">
        <v>46290</v>
      </c>
      <c r="C42" s="88">
        <v>18</v>
      </c>
      <c r="D42" s="30" t="s">
        <v>150</v>
      </c>
      <c r="E42" s="402">
        <v>703</v>
      </c>
      <c r="F42" s="39">
        <f>[3]Sept!$N95</f>
        <v>474</v>
      </c>
      <c r="G42" s="18">
        <v>3524</v>
      </c>
      <c r="H42" s="54">
        <f t="shared" si="0"/>
        <v>62.975428145941926</v>
      </c>
      <c r="I42" s="55"/>
      <c r="J42" s="54">
        <f>SUM(36.9,98.6,98)</f>
        <v>233.5</v>
      </c>
      <c r="K42" s="54">
        <f t="shared" si="10"/>
        <v>232.584</v>
      </c>
      <c r="L42" s="54">
        <f t="shared" si="11"/>
        <v>0.91599999999999682</v>
      </c>
      <c r="M42" s="55">
        <f>[3]Sept!$AD40</f>
        <v>127</v>
      </c>
      <c r="N42" s="55">
        <v>1</v>
      </c>
      <c r="O42" s="55"/>
      <c r="P42" s="51">
        <f t="shared" si="6"/>
        <v>0.39229122055674376</v>
      </c>
      <c r="Q42" s="55">
        <f t="shared" si="9"/>
        <v>300.76813655761026</v>
      </c>
      <c r="R42" s="33"/>
      <c r="S42" s="54">
        <f>'[4]Daily glue Sep'!$H$46/2</f>
        <v>5.5312868949232577E-3</v>
      </c>
    </row>
    <row r="43" spans="1:21" ht="15.75">
      <c r="B43" s="92">
        <v>46290</v>
      </c>
      <c r="C43" s="88">
        <v>18</v>
      </c>
      <c r="D43" s="30" t="s">
        <v>44</v>
      </c>
      <c r="E43" s="404"/>
      <c r="F43" s="39">
        <f>[3]Sept!$N96</f>
        <v>60</v>
      </c>
      <c r="G43" s="18">
        <v>461</v>
      </c>
      <c r="H43" s="54">
        <f t="shared" si="0"/>
        <v>65.082352941176467</v>
      </c>
      <c r="I43" s="55"/>
      <c r="J43" s="54">
        <f>94.3-63.8</f>
        <v>30.5</v>
      </c>
      <c r="K43" s="54">
        <f t="shared" si="10"/>
        <v>30.426000000000002</v>
      </c>
      <c r="L43" s="54">
        <f t="shared" si="11"/>
        <v>7.3999999999998067E-2</v>
      </c>
      <c r="M43" s="55">
        <f>[3]Sept!$AD41</f>
        <v>103</v>
      </c>
      <c r="N43" s="55">
        <v>3</v>
      </c>
      <c r="O43" s="55"/>
      <c r="P43" s="51">
        <f t="shared" si="6"/>
        <v>0.24262295081966578</v>
      </c>
      <c r="Q43" s="55">
        <f>(G43)/(E42/60)</f>
        <v>39.345661450924609</v>
      </c>
      <c r="R43" s="33"/>
      <c r="S43" s="54">
        <f>'[4]Daily glue Sep'!$H$46/2</f>
        <v>5.5312868949232577E-3</v>
      </c>
      <c r="U43" s="349"/>
    </row>
    <row r="44" spans="1:21" ht="19.5" customHeight="1">
      <c r="B44" s="92">
        <v>46293</v>
      </c>
      <c r="C44" s="88">
        <v>19</v>
      </c>
      <c r="D44" s="30" t="s">
        <v>44</v>
      </c>
      <c r="E44" s="48">
        <v>910</v>
      </c>
      <c r="F44" s="39">
        <f>[3]Sept!$N97</f>
        <v>739</v>
      </c>
      <c r="G44" s="18">
        <v>3920</v>
      </c>
      <c r="H44" s="54">
        <f t="shared" si="0"/>
        <v>44.93194300724349</v>
      </c>
      <c r="I44" s="55"/>
      <c r="J44" s="54">
        <f>SUM(63.8,95.5,94,93)-87.5</f>
        <v>258.8</v>
      </c>
      <c r="K44" s="54">
        <f t="shared" si="10"/>
        <v>258.72000000000003</v>
      </c>
      <c r="L44" s="54">
        <f t="shared" si="11"/>
        <v>7.9999999999984084E-2</v>
      </c>
      <c r="M44" s="55">
        <f>[3]Sept!$AD42</f>
        <v>326</v>
      </c>
      <c r="N44" s="55">
        <f>3+7</f>
        <v>10</v>
      </c>
      <c r="O44" s="55"/>
      <c r="P44" s="51">
        <f t="shared" si="6"/>
        <v>3.0911901081910387E-2</v>
      </c>
      <c r="Q44" s="55">
        <f>(G44)/(E44/60)</f>
        <v>258.46153846153845</v>
      </c>
      <c r="R44" s="16"/>
      <c r="S44" s="54">
        <f>SUM('[4]Daily glue Sep'!$H$47:$H$48)</f>
        <v>2.4426361415427852E-2</v>
      </c>
    </row>
    <row r="45" spans="1:21" ht="15.75" customHeight="1">
      <c r="B45" s="92">
        <v>46294</v>
      </c>
      <c r="C45" s="88">
        <v>20</v>
      </c>
      <c r="D45" s="30" t="s">
        <v>44</v>
      </c>
      <c r="E45" s="402">
        <v>910</v>
      </c>
      <c r="F45" s="39">
        <f>[3]Sept!$N98</f>
        <v>172</v>
      </c>
      <c r="G45" s="18">
        <v>1337</v>
      </c>
      <c r="H45" s="54">
        <f t="shared" si="0"/>
        <v>65.844049247606023</v>
      </c>
      <c r="I45" s="55"/>
      <c r="J45" s="184">
        <f>87.5+1</f>
        <v>88.5</v>
      </c>
      <c r="K45" s="54">
        <f t="shared" si="10"/>
        <v>88.242000000000004</v>
      </c>
      <c r="L45" s="54">
        <f t="shared" si="11"/>
        <v>0.25799999999999557</v>
      </c>
      <c r="M45" s="55">
        <f>[3]Sept!$AD43</f>
        <v>46</v>
      </c>
      <c r="N45" s="55">
        <v>3</v>
      </c>
      <c r="O45" s="55"/>
      <c r="P45" s="51">
        <f t="shared" si="6"/>
        <v>0.29152542372880852</v>
      </c>
      <c r="Q45" s="55">
        <f t="shared" si="9"/>
        <v>88.15384615384616</v>
      </c>
      <c r="R45" s="16"/>
      <c r="S45" s="54">
        <f>'[4]Daily glue Sep'!$H$49</f>
        <v>1.2809295967190703E-2</v>
      </c>
    </row>
    <row r="46" spans="1:21" ht="15.75" customHeight="1">
      <c r="B46" s="92">
        <v>46294</v>
      </c>
      <c r="C46" s="88">
        <v>20</v>
      </c>
      <c r="D46" s="30" t="s">
        <v>45</v>
      </c>
      <c r="E46" s="404"/>
      <c r="F46" s="39">
        <f>[3]Sept!$N99</f>
        <v>431</v>
      </c>
      <c r="G46" s="18">
        <v>3422</v>
      </c>
      <c r="H46" s="54">
        <f t="shared" si="0"/>
        <v>67.253719121059092</v>
      </c>
      <c r="I46" s="55"/>
      <c r="J46" s="54">
        <f>SUM(94.2,98,97.8)-49.5</f>
        <v>240.5</v>
      </c>
      <c r="K46" s="54">
        <f>(G46)*0.066+(45*0.19)</f>
        <v>234.40200000000002</v>
      </c>
      <c r="L46" s="54">
        <f t="shared" si="11"/>
        <v>6.0979999999999848</v>
      </c>
      <c r="M46" s="55">
        <f>[3]Sept!$AD44</f>
        <v>230</v>
      </c>
      <c r="N46" s="55">
        <v>4</v>
      </c>
      <c r="O46" s="55">
        <v>45</v>
      </c>
      <c r="P46" s="51">
        <f t="shared" si="6"/>
        <v>2.5355509355509289</v>
      </c>
      <c r="Q46" s="55">
        <f>(G46)/(E45/60)</f>
        <v>225.62637362637363</v>
      </c>
      <c r="R46" s="16"/>
      <c r="S46" s="54">
        <f>'[4]Daily glue Sep'!$H$50</f>
        <v>4.2565112053301029E-3</v>
      </c>
    </row>
    <row r="47" spans="1:21" ht="15.75" customHeight="1">
      <c r="B47" s="92">
        <v>46295</v>
      </c>
      <c r="C47" s="88">
        <v>21</v>
      </c>
      <c r="D47" s="30" t="s">
        <v>45</v>
      </c>
      <c r="E47" s="402">
        <v>910</v>
      </c>
      <c r="F47" s="39">
        <f>[3]Sept!$N100</f>
        <v>427</v>
      </c>
      <c r="G47" s="18">
        <v>3376</v>
      </c>
      <c r="H47" s="54">
        <f>(G47)*24/(F47/60)/17000*100</f>
        <v>66.971208155393313</v>
      </c>
      <c r="I47" s="55"/>
      <c r="J47" s="54">
        <f>SUM(49.5,94,84.1)</f>
        <v>227.6</v>
      </c>
      <c r="K47" s="54">
        <f>(G47)*0.066</f>
        <v>222.816</v>
      </c>
      <c r="L47" s="54">
        <f t="shared" si="11"/>
        <v>4.7839999999999918</v>
      </c>
      <c r="M47" s="55">
        <f>[3]Sept!$AD45</f>
        <v>99</v>
      </c>
      <c r="N47" s="55">
        <v>4</v>
      </c>
      <c r="O47" s="55"/>
      <c r="P47" s="51">
        <f t="shared" si="6"/>
        <v>2.1019332161687134</v>
      </c>
      <c r="Q47" s="55">
        <f t="shared" si="9"/>
        <v>222.5934065934066</v>
      </c>
      <c r="R47" s="16"/>
      <c r="S47" s="54">
        <f>'[4]Daily glue Sep'!$H$52</f>
        <v>7.75983436853002E-3</v>
      </c>
    </row>
    <row r="48" spans="1:21" ht="15.75" customHeight="1">
      <c r="B48" s="60">
        <v>46295</v>
      </c>
      <c r="C48" s="49">
        <v>21</v>
      </c>
      <c r="D48" s="30" t="s">
        <v>134</v>
      </c>
      <c r="E48" s="404"/>
      <c r="F48" s="39">
        <f>[3]Sept!$N101</f>
        <v>149</v>
      </c>
      <c r="G48" s="18">
        <v>1423</v>
      </c>
      <c r="H48" s="54">
        <f t="shared" si="0"/>
        <v>80.896960126332417</v>
      </c>
      <c r="I48" s="55"/>
      <c r="J48" s="54">
        <f>SUM(102.2,97)-28.2-70</f>
        <v>101</v>
      </c>
      <c r="K48" s="54">
        <f>(G48)*0.066</f>
        <v>93.918000000000006</v>
      </c>
      <c r="L48" s="54">
        <f t="shared" si="11"/>
        <v>7.0819999999999936</v>
      </c>
      <c r="M48" s="55">
        <f>[3]Sept!$AD46</f>
        <v>235</v>
      </c>
      <c r="N48" s="55">
        <v>3</v>
      </c>
      <c r="O48" s="55"/>
      <c r="P48" s="51">
        <f t="shared" si="6"/>
        <v>7.0118811881188057</v>
      </c>
      <c r="Q48" s="55">
        <f>(G48)/(E47/60)</f>
        <v>93.824175824175825</v>
      </c>
      <c r="R48" s="16"/>
      <c r="S48" s="218"/>
    </row>
    <row r="49" spans="2:19" ht="15.75" customHeight="1">
      <c r="B49" s="60"/>
      <c r="C49" s="49"/>
      <c r="D49" s="30"/>
      <c r="E49" s="48"/>
      <c r="F49" s="39">
        <f>[3]Sept!$N102</f>
        <v>0</v>
      </c>
      <c r="G49" s="18"/>
      <c r="H49" s="54" t="e">
        <f t="shared" ref="H49:H54" si="12">(G49)*24/(F49/60)/17000*100</f>
        <v>#DIV/0!</v>
      </c>
      <c r="I49" s="55"/>
      <c r="J49" s="54"/>
      <c r="K49" s="54">
        <f t="shared" ref="K49:K53" si="13">(G49)*0.066</f>
        <v>0</v>
      </c>
      <c r="L49" s="54">
        <f t="shared" ref="L49:L51" si="14">J49-K49</f>
        <v>0</v>
      </c>
      <c r="M49" s="55"/>
      <c r="N49" s="50"/>
      <c r="O49" s="55"/>
      <c r="P49" s="51" t="e">
        <f t="shared" si="6"/>
        <v>#DIV/0!</v>
      </c>
      <c r="Q49" s="55" t="e">
        <f t="shared" si="9"/>
        <v>#DIV/0!</v>
      </c>
      <c r="R49" s="16"/>
      <c r="S49" s="16"/>
    </row>
    <row r="50" spans="2:19" ht="15.75" customHeight="1">
      <c r="B50" s="60"/>
      <c r="C50" s="49"/>
      <c r="D50" s="30"/>
      <c r="E50" s="48"/>
      <c r="F50" s="39">
        <f>[3]Sept!$N103</f>
        <v>0</v>
      </c>
      <c r="G50" s="18"/>
      <c r="H50" s="54" t="e">
        <f t="shared" si="12"/>
        <v>#DIV/0!</v>
      </c>
      <c r="I50" s="55"/>
      <c r="J50" s="54"/>
      <c r="K50" s="54">
        <f t="shared" si="13"/>
        <v>0</v>
      </c>
      <c r="L50" s="54">
        <f t="shared" si="14"/>
        <v>0</v>
      </c>
      <c r="M50" s="55"/>
      <c r="N50" s="50"/>
      <c r="O50" s="55"/>
      <c r="P50" s="51" t="e">
        <f t="shared" si="6"/>
        <v>#DIV/0!</v>
      </c>
      <c r="Q50" s="55" t="e">
        <f t="shared" si="9"/>
        <v>#DIV/0!</v>
      </c>
      <c r="R50" s="16"/>
      <c r="S50" s="16"/>
    </row>
    <row r="51" spans="2:19" ht="15.75" customHeight="1">
      <c r="B51" s="60"/>
      <c r="C51" s="49"/>
      <c r="D51" s="30"/>
      <c r="E51" s="48"/>
      <c r="F51" s="39">
        <f>[3]Sept!$N104</f>
        <v>0</v>
      </c>
      <c r="G51" s="18"/>
      <c r="H51" s="54" t="e">
        <f t="shared" si="12"/>
        <v>#DIV/0!</v>
      </c>
      <c r="I51" s="55"/>
      <c r="J51" s="54"/>
      <c r="K51" s="54">
        <f t="shared" si="13"/>
        <v>0</v>
      </c>
      <c r="L51" s="54">
        <f t="shared" si="14"/>
        <v>0</v>
      </c>
      <c r="M51" s="55"/>
      <c r="N51" s="50"/>
      <c r="O51" s="55"/>
      <c r="P51" s="51" t="e">
        <f t="shared" si="6"/>
        <v>#DIV/0!</v>
      </c>
      <c r="Q51" s="55" t="e">
        <f t="shared" si="9"/>
        <v>#DIV/0!</v>
      </c>
      <c r="R51" s="16"/>
      <c r="S51" s="16"/>
    </row>
    <row r="52" spans="2:19" ht="15.75" customHeight="1">
      <c r="B52" s="60"/>
      <c r="C52" s="49"/>
      <c r="D52" s="30"/>
      <c r="E52" s="48"/>
      <c r="F52" s="39">
        <f>[3]Sept!$N105</f>
        <v>0</v>
      </c>
      <c r="G52" s="18"/>
      <c r="H52" s="54" t="e">
        <f t="shared" si="12"/>
        <v>#DIV/0!</v>
      </c>
      <c r="I52" s="55"/>
      <c r="J52" s="33"/>
      <c r="K52" s="54">
        <f t="shared" si="13"/>
        <v>0</v>
      </c>
      <c r="L52" s="54">
        <f>J52-K52</f>
        <v>0</v>
      </c>
      <c r="M52" s="55"/>
      <c r="N52" s="55"/>
      <c r="O52" s="55"/>
      <c r="P52" s="51" t="e">
        <f t="shared" si="6"/>
        <v>#DIV/0!</v>
      </c>
      <c r="Q52" s="55" t="e">
        <f t="shared" si="9"/>
        <v>#DIV/0!</v>
      </c>
      <c r="R52" s="16"/>
      <c r="S52" s="16"/>
    </row>
    <row r="53" spans="2:19" ht="16.350000000000001" customHeight="1" thickBot="1">
      <c r="B53" s="3"/>
      <c r="C53" s="49"/>
      <c r="D53" s="30"/>
      <c r="E53" s="48"/>
      <c r="F53" s="39"/>
      <c r="G53" s="18"/>
      <c r="H53" s="54" t="e">
        <f t="shared" si="12"/>
        <v>#DIV/0!</v>
      </c>
      <c r="I53" s="38"/>
      <c r="J53" s="34"/>
      <c r="K53" s="54">
        <f t="shared" si="13"/>
        <v>0</v>
      </c>
      <c r="L53" s="54">
        <f>J53-K53</f>
        <v>0</v>
      </c>
      <c r="M53" s="55"/>
      <c r="N53" s="55"/>
      <c r="O53" s="55"/>
      <c r="P53" s="51" t="e">
        <f t="shared" si="6"/>
        <v>#DIV/0!</v>
      </c>
      <c r="Q53" s="55" t="e">
        <f t="shared" si="9"/>
        <v>#DIV/0!</v>
      </c>
      <c r="R53" s="16"/>
      <c r="S53" s="16"/>
    </row>
    <row r="54" spans="2:19" s="1" customFormat="1" ht="17.25" thickTop="1" thickBot="1">
      <c r="B54" s="12"/>
      <c r="C54" s="12"/>
      <c r="D54" s="64"/>
      <c r="E54" s="23">
        <f>SUM(E8:E53)</f>
        <v>22100</v>
      </c>
      <c r="F54" s="56">
        <f>SUM(F8:F53)</f>
        <v>16404</v>
      </c>
      <c r="G54" s="77">
        <f>SUM(G8:G53)</f>
        <v>110564</v>
      </c>
      <c r="H54" s="66">
        <f t="shared" si="12"/>
        <v>57.092301734153793</v>
      </c>
      <c r="I54" s="14">
        <f>SUM(I8:I53)</f>
        <v>536</v>
      </c>
      <c r="J54" s="66">
        <f>SUM(J8:J53)</f>
        <v>7439.1</v>
      </c>
      <c r="K54" s="66">
        <f>SUM(K8:K53)</f>
        <v>7305.7740000000013</v>
      </c>
      <c r="L54" s="52">
        <f>J54-K54</f>
        <v>133.32599999999911</v>
      </c>
      <c r="M54" s="67">
        <f>SUM(M8:M53)</f>
        <v>7778</v>
      </c>
      <c r="N54" s="36">
        <f>SUM(N8:N53)</f>
        <v>339</v>
      </c>
      <c r="O54" s="14">
        <f>SUM(O8:O53)</f>
        <v>45</v>
      </c>
      <c r="P54" s="25">
        <f>(J54-K54)/J54</f>
        <v>1.7922329314029803E-2</v>
      </c>
      <c r="Q54" s="14">
        <f>G54/(F54/60)</f>
        <v>404.40380395025608</v>
      </c>
      <c r="R54" s="17">
        <f>(January_2026!G65+February_2026!G63+March_2026!G62+'April_2026 '!G54+May_2026!G63+June_2026!G57+July_2026!G60+August_2026!G57+G54)/((January_2026!F65+February_2026!F63+March_2026!F62+'April_2026 '!F54+May_2026!F63+June_2026!F57+July_2026!F60+August_2026!F57+F54)/60)</f>
        <v>362.99378093058368</v>
      </c>
      <c r="S54" s="17">
        <f>SUM(S8:S53)</f>
        <v>0.30005093986306958</v>
      </c>
    </row>
    <row r="55" spans="2:19" ht="17.25" thickTop="1" thickBot="1">
      <c r="G55" s="1"/>
      <c r="H55" s="1"/>
      <c r="L55" s="19"/>
      <c r="M55" s="19"/>
      <c r="N55" s="41" t="s">
        <v>23</v>
      </c>
      <c r="O55" s="19"/>
      <c r="Q55" s="5"/>
    </row>
    <row r="56" spans="2:19" ht="21" thickTop="1" thickBot="1">
      <c r="G56" s="1"/>
      <c r="H56" s="1"/>
      <c r="K56" s="46" t="s">
        <v>36</v>
      </c>
      <c r="L56" s="15">
        <f>G54+O56</f>
        <v>110687.75</v>
      </c>
      <c r="M56" s="19"/>
      <c r="N56" s="41" t="s">
        <v>31</v>
      </c>
      <c r="O56" s="76">
        <f>O54*2.75</f>
        <v>123.75</v>
      </c>
      <c r="P56" s="40"/>
      <c r="Q56" s="5"/>
    </row>
    <row r="57" spans="2:19" ht="16.5" thickTop="1">
      <c r="G57" s="62"/>
      <c r="H57" s="7"/>
      <c r="I57" s="70"/>
      <c r="L57" s="19"/>
      <c r="M57" s="19"/>
      <c r="N57" s="19"/>
      <c r="O57" s="19"/>
      <c r="Q57" s="5"/>
    </row>
    <row r="58" spans="2:19" ht="15.75">
      <c r="G58" s="62"/>
      <c r="H58" s="1"/>
      <c r="I58" s="5"/>
      <c r="L58" s="19"/>
      <c r="M58" s="19"/>
      <c r="N58" s="42" t="s">
        <v>32</v>
      </c>
      <c r="O58" s="63">
        <v>20</v>
      </c>
      <c r="P58" s="58"/>
      <c r="Q58" s="59"/>
    </row>
    <row r="59" spans="2:19" ht="15.75">
      <c r="F59" s="57"/>
      <c r="G59" s="1"/>
      <c r="H59" s="1"/>
      <c r="L59" s="19"/>
      <c r="M59" s="19"/>
      <c r="N59" s="42" t="s">
        <v>33</v>
      </c>
      <c r="O59" s="63">
        <v>51</v>
      </c>
      <c r="P59" s="58"/>
      <c r="Q59" s="59"/>
    </row>
    <row r="60" spans="2:19" ht="15.75">
      <c r="F60" s="57"/>
      <c r="G60" s="1"/>
      <c r="H60" s="1"/>
      <c r="L60" s="19"/>
      <c r="M60" s="19"/>
      <c r="N60" s="42" t="s">
        <v>34</v>
      </c>
      <c r="O60" s="43"/>
      <c r="Q60" s="5"/>
    </row>
    <row r="61" spans="2:19" ht="15.75">
      <c r="D61" s="78"/>
      <c r="F61" s="57"/>
      <c r="G61" s="1"/>
      <c r="H61" s="1"/>
      <c r="L61" s="19"/>
      <c r="M61" s="19"/>
      <c r="N61" s="44" t="s">
        <v>35</v>
      </c>
      <c r="O61" s="45">
        <f>SUM(O58:O60)</f>
        <v>71</v>
      </c>
      <c r="Q61" s="5"/>
    </row>
    <row r="62" spans="2:19" ht="15.75">
      <c r="F62" s="57"/>
      <c r="G62" s="1"/>
      <c r="H62" s="1"/>
      <c r="L62" s="19"/>
      <c r="M62" s="19"/>
      <c r="N62" s="19"/>
      <c r="O62" s="19"/>
      <c r="Q62" s="5"/>
    </row>
    <row r="63" spans="2:19" ht="15.75">
      <c r="F63" s="57"/>
      <c r="G63" s="1"/>
      <c r="H63" s="1"/>
      <c r="L63" s="19"/>
      <c r="M63" s="19"/>
      <c r="N63" s="19"/>
      <c r="O63" s="19"/>
      <c r="Q63" s="5"/>
    </row>
    <row r="64" spans="2:19" ht="15.75">
      <c r="F64" s="57"/>
      <c r="G64" s="1"/>
      <c r="H64" s="1"/>
      <c r="L64" s="19"/>
      <c r="M64" s="19"/>
      <c r="N64" s="19"/>
      <c r="O64" s="19"/>
      <c r="Q64" s="5"/>
    </row>
    <row r="65" spans="6:17" ht="15.75">
      <c r="F65" s="57"/>
      <c r="G65" s="1"/>
      <c r="H65" s="1"/>
      <c r="L65" s="19"/>
      <c r="M65" s="19"/>
      <c r="N65" s="19"/>
      <c r="O65" s="19"/>
      <c r="Q65" s="5"/>
    </row>
    <row r="66" spans="6:17" ht="15.75">
      <c r="F66" s="57"/>
      <c r="G66" s="1"/>
      <c r="H66" s="1"/>
      <c r="L66" s="19"/>
      <c r="M66" s="19"/>
      <c r="N66" s="19"/>
      <c r="O66" s="19"/>
      <c r="Q66" s="5"/>
    </row>
    <row r="67" spans="6:17" ht="15.75">
      <c r="G67" s="1"/>
      <c r="H67" s="1"/>
      <c r="L67" s="19"/>
      <c r="M67" s="19"/>
      <c r="N67" s="19"/>
      <c r="O67" s="19"/>
      <c r="Q67" s="5"/>
    </row>
    <row r="68" spans="6:17" ht="15.75">
      <c r="F68" s="57"/>
      <c r="G68" s="1"/>
      <c r="H68" s="1"/>
      <c r="L68" s="19"/>
      <c r="M68" s="19"/>
      <c r="N68" s="19"/>
      <c r="O68" s="19"/>
      <c r="Q68" s="5"/>
    </row>
    <row r="69" spans="6:17" ht="15.75">
      <c r="G69" s="1"/>
      <c r="H69" s="1"/>
      <c r="L69" s="19"/>
      <c r="M69" s="19"/>
      <c r="N69" s="19"/>
      <c r="O69" s="19"/>
      <c r="Q69" s="5"/>
    </row>
    <row r="70" spans="6:17">
      <c r="G70" s="1"/>
      <c r="H70" s="1"/>
      <c r="Q70" s="5"/>
    </row>
    <row r="71" spans="6:17">
      <c r="G71" s="1"/>
      <c r="H71" s="1"/>
      <c r="Q71" s="5"/>
    </row>
    <row r="72" spans="6:17">
      <c r="G72" s="1"/>
      <c r="H72" s="1"/>
      <c r="Q72" s="5"/>
    </row>
    <row r="73" spans="6:17">
      <c r="G73" s="1"/>
      <c r="H73" s="1"/>
      <c r="Q73" s="5"/>
    </row>
    <row r="74" spans="6:17">
      <c r="G74" s="1"/>
      <c r="H74" s="1"/>
      <c r="Q74" s="5"/>
    </row>
    <row r="75" spans="6:17">
      <c r="G75" s="1"/>
      <c r="H75" s="1"/>
      <c r="Q75" s="5"/>
    </row>
    <row r="76" spans="6:17">
      <c r="G76" s="1"/>
      <c r="H76" s="1"/>
      <c r="Q76" s="5"/>
    </row>
    <row r="77" spans="6:17">
      <c r="G77" s="1"/>
      <c r="H77" s="1"/>
      <c r="Q77" s="5"/>
    </row>
    <row r="78" spans="6:17">
      <c r="G78" s="1"/>
      <c r="H78" s="1"/>
      <c r="Q78" s="5"/>
    </row>
    <row r="79" spans="6:17">
      <c r="G79" s="1"/>
      <c r="H79" s="1"/>
      <c r="Q79" s="5"/>
    </row>
    <row r="80" spans="6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</sheetData>
  <autoFilter ref="B5:R56" xr:uid="{00000000-0001-0000-0800-000000000000}"/>
  <mergeCells count="1063">
    <mergeCell ref="E47:E48"/>
    <mergeCell ref="E45:E46"/>
    <mergeCell ref="E42:E43"/>
    <mergeCell ref="E36:E37"/>
    <mergeCell ref="N36:N37"/>
    <mergeCell ref="S36:S37"/>
    <mergeCell ref="K36:K37"/>
    <mergeCell ref="J36:J37"/>
    <mergeCell ref="P36:P37"/>
    <mergeCell ref="E20:E21"/>
    <mergeCell ref="E10:E12"/>
    <mergeCell ref="J10:J12"/>
    <mergeCell ref="K10:K12"/>
    <mergeCell ref="P10:P12"/>
    <mergeCell ref="E8:E9"/>
    <mergeCell ref="EO4:FD4"/>
    <mergeCell ref="FE4:FT4"/>
    <mergeCell ref="XQ4:YF4"/>
    <mergeCell ref="YG4:YV4"/>
    <mergeCell ref="E39:E40"/>
    <mergeCell ref="E31:E35"/>
    <mergeCell ref="S34:S35"/>
    <mergeCell ref="S32:S33"/>
    <mergeCell ref="J32:J33"/>
    <mergeCell ref="J34:J35"/>
    <mergeCell ref="K32:K33"/>
    <mergeCell ref="K34:K35"/>
    <mergeCell ref="L32:L33"/>
    <mergeCell ref="L34:L35"/>
    <mergeCell ref="P32:P33"/>
    <mergeCell ref="P34:P35"/>
    <mergeCell ref="F32:F33"/>
    <mergeCell ref="F34:F35"/>
    <mergeCell ref="N32:N33"/>
    <mergeCell ref="E28:E30"/>
    <mergeCell ref="E26:E27"/>
    <mergeCell ref="E24:E25"/>
    <mergeCell ref="E22:E23"/>
    <mergeCell ref="VU4:WJ4"/>
    <mergeCell ref="E13:E15"/>
    <mergeCell ref="R6:R7"/>
    <mergeCell ref="SC4:SR4"/>
    <mergeCell ref="SS4:TH4"/>
    <mergeCell ref="TI4:TX4"/>
    <mergeCell ref="NU4:OJ4"/>
    <mergeCell ref="OK4:OZ4"/>
    <mergeCell ref="PA4:PP4"/>
    <mergeCell ref="PQ4:QF4"/>
    <mergeCell ref="QG4:QV4"/>
    <mergeCell ref="ABI4:ABX4"/>
    <mergeCell ref="KS4:LH4"/>
    <mergeCell ref="LI4:LX4"/>
    <mergeCell ref="LY4:MN4"/>
    <mergeCell ref="MO4:ND4"/>
    <mergeCell ref="CS4:DH4"/>
    <mergeCell ref="DI4:DX4"/>
    <mergeCell ref="DY4:EN4"/>
    <mergeCell ref="AG4:AV4"/>
    <mergeCell ref="AW4:BL4"/>
    <mergeCell ref="FU4:GJ4"/>
    <mergeCell ref="GK4:GZ4"/>
    <mergeCell ref="N34:N35"/>
    <mergeCell ref="M32:M33"/>
    <mergeCell ref="M34:M35"/>
    <mergeCell ref="ABY4:ACN4"/>
    <mergeCell ref="YW4:ZL4"/>
    <mergeCell ref="HA4:HP4"/>
    <mergeCell ref="BM4:CB4"/>
    <mergeCell ref="CC4:CR4"/>
    <mergeCell ref="JM4:KB4"/>
    <mergeCell ref="KC4:KR4"/>
    <mergeCell ref="QW4:RL4"/>
    <mergeCell ref="RM4:SB4"/>
    <mergeCell ref="ZM4:AAB4"/>
    <mergeCell ref="TY4:UN4"/>
    <mergeCell ref="UO4:VD4"/>
    <mergeCell ref="A4:P4"/>
    <mergeCell ref="Q4:AF4"/>
    <mergeCell ref="XA4:XP4"/>
    <mergeCell ref="NE4:NT4"/>
    <mergeCell ref="VE4:VT4"/>
    <mergeCell ref="AQS4:ARH4"/>
    <mergeCell ref="ARI4:ARX4"/>
    <mergeCell ref="ARY4:ASN4"/>
    <mergeCell ref="AMK4:AMZ4"/>
    <mergeCell ref="ANA4:ANP4"/>
    <mergeCell ref="ANQ4:AOF4"/>
    <mergeCell ref="AOG4:AOV4"/>
    <mergeCell ref="AOW4:APL4"/>
    <mergeCell ref="HQ4:IF4"/>
    <mergeCell ref="ALU4:AMJ4"/>
    <mergeCell ref="AJI4:AJX4"/>
    <mergeCell ref="AJY4:AKN4"/>
    <mergeCell ref="AKO4:ALD4"/>
    <mergeCell ref="ALE4:ALT4"/>
    <mergeCell ref="AGG4:AGV4"/>
    <mergeCell ref="AGW4:AHL4"/>
    <mergeCell ref="AHM4:AIB4"/>
    <mergeCell ref="AIC4:AIR4"/>
    <mergeCell ref="AIS4:AJH4"/>
    <mergeCell ref="ADE4:ADT4"/>
    <mergeCell ref="ADU4:AEJ4"/>
    <mergeCell ref="AEK4:AEZ4"/>
    <mergeCell ref="AFA4:AFP4"/>
    <mergeCell ref="AFQ4:AGF4"/>
    <mergeCell ref="WK4:WZ4"/>
    <mergeCell ref="IG4:IV4"/>
    <mergeCell ref="IW4:JL4"/>
    <mergeCell ref="ACO4:ADD4"/>
    <mergeCell ref="APM4:AQB4"/>
    <mergeCell ref="AQC4:AQR4"/>
    <mergeCell ref="AAC4:AAR4"/>
    <mergeCell ref="AAS4:ABH4"/>
    <mergeCell ref="BOS4:BPH4"/>
    <mergeCell ref="BHY4:BIN4"/>
    <mergeCell ref="BIO4:BJD4"/>
    <mergeCell ref="BJE4:BJT4"/>
    <mergeCell ref="BJU4:BKJ4"/>
    <mergeCell ref="BKK4:BKZ4"/>
    <mergeCell ref="BEW4:BFL4"/>
    <mergeCell ref="BFM4:BGB4"/>
    <mergeCell ref="BGC4:BGR4"/>
    <mergeCell ref="BGS4:BHH4"/>
    <mergeCell ref="BHI4:BHX4"/>
    <mergeCell ref="BBU4:BCJ4"/>
    <mergeCell ref="BCK4:BCZ4"/>
    <mergeCell ref="BDA4:BDP4"/>
    <mergeCell ref="BDQ4:BEF4"/>
    <mergeCell ref="BEG4:BEV4"/>
    <mergeCell ref="AYS4:AZH4"/>
    <mergeCell ref="AZI4:AZX4"/>
    <mergeCell ref="AZY4:BAN4"/>
    <mergeCell ref="BAO4:BBD4"/>
    <mergeCell ref="BBE4:BBT4"/>
    <mergeCell ref="CFY4:CGN4"/>
    <mergeCell ref="AVQ4:AWF4"/>
    <mergeCell ref="AWG4:AWV4"/>
    <mergeCell ref="AWW4:AXL4"/>
    <mergeCell ref="AXM4:AYB4"/>
    <mergeCell ref="AYC4:AYR4"/>
    <mergeCell ref="ASO4:ATD4"/>
    <mergeCell ref="ATE4:ATT4"/>
    <mergeCell ref="ATU4:AUJ4"/>
    <mergeCell ref="AVA4:AVP4"/>
    <mergeCell ref="CAK4:CAZ4"/>
    <mergeCell ref="CBA4:CBP4"/>
    <mergeCell ref="CBQ4:CCF4"/>
    <mergeCell ref="CCG4:CCV4"/>
    <mergeCell ref="CCW4:CDL4"/>
    <mergeCell ref="BXI4:BXX4"/>
    <mergeCell ref="BXY4:BYN4"/>
    <mergeCell ref="BYO4:BZD4"/>
    <mergeCell ref="BZE4:BZT4"/>
    <mergeCell ref="BZU4:CAJ4"/>
    <mergeCell ref="AUK4:AUZ4"/>
    <mergeCell ref="BUG4:BUV4"/>
    <mergeCell ref="BUW4:BVL4"/>
    <mergeCell ref="BVM4:BWB4"/>
    <mergeCell ref="BWC4:BWR4"/>
    <mergeCell ref="BWS4:BXH4"/>
    <mergeCell ref="BRE4:BRT4"/>
    <mergeCell ref="BRU4:BSJ4"/>
    <mergeCell ref="BSK4:BSZ4"/>
    <mergeCell ref="BTA4:BTP4"/>
    <mergeCell ref="BTQ4:BUF4"/>
    <mergeCell ref="BOC4:BOR4"/>
    <mergeCell ref="CPU4:CQJ4"/>
    <mergeCell ref="CQK4:CQZ4"/>
    <mergeCell ref="CRA4:CRP4"/>
    <mergeCell ref="CRQ4:CSF4"/>
    <mergeCell ref="CSG4:CSV4"/>
    <mergeCell ref="BPI4:BPX4"/>
    <mergeCell ref="BPY4:BQN4"/>
    <mergeCell ref="BQO4:BRD4"/>
    <mergeCell ref="BLA4:BLP4"/>
    <mergeCell ref="BLQ4:BMF4"/>
    <mergeCell ref="BMG4:BMV4"/>
    <mergeCell ref="BMW4:BNL4"/>
    <mergeCell ref="BNM4:BOB4"/>
    <mergeCell ref="CMS4:CNH4"/>
    <mergeCell ref="CNI4:CNX4"/>
    <mergeCell ref="CNY4:CON4"/>
    <mergeCell ref="COO4:CPD4"/>
    <mergeCell ref="CPE4:CPT4"/>
    <mergeCell ref="CJQ4:CKF4"/>
    <mergeCell ref="CKG4:CKV4"/>
    <mergeCell ref="CKW4:CLL4"/>
    <mergeCell ref="CLM4:CMB4"/>
    <mergeCell ref="CMC4:CMR4"/>
    <mergeCell ref="CGO4:CHD4"/>
    <mergeCell ref="CHE4:CHT4"/>
    <mergeCell ref="CHU4:CIJ4"/>
    <mergeCell ref="CIK4:CIZ4"/>
    <mergeCell ref="CJA4:CJP4"/>
    <mergeCell ref="CDM4:CEB4"/>
    <mergeCell ref="CEC4:CER4"/>
    <mergeCell ref="CES4:CFH4"/>
    <mergeCell ref="CFI4:CFX4"/>
    <mergeCell ref="DCC4:DCR4"/>
    <mergeCell ref="DCS4:DDH4"/>
    <mergeCell ref="DDI4:DDX4"/>
    <mergeCell ref="DDY4:DEN4"/>
    <mergeCell ref="DEO4:DFD4"/>
    <mergeCell ref="CZA4:CZP4"/>
    <mergeCell ref="CZQ4:DAF4"/>
    <mergeCell ref="DAG4:DAV4"/>
    <mergeCell ref="DAW4:DBL4"/>
    <mergeCell ref="DBM4:DCB4"/>
    <mergeCell ref="CVY4:CWN4"/>
    <mergeCell ref="CWO4:CXD4"/>
    <mergeCell ref="CXE4:CXT4"/>
    <mergeCell ref="CXU4:CYJ4"/>
    <mergeCell ref="CYK4:CYZ4"/>
    <mergeCell ref="CSW4:CTL4"/>
    <mergeCell ref="CTM4:CUB4"/>
    <mergeCell ref="CUC4:CUR4"/>
    <mergeCell ref="CUS4:CVH4"/>
    <mergeCell ref="CVI4:CVX4"/>
    <mergeCell ref="DOK4:DOZ4"/>
    <mergeCell ref="DPA4:DPP4"/>
    <mergeCell ref="DPQ4:DQF4"/>
    <mergeCell ref="DQG4:DQV4"/>
    <mergeCell ref="DQW4:DRL4"/>
    <mergeCell ref="DLI4:DLX4"/>
    <mergeCell ref="DLY4:DMN4"/>
    <mergeCell ref="DMO4:DND4"/>
    <mergeCell ref="DNE4:DNT4"/>
    <mergeCell ref="DNU4:DOJ4"/>
    <mergeCell ref="DIG4:DIV4"/>
    <mergeCell ref="DIW4:DJL4"/>
    <mergeCell ref="DJM4:DKB4"/>
    <mergeCell ref="DKC4:DKR4"/>
    <mergeCell ref="DKS4:DLH4"/>
    <mergeCell ref="DFE4:DFT4"/>
    <mergeCell ref="DFU4:DGJ4"/>
    <mergeCell ref="DGK4:DGZ4"/>
    <mergeCell ref="DHA4:DHP4"/>
    <mergeCell ref="DHQ4:DIF4"/>
    <mergeCell ref="EAS4:EBH4"/>
    <mergeCell ref="EBI4:EBX4"/>
    <mergeCell ref="EBY4:ECN4"/>
    <mergeCell ref="ECO4:EDD4"/>
    <mergeCell ref="EDE4:EDT4"/>
    <mergeCell ref="DXQ4:DYF4"/>
    <mergeCell ref="DYG4:DYV4"/>
    <mergeCell ref="DYW4:DZL4"/>
    <mergeCell ref="DZM4:EAB4"/>
    <mergeCell ref="EAC4:EAR4"/>
    <mergeCell ref="DUO4:DVD4"/>
    <mergeCell ref="DVE4:DVT4"/>
    <mergeCell ref="DVU4:DWJ4"/>
    <mergeCell ref="DWK4:DWZ4"/>
    <mergeCell ref="DXA4:DXP4"/>
    <mergeCell ref="DRM4:DSB4"/>
    <mergeCell ref="DSC4:DSR4"/>
    <mergeCell ref="DSS4:DTH4"/>
    <mergeCell ref="DTI4:DTX4"/>
    <mergeCell ref="DTY4:DUN4"/>
    <mergeCell ref="ENA4:ENP4"/>
    <mergeCell ref="ENQ4:EOF4"/>
    <mergeCell ref="EOG4:EOV4"/>
    <mergeCell ref="EOW4:EPL4"/>
    <mergeCell ref="EPM4:EQB4"/>
    <mergeCell ref="EJY4:EKN4"/>
    <mergeCell ref="EKO4:ELD4"/>
    <mergeCell ref="ELE4:ELT4"/>
    <mergeCell ref="ELU4:EMJ4"/>
    <mergeCell ref="EMK4:EMZ4"/>
    <mergeCell ref="EGW4:EHL4"/>
    <mergeCell ref="EHM4:EIB4"/>
    <mergeCell ref="EIC4:EIR4"/>
    <mergeCell ref="EIS4:EJH4"/>
    <mergeCell ref="EJI4:EJX4"/>
    <mergeCell ref="EDU4:EEJ4"/>
    <mergeCell ref="EEK4:EEZ4"/>
    <mergeCell ref="EFA4:EFP4"/>
    <mergeCell ref="EFQ4:EGF4"/>
    <mergeCell ref="EGG4:EGV4"/>
    <mergeCell ref="EZI4:EZX4"/>
    <mergeCell ref="EZY4:FAN4"/>
    <mergeCell ref="FAO4:FBD4"/>
    <mergeCell ref="FBE4:FBT4"/>
    <mergeCell ref="FBU4:FCJ4"/>
    <mergeCell ref="EWG4:EWV4"/>
    <mergeCell ref="EWW4:EXL4"/>
    <mergeCell ref="EXM4:EYB4"/>
    <mergeCell ref="EYC4:EYR4"/>
    <mergeCell ref="EYS4:EZH4"/>
    <mergeCell ref="ETE4:ETT4"/>
    <mergeCell ref="ETU4:EUJ4"/>
    <mergeCell ref="EUK4:EUZ4"/>
    <mergeCell ref="EVA4:EVP4"/>
    <mergeCell ref="EVQ4:EWF4"/>
    <mergeCell ref="EQC4:EQR4"/>
    <mergeCell ref="EQS4:ERH4"/>
    <mergeCell ref="ERI4:ERX4"/>
    <mergeCell ref="ERY4:ESN4"/>
    <mergeCell ref="ESO4:ETD4"/>
    <mergeCell ref="FLQ4:FMF4"/>
    <mergeCell ref="FMG4:FMV4"/>
    <mergeCell ref="FMW4:FNL4"/>
    <mergeCell ref="FNM4:FOB4"/>
    <mergeCell ref="FOC4:FOR4"/>
    <mergeCell ref="FIO4:FJD4"/>
    <mergeCell ref="FJE4:FJT4"/>
    <mergeCell ref="FJU4:FKJ4"/>
    <mergeCell ref="FKK4:FKZ4"/>
    <mergeCell ref="FLA4:FLP4"/>
    <mergeCell ref="FFM4:FGB4"/>
    <mergeCell ref="FGC4:FGR4"/>
    <mergeCell ref="FGS4:FHH4"/>
    <mergeCell ref="FHI4:FHX4"/>
    <mergeCell ref="FHY4:FIN4"/>
    <mergeCell ref="FCK4:FCZ4"/>
    <mergeCell ref="FDA4:FDP4"/>
    <mergeCell ref="FDQ4:FEF4"/>
    <mergeCell ref="FEG4:FEV4"/>
    <mergeCell ref="FEW4:FFL4"/>
    <mergeCell ref="FXY4:FYN4"/>
    <mergeCell ref="FYO4:FZD4"/>
    <mergeCell ref="FZE4:FZT4"/>
    <mergeCell ref="FZU4:GAJ4"/>
    <mergeCell ref="GAK4:GAZ4"/>
    <mergeCell ref="FUW4:FVL4"/>
    <mergeCell ref="FVM4:FWB4"/>
    <mergeCell ref="FWC4:FWR4"/>
    <mergeCell ref="FWS4:FXH4"/>
    <mergeCell ref="FXI4:FXX4"/>
    <mergeCell ref="FRU4:FSJ4"/>
    <mergeCell ref="FSK4:FSZ4"/>
    <mergeCell ref="FTA4:FTP4"/>
    <mergeCell ref="FTQ4:FUF4"/>
    <mergeCell ref="FUG4:FUV4"/>
    <mergeCell ref="FOS4:FPH4"/>
    <mergeCell ref="FPI4:FPX4"/>
    <mergeCell ref="FPY4:FQN4"/>
    <mergeCell ref="FQO4:FRD4"/>
    <mergeCell ref="FRE4:FRT4"/>
    <mergeCell ref="GKG4:GKV4"/>
    <mergeCell ref="GKW4:GLL4"/>
    <mergeCell ref="GLM4:GMB4"/>
    <mergeCell ref="GMC4:GMR4"/>
    <mergeCell ref="GMS4:GNH4"/>
    <mergeCell ref="GHE4:GHT4"/>
    <mergeCell ref="GHU4:GIJ4"/>
    <mergeCell ref="GIK4:GIZ4"/>
    <mergeCell ref="GJA4:GJP4"/>
    <mergeCell ref="GJQ4:GKF4"/>
    <mergeCell ref="GEC4:GER4"/>
    <mergeCell ref="GES4:GFH4"/>
    <mergeCell ref="GFI4:GFX4"/>
    <mergeCell ref="GFY4:GGN4"/>
    <mergeCell ref="GGO4:GHD4"/>
    <mergeCell ref="GBA4:GBP4"/>
    <mergeCell ref="GBQ4:GCF4"/>
    <mergeCell ref="GCG4:GCV4"/>
    <mergeCell ref="GCW4:GDL4"/>
    <mergeCell ref="GDM4:GEB4"/>
    <mergeCell ref="GWO4:GXD4"/>
    <mergeCell ref="GXE4:GXT4"/>
    <mergeCell ref="GXU4:GYJ4"/>
    <mergeCell ref="GYK4:GYZ4"/>
    <mergeCell ref="GZA4:GZP4"/>
    <mergeCell ref="GTM4:GUB4"/>
    <mergeCell ref="GUC4:GUR4"/>
    <mergeCell ref="GUS4:GVH4"/>
    <mergeCell ref="GVI4:GVX4"/>
    <mergeCell ref="GVY4:GWN4"/>
    <mergeCell ref="GQK4:GQZ4"/>
    <mergeCell ref="GRA4:GRP4"/>
    <mergeCell ref="GRQ4:GSF4"/>
    <mergeCell ref="GSG4:GSV4"/>
    <mergeCell ref="GSW4:GTL4"/>
    <mergeCell ref="GNI4:GNX4"/>
    <mergeCell ref="GNY4:GON4"/>
    <mergeCell ref="GOO4:GPD4"/>
    <mergeCell ref="GPE4:GPT4"/>
    <mergeCell ref="GPU4:GQJ4"/>
    <mergeCell ref="HIW4:HJL4"/>
    <mergeCell ref="HJM4:HKB4"/>
    <mergeCell ref="HKC4:HKR4"/>
    <mergeCell ref="HKS4:HLH4"/>
    <mergeCell ref="HLI4:HLX4"/>
    <mergeCell ref="HFU4:HGJ4"/>
    <mergeCell ref="HGK4:HGZ4"/>
    <mergeCell ref="HHA4:HHP4"/>
    <mergeCell ref="HHQ4:HIF4"/>
    <mergeCell ref="HIG4:HIV4"/>
    <mergeCell ref="HCS4:HDH4"/>
    <mergeCell ref="HDI4:HDX4"/>
    <mergeCell ref="HDY4:HEN4"/>
    <mergeCell ref="HEO4:HFD4"/>
    <mergeCell ref="HFE4:HFT4"/>
    <mergeCell ref="GZQ4:HAF4"/>
    <mergeCell ref="HAG4:HAV4"/>
    <mergeCell ref="HAW4:HBL4"/>
    <mergeCell ref="HBM4:HCB4"/>
    <mergeCell ref="HCC4:HCR4"/>
    <mergeCell ref="HVE4:HVT4"/>
    <mergeCell ref="HVU4:HWJ4"/>
    <mergeCell ref="HWK4:HWZ4"/>
    <mergeCell ref="HXA4:HXP4"/>
    <mergeCell ref="HXQ4:HYF4"/>
    <mergeCell ref="HSC4:HSR4"/>
    <mergeCell ref="HSS4:HTH4"/>
    <mergeCell ref="HTI4:HTX4"/>
    <mergeCell ref="HTY4:HUN4"/>
    <mergeCell ref="HUO4:HVD4"/>
    <mergeCell ref="HPA4:HPP4"/>
    <mergeCell ref="HPQ4:HQF4"/>
    <mergeCell ref="HQG4:HQV4"/>
    <mergeCell ref="HQW4:HRL4"/>
    <mergeCell ref="HRM4:HSB4"/>
    <mergeCell ref="HLY4:HMN4"/>
    <mergeCell ref="HMO4:HND4"/>
    <mergeCell ref="HNE4:HNT4"/>
    <mergeCell ref="HNU4:HOJ4"/>
    <mergeCell ref="HOK4:HOZ4"/>
    <mergeCell ref="IHM4:IIB4"/>
    <mergeCell ref="IIC4:IIR4"/>
    <mergeCell ref="IIS4:IJH4"/>
    <mergeCell ref="IJI4:IJX4"/>
    <mergeCell ref="IJY4:IKN4"/>
    <mergeCell ref="IEK4:IEZ4"/>
    <mergeCell ref="IFA4:IFP4"/>
    <mergeCell ref="IFQ4:IGF4"/>
    <mergeCell ref="IGG4:IGV4"/>
    <mergeCell ref="IGW4:IHL4"/>
    <mergeCell ref="IBI4:IBX4"/>
    <mergeCell ref="IBY4:ICN4"/>
    <mergeCell ref="ICO4:IDD4"/>
    <mergeCell ref="IDE4:IDT4"/>
    <mergeCell ref="IDU4:IEJ4"/>
    <mergeCell ref="HYG4:HYV4"/>
    <mergeCell ref="HYW4:HZL4"/>
    <mergeCell ref="HZM4:IAB4"/>
    <mergeCell ref="IAC4:IAR4"/>
    <mergeCell ref="IAS4:IBH4"/>
    <mergeCell ref="ITU4:IUJ4"/>
    <mergeCell ref="IUK4:IUZ4"/>
    <mergeCell ref="IVA4:IVP4"/>
    <mergeCell ref="IVQ4:IWF4"/>
    <mergeCell ref="IWG4:IWV4"/>
    <mergeCell ref="IQS4:IRH4"/>
    <mergeCell ref="IRI4:IRX4"/>
    <mergeCell ref="IRY4:ISN4"/>
    <mergeCell ref="ISO4:ITD4"/>
    <mergeCell ref="ITE4:ITT4"/>
    <mergeCell ref="INQ4:IOF4"/>
    <mergeCell ref="IOG4:IOV4"/>
    <mergeCell ref="IOW4:IPL4"/>
    <mergeCell ref="IPM4:IQB4"/>
    <mergeCell ref="IQC4:IQR4"/>
    <mergeCell ref="IKO4:ILD4"/>
    <mergeCell ref="ILE4:ILT4"/>
    <mergeCell ref="ILU4:IMJ4"/>
    <mergeCell ref="IMK4:IMZ4"/>
    <mergeCell ref="INA4:INP4"/>
    <mergeCell ref="JGC4:JGR4"/>
    <mergeCell ref="JGS4:JHH4"/>
    <mergeCell ref="JHI4:JHX4"/>
    <mergeCell ref="JHY4:JIN4"/>
    <mergeCell ref="JIO4:JJD4"/>
    <mergeCell ref="JDA4:JDP4"/>
    <mergeCell ref="JDQ4:JEF4"/>
    <mergeCell ref="JEG4:JEV4"/>
    <mergeCell ref="JEW4:JFL4"/>
    <mergeCell ref="JFM4:JGB4"/>
    <mergeCell ref="IZY4:JAN4"/>
    <mergeCell ref="JAO4:JBD4"/>
    <mergeCell ref="JBE4:JBT4"/>
    <mergeCell ref="JBU4:JCJ4"/>
    <mergeCell ref="JCK4:JCZ4"/>
    <mergeCell ref="IWW4:IXL4"/>
    <mergeCell ref="IXM4:IYB4"/>
    <mergeCell ref="IYC4:IYR4"/>
    <mergeCell ref="IYS4:IZH4"/>
    <mergeCell ref="IZI4:IZX4"/>
    <mergeCell ref="JSK4:JSZ4"/>
    <mergeCell ref="JTA4:JTP4"/>
    <mergeCell ref="JTQ4:JUF4"/>
    <mergeCell ref="JUG4:JUV4"/>
    <mergeCell ref="JUW4:JVL4"/>
    <mergeCell ref="JPI4:JPX4"/>
    <mergeCell ref="JPY4:JQN4"/>
    <mergeCell ref="JQO4:JRD4"/>
    <mergeCell ref="JRE4:JRT4"/>
    <mergeCell ref="JRU4:JSJ4"/>
    <mergeCell ref="JMG4:JMV4"/>
    <mergeCell ref="JMW4:JNL4"/>
    <mergeCell ref="JNM4:JOB4"/>
    <mergeCell ref="JOC4:JOR4"/>
    <mergeCell ref="JOS4:JPH4"/>
    <mergeCell ref="JJE4:JJT4"/>
    <mergeCell ref="JJU4:JKJ4"/>
    <mergeCell ref="JKK4:JKZ4"/>
    <mergeCell ref="JLA4:JLP4"/>
    <mergeCell ref="JLQ4:JMF4"/>
    <mergeCell ref="KES4:KFH4"/>
    <mergeCell ref="KFI4:KFX4"/>
    <mergeCell ref="KFY4:KGN4"/>
    <mergeCell ref="KGO4:KHD4"/>
    <mergeCell ref="KHE4:KHT4"/>
    <mergeCell ref="KBQ4:KCF4"/>
    <mergeCell ref="KCG4:KCV4"/>
    <mergeCell ref="KCW4:KDL4"/>
    <mergeCell ref="KDM4:KEB4"/>
    <mergeCell ref="KEC4:KER4"/>
    <mergeCell ref="JYO4:JZD4"/>
    <mergeCell ref="JZE4:JZT4"/>
    <mergeCell ref="JZU4:KAJ4"/>
    <mergeCell ref="KAK4:KAZ4"/>
    <mergeCell ref="KBA4:KBP4"/>
    <mergeCell ref="JVM4:JWB4"/>
    <mergeCell ref="JWC4:JWR4"/>
    <mergeCell ref="JWS4:JXH4"/>
    <mergeCell ref="JXI4:JXX4"/>
    <mergeCell ref="JXY4:JYN4"/>
    <mergeCell ref="KRA4:KRP4"/>
    <mergeCell ref="KRQ4:KSF4"/>
    <mergeCell ref="KSG4:KSV4"/>
    <mergeCell ref="KSW4:KTL4"/>
    <mergeCell ref="KTM4:KUB4"/>
    <mergeCell ref="KNY4:KON4"/>
    <mergeCell ref="KOO4:KPD4"/>
    <mergeCell ref="KPE4:KPT4"/>
    <mergeCell ref="KPU4:KQJ4"/>
    <mergeCell ref="KQK4:KQZ4"/>
    <mergeCell ref="KKW4:KLL4"/>
    <mergeCell ref="KLM4:KMB4"/>
    <mergeCell ref="KMC4:KMR4"/>
    <mergeCell ref="KMS4:KNH4"/>
    <mergeCell ref="KNI4:KNX4"/>
    <mergeCell ref="KHU4:KIJ4"/>
    <mergeCell ref="KIK4:KIZ4"/>
    <mergeCell ref="KJA4:KJP4"/>
    <mergeCell ref="KJQ4:KKF4"/>
    <mergeCell ref="KKG4:KKV4"/>
    <mergeCell ref="LDI4:LDX4"/>
    <mergeCell ref="LDY4:LEN4"/>
    <mergeCell ref="LEO4:LFD4"/>
    <mergeCell ref="LFE4:LFT4"/>
    <mergeCell ref="LFU4:LGJ4"/>
    <mergeCell ref="LAG4:LAV4"/>
    <mergeCell ref="LAW4:LBL4"/>
    <mergeCell ref="LBM4:LCB4"/>
    <mergeCell ref="LCC4:LCR4"/>
    <mergeCell ref="LCS4:LDH4"/>
    <mergeCell ref="KXE4:KXT4"/>
    <mergeCell ref="KXU4:KYJ4"/>
    <mergeCell ref="KYK4:KYZ4"/>
    <mergeCell ref="KZA4:KZP4"/>
    <mergeCell ref="KZQ4:LAF4"/>
    <mergeCell ref="KUC4:KUR4"/>
    <mergeCell ref="KUS4:KVH4"/>
    <mergeCell ref="KVI4:KVX4"/>
    <mergeCell ref="KVY4:KWN4"/>
    <mergeCell ref="KWO4:KXD4"/>
    <mergeCell ref="LPQ4:LQF4"/>
    <mergeCell ref="LQG4:LQV4"/>
    <mergeCell ref="LQW4:LRL4"/>
    <mergeCell ref="LRM4:LSB4"/>
    <mergeCell ref="LSC4:LSR4"/>
    <mergeCell ref="LMO4:LND4"/>
    <mergeCell ref="LNE4:LNT4"/>
    <mergeCell ref="LNU4:LOJ4"/>
    <mergeCell ref="LOK4:LOZ4"/>
    <mergeCell ref="LPA4:LPP4"/>
    <mergeCell ref="LJM4:LKB4"/>
    <mergeCell ref="LKC4:LKR4"/>
    <mergeCell ref="LKS4:LLH4"/>
    <mergeCell ref="LLI4:LLX4"/>
    <mergeCell ref="LLY4:LMN4"/>
    <mergeCell ref="LGK4:LGZ4"/>
    <mergeCell ref="LHA4:LHP4"/>
    <mergeCell ref="LHQ4:LIF4"/>
    <mergeCell ref="LIG4:LIV4"/>
    <mergeCell ref="LIW4:LJL4"/>
    <mergeCell ref="MBY4:MCN4"/>
    <mergeCell ref="MCO4:MDD4"/>
    <mergeCell ref="MDE4:MDT4"/>
    <mergeCell ref="MDU4:MEJ4"/>
    <mergeCell ref="MEK4:MEZ4"/>
    <mergeCell ref="LYW4:LZL4"/>
    <mergeCell ref="LZM4:MAB4"/>
    <mergeCell ref="MAC4:MAR4"/>
    <mergeCell ref="MAS4:MBH4"/>
    <mergeCell ref="MBI4:MBX4"/>
    <mergeCell ref="LVU4:LWJ4"/>
    <mergeCell ref="LWK4:LWZ4"/>
    <mergeCell ref="LXA4:LXP4"/>
    <mergeCell ref="LXQ4:LYF4"/>
    <mergeCell ref="LYG4:LYV4"/>
    <mergeCell ref="LSS4:LTH4"/>
    <mergeCell ref="LTI4:LTX4"/>
    <mergeCell ref="LTY4:LUN4"/>
    <mergeCell ref="LUO4:LVD4"/>
    <mergeCell ref="LVE4:LVT4"/>
    <mergeCell ref="MOG4:MOV4"/>
    <mergeCell ref="MOW4:MPL4"/>
    <mergeCell ref="MPM4:MQB4"/>
    <mergeCell ref="MQC4:MQR4"/>
    <mergeCell ref="MQS4:MRH4"/>
    <mergeCell ref="MLE4:MLT4"/>
    <mergeCell ref="MLU4:MMJ4"/>
    <mergeCell ref="MMK4:MMZ4"/>
    <mergeCell ref="MNA4:MNP4"/>
    <mergeCell ref="MNQ4:MOF4"/>
    <mergeCell ref="MIC4:MIR4"/>
    <mergeCell ref="MIS4:MJH4"/>
    <mergeCell ref="MJI4:MJX4"/>
    <mergeCell ref="MJY4:MKN4"/>
    <mergeCell ref="MKO4:MLD4"/>
    <mergeCell ref="MFA4:MFP4"/>
    <mergeCell ref="MFQ4:MGF4"/>
    <mergeCell ref="MGG4:MGV4"/>
    <mergeCell ref="MGW4:MHL4"/>
    <mergeCell ref="MHM4:MIB4"/>
    <mergeCell ref="NAO4:NBD4"/>
    <mergeCell ref="NBE4:NBT4"/>
    <mergeCell ref="NBU4:NCJ4"/>
    <mergeCell ref="NCK4:NCZ4"/>
    <mergeCell ref="NDA4:NDP4"/>
    <mergeCell ref="MXM4:MYB4"/>
    <mergeCell ref="MYC4:MYR4"/>
    <mergeCell ref="MYS4:MZH4"/>
    <mergeCell ref="MZI4:MZX4"/>
    <mergeCell ref="MZY4:NAN4"/>
    <mergeCell ref="MUK4:MUZ4"/>
    <mergeCell ref="MVA4:MVP4"/>
    <mergeCell ref="MVQ4:MWF4"/>
    <mergeCell ref="MWG4:MWV4"/>
    <mergeCell ref="MWW4:MXL4"/>
    <mergeCell ref="MRI4:MRX4"/>
    <mergeCell ref="MRY4:MSN4"/>
    <mergeCell ref="MSO4:MTD4"/>
    <mergeCell ref="MTE4:MTT4"/>
    <mergeCell ref="MTU4:MUJ4"/>
    <mergeCell ref="NMW4:NNL4"/>
    <mergeCell ref="NNM4:NOB4"/>
    <mergeCell ref="NOC4:NOR4"/>
    <mergeCell ref="NOS4:NPH4"/>
    <mergeCell ref="NPI4:NPX4"/>
    <mergeCell ref="NJU4:NKJ4"/>
    <mergeCell ref="NKK4:NKZ4"/>
    <mergeCell ref="NLA4:NLP4"/>
    <mergeCell ref="NLQ4:NMF4"/>
    <mergeCell ref="NMG4:NMV4"/>
    <mergeCell ref="NGS4:NHH4"/>
    <mergeCell ref="NHI4:NHX4"/>
    <mergeCell ref="NHY4:NIN4"/>
    <mergeCell ref="NIO4:NJD4"/>
    <mergeCell ref="NJE4:NJT4"/>
    <mergeCell ref="NDQ4:NEF4"/>
    <mergeCell ref="NEG4:NEV4"/>
    <mergeCell ref="NEW4:NFL4"/>
    <mergeCell ref="NFM4:NGB4"/>
    <mergeCell ref="NGC4:NGR4"/>
    <mergeCell ref="NZE4:NZT4"/>
    <mergeCell ref="NZU4:OAJ4"/>
    <mergeCell ref="OAK4:OAZ4"/>
    <mergeCell ref="OBA4:OBP4"/>
    <mergeCell ref="OBQ4:OCF4"/>
    <mergeCell ref="NWC4:NWR4"/>
    <mergeCell ref="NWS4:NXH4"/>
    <mergeCell ref="NXI4:NXX4"/>
    <mergeCell ref="NXY4:NYN4"/>
    <mergeCell ref="NYO4:NZD4"/>
    <mergeCell ref="NTA4:NTP4"/>
    <mergeCell ref="NTQ4:NUF4"/>
    <mergeCell ref="NUG4:NUV4"/>
    <mergeCell ref="NUW4:NVL4"/>
    <mergeCell ref="NVM4:NWB4"/>
    <mergeCell ref="NPY4:NQN4"/>
    <mergeCell ref="NQO4:NRD4"/>
    <mergeCell ref="NRE4:NRT4"/>
    <mergeCell ref="NRU4:NSJ4"/>
    <mergeCell ref="NSK4:NSZ4"/>
    <mergeCell ref="OLM4:OMB4"/>
    <mergeCell ref="OMC4:OMR4"/>
    <mergeCell ref="OMS4:ONH4"/>
    <mergeCell ref="ONI4:ONX4"/>
    <mergeCell ref="ONY4:OON4"/>
    <mergeCell ref="OIK4:OIZ4"/>
    <mergeCell ref="OJA4:OJP4"/>
    <mergeCell ref="OJQ4:OKF4"/>
    <mergeCell ref="OKG4:OKV4"/>
    <mergeCell ref="OKW4:OLL4"/>
    <mergeCell ref="OFI4:OFX4"/>
    <mergeCell ref="OFY4:OGN4"/>
    <mergeCell ref="OGO4:OHD4"/>
    <mergeCell ref="OHE4:OHT4"/>
    <mergeCell ref="OHU4:OIJ4"/>
    <mergeCell ref="OCG4:OCV4"/>
    <mergeCell ref="OCW4:ODL4"/>
    <mergeCell ref="ODM4:OEB4"/>
    <mergeCell ref="OEC4:OER4"/>
    <mergeCell ref="OES4:OFH4"/>
    <mergeCell ref="OXU4:OYJ4"/>
    <mergeCell ref="OYK4:OYZ4"/>
    <mergeCell ref="OZA4:OZP4"/>
    <mergeCell ref="OZQ4:PAF4"/>
    <mergeCell ref="PAG4:PAV4"/>
    <mergeCell ref="OUS4:OVH4"/>
    <mergeCell ref="OVI4:OVX4"/>
    <mergeCell ref="OVY4:OWN4"/>
    <mergeCell ref="OWO4:OXD4"/>
    <mergeCell ref="OXE4:OXT4"/>
    <mergeCell ref="ORQ4:OSF4"/>
    <mergeCell ref="OSG4:OSV4"/>
    <mergeCell ref="OSW4:OTL4"/>
    <mergeCell ref="OTM4:OUB4"/>
    <mergeCell ref="OUC4:OUR4"/>
    <mergeCell ref="OOO4:OPD4"/>
    <mergeCell ref="OPE4:OPT4"/>
    <mergeCell ref="OPU4:OQJ4"/>
    <mergeCell ref="OQK4:OQZ4"/>
    <mergeCell ref="ORA4:ORP4"/>
    <mergeCell ref="PKC4:PKR4"/>
    <mergeCell ref="PKS4:PLH4"/>
    <mergeCell ref="PLI4:PLX4"/>
    <mergeCell ref="PLY4:PMN4"/>
    <mergeCell ref="PMO4:PND4"/>
    <mergeCell ref="PHA4:PHP4"/>
    <mergeCell ref="PHQ4:PIF4"/>
    <mergeCell ref="PIG4:PIV4"/>
    <mergeCell ref="PIW4:PJL4"/>
    <mergeCell ref="PJM4:PKB4"/>
    <mergeCell ref="PDY4:PEN4"/>
    <mergeCell ref="PEO4:PFD4"/>
    <mergeCell ref="PFE4:PFT4"/>
    <mergeCell ref="PFU4:PGJ4"/>
    <mergeCell ref="PGK4:PGZ4"/>
    <mergeCell ref="PAW4:PBL4"/>
    <mergeCell ref="PBM4:PCB4"/>
    <mergeCell ref="PCC4:PCR4"/>
    <mergeCell ref="PCS4:PDH4"/>
    <mergeCell ref="PDI4:PDX4"/>
    <mergeCell ref="PWK4:PWZ4"/>
    <mergeCell ref="PXA4:PXP4"/>
    <mergeCell ref="PXQ4:PYF4"/>
    <mergeCell ref="PYG4:PYV4"/>
    <mergeCell ref="PYW4:PZL4"/>
    <mergeCell ref="PTI4:PTX4"/>
    <mergeCell ref="PTY4:PUN4"/>
    <mergeCell ref="PUO4:PVD4"/>
    <mergeCell ref="PVE4:PVT4"/>
    <mergeCell ref="PVU4:PWJ4"/>
    <mergeCell ref="PQG4:PQV4"/>
    <mergeCell ref="PQW4:PRL4"/>
    <mergeCell ref="PRM4:PSB4"/>
    <mergeCell ref="PSC4:PSR4"/>
    <mergeCell ref="PSS4:PTH4"/>
    <mergeCell ref="PNE4:PNT4"/>
    <mergeCell ref="PNU4:POJ4"/>
    <mergeCell ref="POK4:POZ4"/>
    <mergeCell ref="PPA4:PPP4"/>
    <mergeCell ref="PPQ4:PQF4"/>
    <mergeCell ref="QIS4:QJH4"/>
    <mergeCell ref="QJI4:QJX4"/>
    <mergeCell ref="QJY4:QKN4"/>
    <mergeCell ref="QKO4:QLD4"/>
    <mergeCell ref="QLE4:QLT4"/>
    <mergeCell ref="QFQ4:QGF4"/>
    <mergeCell ref="QGG4:QGV4"/>
    <mergeCell ref="QGW4:QHL4"/>
    <mergeCell ref="QHM4:QIB4"/>
    <mergeCell ref="QIC4:QIR4"/>
    <mergeCell ref="QCO4:QDD4"/>
    <mergeCell ref="QDE4:QDT4"/>
    <mergeCell ref="QDU4:QEJ4"/>
    <mergeCell ref="QEK4:QEZ4"/>
    <mergeCell ref="QFA4:QFP4"/>
    <mergeCell ref="PZM4:QAB4"/>
    <mergeCell ref="QAC4:QAR4"/>
    <mergeCell ref="QAS4:QBH4"/>
    <mergeCell ref="QBI4:QBX4"/>
    <mergeCell ref="QBY4:QCN4"/>
    <mergeCell ref="QVA4:QVP4"/>
    <mergeCell ref="QVQ4:QWF4"/>
    <mergeCell ref="QWG4:QWV4"/>
    <mergeCell ref="QWW4:QXL4"/>
    <mergeCell ref="QXM4:QYB4"/>
    <mergeCell ref="QRY4:QSN4"/>
    <mergeCell ref="QSO4:QTD4"/>
    <mergeCell ref="QTE4:QTT4"/>
    <mergeCell ref="QTU4:QUJ4"/>
    <mergeCell ref="QUK4:QUZ4"/>
    <mergeCell ref="QOW4:QPL4"/>
    <mergeCell ref="QPM4:QQB4"/>
    <mergeCell ref="QQC4:QQR4"/>
    <mergeCell ref="QQS4:QRH4"/>
    <mergeCell ref="QRI4:QRX4"/>
    <mergeCell ref="QLU4:QMJ4"/>
    <mergeCell ref="QMK4:QMZ4"/>
    <mergeCell ref="QNA4:QNP4"/>
    <mergeCell ref="QNQ4:QOF4"/>
    <mergeCell ref="QOG4:QOV4"/>
    <mergeCell ref="RHI4:RHX4"/>
    <mergeCell ref="RHY4:RIN4"/>
    <mergeCell ref="RIO4:RJD4"/>
    <mergeCell ref="RJE4:RJT4"/>
    <mergeCell ref="RJU4:RKJ4"/>
    <mergeCell ref="REG4:REV4"/>
    <mergeCell ref="REW4:RFL4"/>
    <mergeCell ref="RFM4:RGB4"/>
    <mergeCell ref="RGC4:RGR4"/>
    <mergeCell ref="RGS4:RHH4"/>
    <mergeCell ref="RBE4:RBT4"/>
    <mergeCell ref="RBU4:RCJ4"/>
    <mergeCell ref="RCK4:RCZ4"/>
    <mergeCell ref="RDA4:RDP4"/>
    <mergeCell ref="RDQ4:REF4"/>
    <mergeCell ref="QYC4:QYR4"/>
    <mergeCell ref="QYS4:QZH4"/>
    <mergeCell ref="QZI4:QZX4"/>
    <mergeCell ref="QZY4:RAN4"/>
    <mergeCell ref="RAO4:RBD4"/>
    <mergeCell ref="RTQ4:RUF4"/>
    <mergeCell ref="RUG4:RUV4"/>
    <mergeCell ref="RUW4:RVL4"/>
    <mergeCell ref="RVM4:RWB4"/>
    <mergeCell ref="RWC4:RWR4"/>
    <mergeCell ref="RQO4:RRD4"/>
    <mergeCell ref="RRE4:RRT4"/>
    <mergeCell ref="RRU4:RSJ4"/>
    <mergeCell ref="RSK4:RSZ4"/>
    <mergeCell ref="RTA4:RTP4"/>
    <mergeCell ref="RNM4:ROB4"/>
    <mergeCell ref="ROC4:ROR4"/>
    <mergeCell ref="ROS4:RPH4"/>
    <mergeCell ref="RPI4:RPX4"/>
    <mergeCell ref="RPY4:RQN4"/>
    <mergeCell ref="RKK4:RKZ4"/>
    <mergeCell ref="RLA4:RLP4"/>
    <mergeCell ref="RLQ4:RMF4"/>
    <mergeCell ref="RMG4:RMV4"/>
    <mergeCell ref="RMW4:RNL4"/>
    <mergeCell ref="SFY4:SGN4"/>
    <mergeCell ref="SGO4:SHD4"/>
    <mergeCell ref="SHE4:SHT4"/>
    <mergeCell ref="SHU4:SIJ4"/>
    <mergeCell ref="SIK4:SIZ4"/>
    <mergeCell ref="SCW4:SDL4"/>
    <mergeCell ref="SDM4:SEB4"/>
    <mergeCell ref="SEC4:SER4"/>
    <mergeCell ref="SES4:SFH4"/>
    <mergeCell ref="SFI4:SFX4"/>
    <mergeCell ref="RZU4:SAJ4"/>
    <mergeCell ref="SAK4:SAZ4"/>
    <mergeCell ref="SBA4:SBP4"/>
    <mergeCell ref="SBQ4:SCF4"/>
    <mergeCell ref="SCG4:SCV4"/>
    <mergeCell ref="RWS4:RXH4"/>
    <mergeCell ref="RXI4:RXX4"/>
    <mergeCell ref="RXY4:RYN4"/>
    <mergeCell ref="RYO4:RZD4"/>
    <mergeCell ref="RZE4:RZT4"/>
    <mergeCell ref="SSG4:SSV4"/>
    <mergeCell ref="SSW4:STL4"/>
    <mergeCell ref="STM4:SUB4"/>
    <mergeCell ref="SUC4:SUR4"/>
    <mergeCell ref="SUS4:SVH4"/>
    <mergeCell ref="SPE4:SPT4"/>
    <mergeCell ref="SPU4:SQJ4"/>
    <mergeCell ref="SQK4:SQZ4"/>
    <mergeCell ref="SRA4:SRP4"/>
    <mergeCell ref="SRQ4:SSF4"/>
    <mergeCell ref="SMC4:SMR4"/>
    <mergeCell ref="SMS4:SNH4"/>
    <mergeCell ref="SNI4:SNX4"/>
    <mergeCell ref="SNY4:SON4"/>
    <mergeCell ref="SOO4:SPD4"/>
    <mergeCell ref="SJA4:SJP4"/>
    <mergeCell ref="SJQ4:SKF4"/>
    <mergeCell ref="SKG4:SKV4"/>
    <mergeCell ref="SKW4:SLL4"/>
    <mergeCell ref="SLM4:SMB4"/>
    <mergeCell ref="TEO4:TFD4"/>
    <mergeCell ref="TFE4:TFT4"/>
    <mergeCell ref="TFU4:TGJ4"/>
    <mergeCell ref="TGK4:TGZ4"/>
    <mergeCell ref="THA4:THP4"/>
    <mergeCell ref="TBM4:TCB4"/>
    <mergeCell ref="TCC4:TCR4"/>
    <mergeCell ref="TCS4:TDH4"/>
    <mergeCell ref="TDI4:TDX4"/>
    <mergeCell ref="TDY4:TEN4"/>
    <mergeCell ref="SYK4:SYZ4"/>
    <mergeCell ref="SZA4:SZP4"/>
    <mergeCell ref="SZQ4:TAF4"/>
    <mergeCell ref="TAG4:TAV4"/>
    <mergeCell ref="TAW4:TBL4"/>
    <mergeCell ref="SVI4:SVX4"/>
    <mergeCell ref="SVY4:SWN4"/>
    <mergeCell ref="SWO4:SXD4"/>
    <mergeCell ref="SXE4:SXT4"/>
    <mergeCell ref="SXU4:SYJ4"/>
    <mergeCell ref="WQK4:WQZ4"/>
    <mergeCell ref="XCC4:XCR4"/>
    <mergeCell ref="XCS4:XDH4"/>
    <mergeCell ref="XDI4:XDX4"/>
    <mergeCell ref="XDY4:XEN4"/>
    <mergeCell ref="XEO4:XFD4"/>
    <mergeCell ref="WZA4:WZP4"/>
    <mergeCell ref="WZQ4:XAF4"/>
    <mergeCell ref="XAG4:XAV4"/>
    <mergeCell ref="XAW4:XBL4"/>
    <mergeCell ref="XBM4:XCB4"/>
    <mergeCell ref="WVY4:WWN4"/>
    <mergeCell ref="WWO4:WXD4"/>
    <mergeCell ref="WXE4:WXT4"/>
    <mergeCell ref="WXU4:WYJ4"/>
    <mergeCell ref="WYK4:WYZ4"/>
    <mergeCell ref="WSW4:WTL4"/>
    <mergeCell ref="WTM4:WUB4"/>
    <mergeCell ref="WUC4:WUR4"/>
    <mergeCell ref="WUS4:WVH4"/>
    <mergeCell ref="WVI4:WVX4"/>
    <mergeCell ref="VPY4:VQN4"/>
    <mergeCell ref="WFY4:WGN4"/>
    <mergeCell ref="WAK4:WAZ4"/>
    <mergeCell ref="WBA4:WBP4"/>
    <mergeCell ref="WBQ4:WCF4"/>
    <mergeCell ref="WCG4:WCV4"/>
    <mergeCell ref="WDM4:WEB4"/>
    <mergeCell ref="WEC4:WER4"/>
    <mergeCell ref="WES4:WFH4"/>
    <mergeCell ref="WFI4:WFX4"/>
    <mergeCell ref="VRU4:VSJ4"/>
    <mergeCell ref="VSK4:VSZ4"/>
    <mergeCell ref="VTA4:VTP4"/>
    <mergeCell ref="WRA4:WRP4"/>
    <mergeCell ref="WRQ4:WSF4"/>
    <mergeCell ref="WSG4:WSV4"/>
    <mergeCell ref="WMS4:WNH4"/>
    <mergeCell ref="WNI4:WNX4"/>
    <mergeCell ref="WNY4:WON4"/>
    <mergeCell ref="WOO4:WPD4"/>
    <mergeCell ref="WPE4:WPT4"/>
    <mergeCell ref="WJQ4:WKF4"/>
    <mergeCell ref="WKG4:WKV4"/>
    <mergeCell ref="WKW4:WLL4"/>
    <mergeCell ref="WLM4:WMB4"/>
    <mergeCell ref="WMC4:WMR4"/>
    <mergeCell ref="WGO4:WHD4"/>
    <mergeCell ref="WHE4:WHT4"/>
    <mergeCell ref="WHU4:WIJ4"/>
    <mergeCell ref="WIK4:WIZ4"/>
    <mergeCell ref="WJA4:WJP4"/>
    <mergeCell ref="WPU4:WQJ4"/>
    <mergeCell ref="VQO4:VRD4"/>
    <mergeCell ref="VLA4:VLP4"/>
    <mergeCell ref="VLQ4:VMF4"/>
    <mergeCell ref="VMG4:VMV4"/>
    <mergeCell ref="VMW4:VNL4"/>
    <mergeCell ref="VNM4:VOB4"/>
    <mergeCell ref="VHY4:VIN4"/>
    <mergeCell ref="VIO4:VJD4"/>
    <mergeCell ref="VJE4:VJT4"/>
    <mergeCell ref="VJU4:VKJ4"/>
    <mergeCell ref="VKK4:VKZ4"/>
    <mergeCell ref="UZY4:VAN4"/>
    <mergeCell ref="VAO4:VBD4"/>
    <mergeCell ref="VBE4:VBT4"/>
    <mergeCell ref="WCW4:WDL4"/>
    <mergeCell ref="VXI4:VXX4"/>
    <mergeCell ref="VXY4:VYN4"/>
    <mergeCell ref="VYO4:VZD4"/>
    <mergeCell ref="VZE4:VZT4"/>
    <mergeCell ref="VZU4:WAJ4"/>
    <mergeCell ref="VUG4:VUV4"/>
    <mergeCell ref="VUW4:VVL4"/>
    <mergeCell ref="VVM4:VWB4"/>
    <mergeCell ref="VWC4:VWR4"/>
    <mergeCell ref="VWS4:VXH4"/>
    <mergeCell ref="VRE4:VRT4"/>
    <mergeCell ref="VTQ4:VUF4"/>
    <mergeCell ref="VEW4:VFL4"/>
    <mergeCell ref="VFM4:VGB4"/>
    <mergeCell ref="VGC4:VGR4"/>
    <mergeCell ref="VGS4:VHH4"/>
    <mergeCell ref="VHI4:VHX4"/>
    <mergeCell ref="TXA4:TXP4"/>
    <mergeCell ref="TXQ4:TYF4"/>
    <mergeCell ref="TYG4:TYV4"/>
    <mergeCell ref="TYW4:TZL4"/>
    <mergeCell ref="TZM4:UAB4"/>
    <mergeCell ref="TTY4:TUN4"/>
    <mergeCell ref="TUO4:TVD4"/>
    <mergeCell ref="TVE4:TVT4"/>
    <mergeCell ref="TVU4:TWJ4"/>
    <mergeCell ref="TWK4:TWZ4"/>
    <mergeCell ref="VPI4:VPX4"/>
    <mergeCell ref="UJI4:UJX4"/>
    <mergeCell ref="UJY4:UKN4"/>
    <mergeCell ref="UKO4:ULD4"/>
    <mergeCell ref="ULE4:ULT4"/>
    <mergeCell ref="ULU4:UMJ4"/>
    <mergeCell ref="UGG4:UGV4"/>
    <mergeCell ref="UGW4:UHL4"/>
    <mergeCell ref="UHM4:UIB4"/>
    <mergeCell ref="UIC4:UIR4"/>
    <mergeCell ref="UIS4:UJH4"/>
    <mergeCell ref="UDE4:UDT4"/>
    <mergeCell ref="UDU4:UEJ4"/>
    <mergeCell ref="UEK4:UEZ4"/>
    <mergeCell ref="UFA4:UFP4"/>
    <mergeCell ref="UFQ4:UGF4"/>
    <mergeCell ref="VOC4:VOR4"/>
    <mergeCell ref="UVQ4:UWF4"/>
    <mergeCell ref="UWG4:UWV4"/>
    <mergeCell ref="UWW4:UXL4"/>
    <mergeCell ref="UXM4:UYB4"/>
    <mergeCell ref="UYC4:UYR4"/>
    <mergeCell ref="USO4:UTD4"/>
    <mergeCell ref="UTE4:UTT4"/>
    <mergeCell ref="UTU4:UUJ4"/>
    <mergeCell ref="UUK4:UUZ4"/>
    <mergeCell ref="UVA4:UVP4"/>
    <mergeCell ref="VOS4:VPH4"/>
    <mergeCell ref="UAC4:UAR4"/>
    <mergeCell ref="UAS4:UBH4"/>
    <mergeCell ref="UBI4:UBX4"/>
    <mergeCell ref="UBY4:UCN4"/>
    <mergeCell ref="UCO4:UDD4"/>
    <mergeCell ref="UPM4:UQB4"/>
    <mergeCell ref="UQC4:UQR4"/>
    <mergeCell ref="UQS4:URH4"/>
    <mergeCell ref="URI4:URX4"/>
    <mergeCell ref="UMK4:UMZ4"/>
    <mergeCell ref="UNA4:UNP4"/>
    <mergeCell ref="UNQ4:UOF4"/>
    <mergeCell ref="UOG4:UOV4"/>
    <mergeCell ref="UOW4:UPL4"/>
    <mergeCell ref="URY4:USN4"/>
    <mergeCell ref="VBU4:VCJ4"/>
    <mergeCell ref="VCK4:VCZ4"/>
    <mergeCell ref="VDA4:VDP4"/>
    <mergeCell ref="VDQ4:VEF4"/>
    <mergeCell ref="VEG4:VEV4"/>
    <mergeCell ref="UYS4:UZH4"/>
    <mergeCell ref="UZI4:UZX4"/>
    <mergeCell ref="TKS4:TLH4"/>
    <mergeCell ref="TLI4:TLX4"/>
    <mergeCell ref="TLY4:TMN4"/>
    <mergeCell ref="TMO4:TND4"/>
    <mergeCell ref="TNE4:TNT4"/>
    <mergeCell ref="THQ4:TIF4"/>
    <mergeCell ref="TIG4:TIV4"/>
    <mergeCell ref="TIW4:TJL4"/>
    <mergeCell ref="TJM4:TKB4"/>
    <mergeCell ref="TKC4:TKR4"/>
    <mergeCell ref="TQW4:TRL4"/>
    <mergeCell ref="TRM4:TSB4"/>
    <mergeCell ref="TSC4:TSR4"/>
    <mergeCell ref="TSS4:TTH4"/>
    <mergeCell ref="TTI4:TTX4"/>
    <mergeCell ref="TNU4:TOJ4"/>
    <mergeCell ref="TOK4:TOZ4"/>
    <mergeCell ref="TPA4:TPP4"/>
    <mergeCell ref="TPQ4:TQF4"/>
    <mergeCell ref="TQG4:TQV4"/>
  </mergeCells>
  <conditionalFormatting sqref="I8:I53">
    <cfRule type="cellIs" dxfId="38" priority="28" stopIfTrue="1" operator="lessThan">
      <formula>50</formula>
    </cfRule>
  </conditionalFormatting>
  <conditionalFormatting sqref="P8:P10 P13:P32 P34 P36 P38:P53">
    <cfRule type="cellIs" dxfId="37" priority="10" stopIfTrue="1" operator="greaterThan">
      <formula>1.8</formula>
    </cfRule>
  </conditionalFormatting>
  <conditionalFormatting sqref="R11">
    <cfRule type="cellIs" dxfId="36" priority="8" operator="greaterThan">
      <formula>1.8</formula>
    </cfRule>
  </conditionalFormatting>
  <conditionalFormatting sqref="R22">
    <cfRule type="cellIs" dxfId="35" priority="6" operator="greaterThan">
      <formula>1.8</formula>
    </cfRule>
  </conditionalFormatting>
  <conditionalFormatting sqref="R25">
    <cfRule type="cellIs" dxfId="34" priority="5" operator="greaterThan">
      <formula>1.8</formula>
    </cfRule>
  </conditionalFormatting>
  <conditionalFormatting sqref="R27">
    <cfRule type="cellIs" dxfId="33" priority="4" operator="greaterThan">
      <formula>1.8</formula>
    </cfRule>
  </conditionalFormatting>
  <conditionalFormatting sqref="R33">
    <cfRule type="cellIs" dxfId="32" priority="3" operator="greaterThan">
      <formula>1.8</formula>
    </cfRule>
  </conditionalFormatting>
  <conditionalFormatting sqref="R41">
    <cfRule type="cellIs" dxfId="31" priority="1" operator="greaterThan">
      <formula>1.8</formula>
    </cfRule>
  </conditionalFormatting>
  <conditionalFormatting sqref="R9:S9">
    <cfRule type="cellIs" dxfId="30" priority="9" operator="greaterThan">
      <formula>1.8</formula>
    </cfRule>
  </conditionalFormatting>
  <conditionalFormatting sqref="R15:S15">
    <cfRule type="cellIs" dxfId="29" priority="7" operator="greaterThan">
      <formula>1.8</formula>
    </cfRule>
  </conditionalFormatting>
  <conditionalFormatting sqref="R36:S36">
    <cfRule type="cellIs" dxfId="28" priority="2" operator="greaterThan">
      <formula>1.8</formula>
    </cfRule>
  </conditionalFormatting>
  <pageMargins left="0.25" right="0.25" top="0.75" bottom="0.75" header="0.3" footer="0.3"/>
  <pageSetup scale="58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indexed="11"/>
    <pageSetUpPr fitToPage="1"/>
  </sheetPr>
  <dimension ref="B1:T127"/>
  <sheetViews>
    <sheetView tabSelected="1" topLeftCell="A4" zoomScale="80" zoomScaleNormal="80" zoomScaleSheetLayoutView="80" workbookViewId="0">
      <pane xSplit="2" ySplit="4" topLeftCell="C8" activePane="bottomRight" state="frozen"/>
      <selection activeCell="A4" sqref="A4"/>
      <selection pane="topRight" activeCell="B4" sqref="B4"/>
      <selection pane="bottomLeft" activeCell="A8" sqref="A8"/>
      <selection pane="bottomRight" activeCell="E8" sqref="E8"/>
    </sheetView>
  </sheetViews>
  <sheetFormatPr defaultRowHeight="12.75"/>
  <cols>
    <col min="1" max="1" width="2.42578125" customWidth="1"/>
    <col min="2" max="2" width="9.140625" style="1" customWidth="1"/>
    <col min="3" max="3" width="7" style="1" customWidth="1"/>
    <col min="4" max="4" width="56.140625" style="32" customWidth="1"/>
    <col min="5" max="5" width="13" style="1" customWidth="1"/>
    <col min="6" max="6" width="11" style="24" bestFit="1" customWidth="1"/>
    <col min="7" max="7" width="15.42578125" customWidth="1"/>
    <col min="8" max="8" width="13.5703125" customWidth="1"/>
    <col min="9" max="9" width="10.570312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7" customWidth="1"/>
    <col min="16" max="16" width="12.42578125" style="26" customWidth="1"/>
    <col min="17" max="17" width="12.140625" style="6" customWidth="1"/>
    <col min="18" max="18" width="11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2:20" ht="27">
      <c r="B1" s="384" t="s">
        <v>0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</row>
    <row r="3" spans="2:20" ht="22.5">
      <c r="B3" s="385" t="s">
        <v>1</v>
      </c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</row>
    <row r="4" spans="2:20" ht="21" thickBot="1">
      <c r="B4" s="386">
        <v>46296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</row>
    <row r="5" spans="2:20" ht="17.25" thickTop="1" thickBot="1">
      <c r="B5" s="2" t="s">
        <v>2</v>
      </c>
      <c r="C5" s="2" t="s">
        <v>3</v>
      </c>
      <c r="D5" s="27" t="s">
        <v>4</v>
      </c>
      <c r="E5" s="2" t="s">
        <v>63</v>
      </c>
      <c r="F5" s="20" t="s">
        <v>12</v>
      </c>
      <c r="G5" s="2" t="s">
        <v>5</v>
      </c>
      <c r="H5" s="2" t="s">
        <v>13</v>
      </c>
      <c r="I5" s="387" t="s">
        <v>26</v>
      </c>
      <c r="J5" s="2" t="s">
        <v>18</v>
      </c>
      <c r="K5" s="2" t="s">
        <v>6</v>
      </c>
      <c r="L5" s="390" t="s">
        <v>22</v>
      </c>
      <c r="M5" s="393" t="s">
        <v>24</v>
      </c>
      <c r="N5" s="393" t="s">
        <v>25</v>
      </c>
      <c r="O5" s="393" t="s">
        <v>23</v>
      </c>
      <c r="P5" s="20" t="s">
        <v>6</v>
      </c>
      <c r="Q5" s="4" t="s">
        <v>9</v>
      </c>
      <c r="R5" s="2" t="s">
        <v>20</v>
      </c>
    </row>
    <row r="6" spans="2:20" ht="16.5" customHeight="1" thickTop="1">
      <c r="B6" s="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88"/>
      <c r="J6" s="8" t="s">
        <v>17</v>
      </c>
      <c r="K6" s="8" t="s">
        <v>17</v>
      </c>
      <c r="L6" s="391"/>
      <c r="M6" s="394"/>
      <c r="N6" s="394"/>
      <c r="O6" s="394"/>
      <c r="P6" s="21" t="s">
        <v>19</v>
      </c>
      <c r="Q6" s="9" t="s">
        <v>10</v>
      </c>
      <c r="R6" s="382" t="s">
        <v>21</v>
      </c>
    </row>
    <row r="7" spans="2:20" ht="16.5" thickBot="1">
      <c r="B7" s="10"/>
      <c r="C7" s="10"/>
      <c r="D7" s="29"/>
      <c r="E7" s="8"/>
      <c r="F7" s="22" t="s">
        <v>15</v>
      </c>
      <c r="G7" s="10"/>
      <c r="H7" s="10" t="s">
        <v>16</v>
      </c>
      <c r="I7" s="389"/>
      <c r="J7" s="10"/>
      <c r="K7" s="10"/>
      <c r="L7" s="392"/>
      <c r="M7" s="395"/>
      <c r="N7" s="395"/>
      <c r="O7" s="395"/>
      <c r="P7" s="21"/>
      <c r="Q7" s="11"/>
      <c r="R7" s="383"/>
    </row>
    <row r="8" spans="2:20" ht="15.75">
      <c r="B8" s="60">
        <v>46296</v>
      </c>
      <c r="C8" s="49">
        <v>1</v>
      </c>
      <c r="D8" s="30" t="s">
        <v>48</v>
      </c>
      <c r="E8" s="147"/>
      <c r="F8" s="39">
        <f>[3]Oct!$N79</f>
        <v>-15</v>
      </c>
      <c r="G8" s="18"/>
      <c r="H8" s="54">
        <f t="shared" ref="H8:H23" si="0">(G8)*24/(F8/60)/17000*100</f>
        <v>0</v>
      </c>
      <c r="I8" s="55"/>
      <c r="J8" s="357"/>
      <c r="K8" s="54">
        <f t="shared" ref="K8:K14" si="1">(G8)*0.066</f>
        <v>0</v>
      </c>
      <c r="L8" s="54">
        <f t="shared" ref="L8:L14" si="2">J8-K8</f>
        <v>0</v>
      </c>
      <c r="M8" s="55">
        <f>[3]Oct!$AD8</f>
        <v>27</v>
      </c>
      <c r="N8" s="55"/>
      <c r="O8" s="55"/>
      <c r="P8" s="33" t="e">
        <f t="shared" ref="P8" si="3">(J8-K8)/J8*100</f>
        <v>#DIV/0!</v>
      </c>
      <c r="Q8" s="55">
        <f>(G8+G9)/(F8/60)</f>
        <v>0</v>
      </c>
      <c r="R8" s="16"/>
    </row>
    <row r="9" spans="2:20" ht="15.75">
      <c r="B9" s="60"/>
      <c r="C9" s="49"/>
      <c r="D9" s="30"/>
      <c r="E9" s="147"/>
      <c r="F9" s="39">
        <f>[3]Oct!$N80</f>
        <v>0</v>
      </c>
      <c r="G9" s="18"/>
      <c r="H9" s="54" t="e">
        <f t="shared" si="0"/>
        <v>#DIV/0!</v>
      </c>
      <c r="I9" s="55"/>
      <c r="J9" s="33"/>
      <c r="K9" s="54">
        <f t="shared" si="1"/>
        <v>0</v>
      </c>
      <c r="L9" s="54">
        <f t="shared" si="2"/>
        <v>0</v>
      </c>
      <c r="M9" s="55">
        <f>[3]Oct!$AD9</f>
        <v>0</v>
      </c>
      <c r="N9" s="55"/>
      <c r="O9" s="55"/>
      <c r="P9" s="33" t="e">
        <f t="shared" ref="P9:P31" si="4">(J9-K9)/J9*100</f>
        <v>#DIV/0!</v>
      </c>
      <c r="Q9" s="55" t="e">
        <f t="shared" ref="Q9:Q12" si="5">(G9+G10)/(F9/60)</f>
        <v>#DIV/0!</v>
      </c>
      <c r="R9" s="16"/>
    </row>
    <row r="10" spans="2:20" ht="15.75">
      <c r="B10" s="60"/>
      <c r="C10" s="49"/>
      <c r="D10" s="30"/>
      <c r="E10" s="147"/>
      <c r="F10" s="39">
        <f>[3]Oct!$N81</f>
        <v>0</v>
      </c>
      <c r="G10" s="18"/>
      <c r="H10" s="54" t="e">
        <f t="shared" si="0"/>
        <v>#DIV/0!</v>
      </c>
      <c r="I10" s="55"/>
      <c r="J10" s="54"/>
      <c r="K10" s="54">
        <f t="shared" si="1"/>
        <v>0</v>
      </c>
      <c r="L10" s="54">
        <f t="shared" si="2"/>
        <v>0</v>
      </c>
      <c r="M10" s="55">
        <f>[3]Oct!$AD10</f>
        <v>0</v>
      </c>
      <c r="N10" s="55"/>
      <c r="O10" s="55"/>
      <c r="P10" s="33" t="e">
        <f t="shared" si="4"/>
        <v>#DIV/0!</v>
      </c>
      <c r="Q10" s="55" t="e">
        <f t="shared" si="5"/>
        <v>#DIV/0!</v>
      </c>
      <c r="R10" s="16"/>
      <c r="S10" s="37"/>
      <c r="T10" s="6"/>
    </row>
    <row r="11" spans="2:20" s="254" customFormat="1" ht="15.75">
      <c r="B11" s="190"/>
      <c r="C11" s="191"/>
      <c r="D11" s="192"/>
      <c r="E11" s="147"/>
      <c r="F11" s="39">
        <f>[3]Oct!$N82</f>
        <v>0</v>
      </c>
      <c r="G11" s="18"/>
      <c r="H11" s="54" t="e">
        <f t="shared" si="0"/>
        <v>#DIV/0!</v>
      </c>
      <c r="I11" s="187"/>
      <c r="J11" s="54"/>
      <c r="K11" s="54">
        <f t="shared" si="1"/>
        <v>0</v>
      </c>
      <c r="L11" s="54">
        <f t="shared" si="2"/>
        <v>0</v>
      </c>
      <c r="M11" s="55">
        <f>[3]Oct!$AD11</f>
        <v>0</v>
      </c>
      <c r="N11" s="187"/>
      <c r="O11" s="187"/>
      <c r="P11" s="33" t="e">
        <f t="shared" si="4"/>
        <v>#DIV/0!</v>
      </c>
      <c r="Q11" s="55" t="e">
        <f t="shared" si="5"/>
        <v>#DIV/0!</v>
      </c>
      <c r="R11" s="16"/>
      <c r="S11" s="252"/>
      <c r="T11" s="253"/>
    </row>
    <row r="12" spans="2:20" ht="15.75">
      <c r="B12" s="60"/>
      <c r="C12" s="49"/>
      <c r="D12" s="30"/>
      <c r="E12" s="147"/>
      <c r="F12" s="39">
        <f>[3]Oct!$N83</f>
        <v>0</v>
      </c>
      <c r="G12" s="18"/>
      <c r="H12" s="54" t="e">
        <f t="shared" si="0"/>
        <v>#DIV/0!</v>
      </c>
      <c r="I12" s="55"/>
      <c r="J12" s="54"/>
      <c r="K12" s="54">
        <f t="shared" si="1"/>
        <v>0</v>
      </c>
      <c r="L12" s="54">
        <f t="shared" si="2"/>
        <v>0</v>
      </c>
      <c r="M12" s="55">
        <f>[3]Oct!$AD12</f>
        <v>0</v>
      </c>
      <c r="N12" s="55"/>
      <c r="O12" s="55"/>
      <c r="P12" s="33" t="e">
        <f t="shared" si="4"/>
        <v>#DIV/0!</v>
      </c>
      <c r="Q12" s="55" t="e">
        <f t="shared" si="5"/>
        <v>#DIV/0!</v>
      </c>
      <c r="R12" s="16"/>
      <c r="S12" s="37"/>
      <c r="T12" s="6"/>
    </row>
    <row r="13" spans="2:20" ht="15.75">
      <c r="B13" s="60"/>
      <c r="C13" s="49"/>
      <c r="D13" s="30"/>
      <c r="E13" s="147"/>
      <c r="F13" s="39">
        <f>[3]Oct!$N84</f>
        <v>0</v>
      </c>
      <c r="G13" s="18"/>
      <c r="H13" s="54" t="e">
        <f t="shared" si="0"/>
        <v>#DIV/0!</v>
      </c>
      <c r="I13" s="55"/>
      <c r="J13" s="54"/>
      <c r="K13" s="54">
        <f t="shared" si="1"/>
        <v>0</v>
      </c>
      <c r="L13" s="54">
        <f t="shared" si="2"/>
        <v>0</v>
      </c>
      <c r="M13" s="55">
        <f>[3]Oct!$AD13</f>
        <v>0</v>
      </c>
      <c r="N13" s="55"/>
      <c r="O13" s="55"/>
      <c r="P13" s="33" t="e">
        <f t="shared" si="4"/>
        <v>#DIV/0!</v>
      </c>
      <c r="Q13" s="55" t="e">
        <f>(G13)/(E13/60)</f>
        <v>#DIV/0!</v>
      </c>
      <c r="R13" s="33"/>
      <c r="S13" s="37"/>
      <c r="T13" s="6"/>
    </row>
    <row r="14" spans="2:20" ht="15.75">
      <c r="B14" s="60"/>
      <c r="C14" s="49"/>
      <c r="D14" s="30"/>
      <c r="E14" s="147"/>
      <c r="F14" s="39">
        <f>[3]Oct!$N85</f>
        <v>0</v>
      </c>
      <c r="G14" s="18"/>
      <c r="H14" s="54" t="e">
        <f t="shared" si="0"/>
        <v>#DIV/0!</v>
      </c>
      <c r="I14" s="55"/>
      <c r="J14" s="54"/>
      <c r="K14" s="54">
        <f t="shared" si="1"/>
        <v>0</v>
      </c>
      <c r="L14" s="54">
        <f t="shared" si="2"/>
        <v>0</v>
      </c>
      <c r="M14" s="55">
        <f>[3]Oct!$AD14</f>
        <v>0</v>
      </c>
      <c r="N14" s="55"/>
      <c r="O14" s="55"/>
      <c r="P14" s="33" t="e">
        <f t="shared" si="4"/>
        <v>#DIV/0!</v>
      </c>
      <c r="Q14" s="55" t="e">
        <f t="shared" ref="Q14:Q63" si="6">(G14)/(E14/60)</f>
        <v>#DIV/0!</v>
      </c>
      <c r="R14" s="33"/>
      <c r="S14" s="37"/>
      <c r="T14" s="6"/>
    </row>
    <row r="15" spans="2:20" ht="15.75">
      <c r="B15" s="60"/>
      <c r="C15" s="49"/>
      <c r="D15" s="30"/>
      <c r="E15" s="147"/>
      <c r="F15" s="39">
        <f>[3]Oct!$N86</f>
        <v>0</v>
      </c>
      <c r="G15" s="18"/>
      <c r="H15" s="54" t="e">
        <f t="shared" si="0"/>
        <v>#DIV/0!</v>
      </c>
      <c r="I15" s="50"/>
      <c r="J15" s="54"/>
      <c r="K15" s="54">
        <f t="shared" ref="K15:K17" si="7">(G15)*0.066</f>
        <v>0</v>
      </c>
      <c r="L15" s="54">
        <f t="shared" ref="L15:L31" si="8">J15-K15</f>
        <v>0</v>
      </c>
      <c r="M15" s="55">
        <f>[3]Oct!$AD15</f>
        <v>0</v>
      </c>
      <c r="N15" s="55"/>
      <c r="O15" s="55"/>
      <c r="P15" s="33" t="e">
        <f t="shared" si="4"/>
        <v>#DIV/0!</v>
      </c>
      <c r="Q15" s="55" t="e">
        <f t="shared" si="6"/>
        <v>#DIV/0!</v>
      </c>
      <c r="R15" s="33"/>
      <c r="S15" s="37"/>
      <c r="T15" s="6"/>
    </row>
    <row r="16" spans="2:20" ht="15.75">
      <c r="B16" s="60"/>
      <c r="C16" s="49"/>
      <c r="D16" s="30"/>
      <c r="E16" s="147"/>
      <c r="F16" s="39">
        <f>[3]Oct!$N87</f>
        <v>0</v>
      </c>
      <c r="G16" s="18"/>
      <c r="H16" s="54" t="e">
        <f t="shared" si="0"/>
        <v>#DIV/0!</v>
      </c>
      <c r="I16" s="55"/>
      <c r="J16" s="54"/>
      <c r="K16" s="54">
        <f t="shared" si="7"/>
        <v>0</v>
      </c>
      <c r="L16" s="54">
        <f t="shared" si="8"/>
        <v>0</v>
      </c>
      <c r="M16" s="55">
        <f>[3]Oct!$AD16</f>
        <v>0</v>
      </c>
      <c r="N16" s="55"/>
      <c r="O16" s="55"/>
      <c r="P16" s="33" t="e">
        <f t="shared" si="4"/>
        <v>#DIV/0!</v>
      </c>
      <c r="Q16" s="55" t="e">
        <f t="shared" si="6"/>
        <v>#DIV/0!</v>
      </c>
      <c r="R16" s="33"/>
      <c r="S16" s="37"/>
      <c r="T16" s="6"/>
    </row>
    <row r="17" spans="2:20" ht="15.75">
      <c r="B17" s="60"/>
      <c r="C17" s="49"/>
      <c r="D17" s="30"/>
      <c r="E17" s="147"/>
      <c r="F17" s="39">
        <f>[3]Oct!$N88</f>
        <v>0</v>
      </c>
      <c r="G17" s="18"/>
      <c r="H17" s="54" t="e">
        <f t="shared" si="0"/>
        <v>#DIV/0!</v>
      </c>
      <c r="I17" s="55"/>
      <c r="J17" s="54"/>
      <c r="K17" s="54">
        <f t="shared" si="7"/>
        <v>0</v>
      </c>
      <c r="L17" s="54">
        <f t="shared" si="8"/>
        <v>0</v>
      </c>
      <c r="M17" s="55">
        <f>[3]Oct!$AD17</f>
        <v>0</v>
      </c>
      <c r="N17" s="55"/>
      <c r="O17" s="55"/>
      <c r="P17" s="33" t="e">
        <f t="shared" si="4"/>
        <v>#DIV/0!</v>
      </c>
      <c r="Q17" s="55" t="e">
        <f t="shared" si="6"/>
        <v>#DIV/0!</v>
      </c>
      <c r="R17" s="33"/>
      <c r="S17" s="37"/>
      <c r="T17" s="6"/>
    </row>
    <row r="18" spans="2:20" ht="15.75">
      <c r="B18" s="60"/>
      <c r="C18" s="49"/>
      <c r="D18" s="30"/>
      <c r="E18" s="147"/>
      <c r="F18" s="39">
        <f>[3]Oct!$N89</f>
        <v>0</v>
      </c>
      <c r="G18" s="18"/>
      <c r="H18" s="54" t="e">
        <f t="shared" si="0"/>
        <v>#DIV/0!</v>
      </c>
      <c r="I18" s="50"/>
      <c r="J18" s="54"/>
      <c r="K18" s="54">
        <f t="shared" ref="K18" si="9">(G18)*0.066</f>
        <v>0</v>
      </c>
      <c r="L18" s="54">
        <f t="shared" si="8"/>
        <v>0</v>
      </c>
      <c r="M18" s="55">
        <f>[3]Oct!$AD18</f>
        <v>0</v>
      </c>
      <c r="N18" s="55"/>
      <c r="O18" s="55"/>
      <c r="P18" s="33" t="e">
        <f t="shared" si="4"/>
        <v>#DIV/0!</v>
      </c>
      <c r="Q18" s="55" t="e">
        <f t="shared" si="6"/>
        <v>#DIV/0!</v>
      </c>
      <c r="R18" s="33"/>
      <c r="S18" s="37"/>
      <c r="T18" s="6"/>
    </row>
    <row r="19" spans="2:20" ht="15.75">
      <c r="B19" s="60"/>
      <c r="C19" s="49"/>
      <c r="D19" s="30"/>
      <c r="E19" s="147"/>
      <c r="F19" s="39">
        <f>[3]Oct!$N90</f>
        <v>0</v>
      </c>
      <c r="G19" s="18"/>
      <c r="H19" s="54" t="e">
        <f t="shared" si="0"/>
        <v>#DIV/0!</v>
      </c>
      <c r="I19" s="50"/>
      <c r="J19" s="54"/>
      <c r="K19" s="54">
        <f t="shared" ref="K19:K34" si="10">(G19)*0.066</f>
        <v>0</v>
      </c>
      <c r="L19" s="54">
        <f t="shared" si="8"/>
        <v>0</v>
      </c>
      <c r="M19" s="55">
        <f>[3]Oct!$AD19</f>
        <v>0</v>
      </c>
      <c r="N19" s="55"/>
      <c r="O19" s="55"/>
      <c r="P19" s="33" t="e">
        <f t="shared" si="4"/>
        <v>#DIV/0!</v>
      </c>
      <c r="Q19" s="55" t="e">
        <f t="shared" si="6"/>
        <v>#DIV/0!</v>
      </c>
      <c r="R19" s="33"/>
      <c r="S19" s="37"/>
      <c r="T19" s="6"/>
    </row>
    <row r="20" spans="2:20" ht="15.75">
      <c r="B20" s="60"/>
      <c r="C20" s="49"/>
      <c r="D20" s="30"/>
      <c r="E20" s="147"/>
      <c r="F20" s="39">
        <f>[3]Oct!$N91</f>
        <v>0</v>
      </c>
      <c r="G20" s="18"/>
      <c r="H20" s="54" t="e">
        <f t="shared" si="0"/>
        <v>#DIV/0!</v>
      </c>
      <c r="I20" s="55"/>
      <c r="J20" s="54"/>
      <c r="K20" s="54">
        <f t="shared" si="10"/>
        <v>0</v>
      </c>
      <c r="L20" s="54">
        <f t="shared" si="8"/>
        <v>0</v>
      </c>
      <c r="M20" s="55">
        <f>[3]Oct!$AD20</f>
        <v>0</v>
      </c>
      <c r="N20" s="55"/>
      <c r="O20" s="55"/>
      <c r="P20" s="33" t="e">
        <f t="shared" si="4"/>
        <v>#DIV/0!</v>
      </c>
      <c r="Q20" s="55" t="e">
        <f t="shared" si="6"/>
        <v>#DIV/0!</v>
      </c>
      <c r="R20" s="33"/>
      <c r="S20" s="37"/>
      <c r="T20" s="6"/>
    </row>
    <row r="21" spans="2:20" ht="15.75">
      <c r="B21" s="60"/>
      <c r="C21" s="49"/>
      <c r="D21" s="30"/>
      <c r="E21" s="147"/>
      <c r="F21" s="39">
        <f>[3]Oct!$N92</f>
        <v>0</v>
      </c>
      <c r="G21" s="18"/>
      <c r="H21" s="54" t="e">
        <f t="shared" si="0"/>
        <v>#DIV/0!</v>
      </c>
      <c r="I21" s="50"/>
      <c r="J21" s="54"/>
      <c r="K21" s="54">
        <f t="shared" si="10"/>
        <v>0</v>
      </c>
      <c r="L21" s="54">
        <f t="shared" si="8"/>
        <v>0</v>
      </c>
      <c r="M21" s="55">
        <f>[3]Oct!$AD21</f>
        <v>0</v>
      </c>
      <c r="N21" s="55"/>
      <c r="O21" s="55"/>
      <c r="P21" s="33" t="e">
        <f t="shared" si="4"/>
        <v>#DIV/0!</v>
      </c>
      <c r="Q21" s="55" t="e">
        <f t="shared" si="6"/>
        <v>#DIV/0!</v>
      </c>
      <c r="R21" s="33"/>
      <c r="S21" s="37"/>
      <c r="T21" s="6"/>
    </row>
    <row r="22" spans="2:20" ht="15.75">
      <c r="B22" s="60"/>
      <c r="C22" s="49"/>
      <c r="D22" s="30"/>
      <c r="E22" s="147"/>
      <c r="F22" s="39">
        <f>[3]Oct!$N93</f>
        <v>0</v>
      </c>
      <c r="G22" s="18"/>
      <c r="H22" s="54" t="e">
        <f t="shared" si="0"/>
        <v>#DIV/0!</v>
      </c>
      <c r="I22" s="55"/>
      <c r="J22" s="54"/>
      <c r="K22" s="54">
        <f>(G22)*0.066</f>
        <v>0</v>
      </c>
      <c r="L22" s="54">
        <f t="shared" si="8"/>
        <v>0</v>
      </c>
      <c r="M22" s="55">
        <f>[3]Oct!$AD22</f>
        <v>0</v>
      </c>
      <c r="N22" s="55"/>
      <c r="O22" s="55"/>
      <c r="P22" s="33" t="e">
        <f t="shared" si="4"/>
        <v>#DIV/0!</v>
      </c>
      <c r="Q22" s="55" t="e">
        <f t="shared" si="6"/>
        <v>#DIV/0!</v>
      </c>
      <c r="R22" s="33"/>
      <c r="S22" s="37"/>
      <c r="T22" s="6"/>
    </row>
    <row r="23" spans="2:20" ht="15.75">
      <c r="B23" s="60"/>
      <c r="C23" s="49"/>
      <c r="D23" s="30"/>
      <c r="E23" s="147"/>
      <c r="F23" s="39">
        <f>[3]Oct!$N94</f>
        <v>0</v>
      </c>
      <c r="G23" s="18"/>
      <c r="H23" s="54" t="e">
        <f t="shared" si="0"/>
        <v>#DIV/0!</v>
      </c>
      <c r="I23" s="55"/>
      <c r="J23" s="54"/>
      <c r="K23" s="54">
        <f t="shared" si="10"/>
        <v>0</v>
      </c>
      <c r="L23" s="54">
        <f t="shared" si="8"/>
        <v>0</v>
      </c>
      <c r="M23" s="55">
        <f>[3]Oct!$AD23</f>
        <v>0</v>
      </c>
      <c r="N23" s="55"/>
      <c r="O23" s="55"/>
      <c r="P23" s="33" t="e">
        <f t="shared" si="4"/>
        <v>#DIV/0!</v>
      </c>
      <c r="Q23" s="55" t="e">
        <f t="shared" si="6"/>
        <v>#DIV/0!</v>
      </c>
      <c r="R23" s="33"/>
      <c r="S23" s="37"/>
      <c r="T23" s="6"/>
    </row>
    <row r="24" spans="2:20" ht="15.75">
      <c r="B24" s="60"/>
      <c r="C24" s="49"/>
      <c r="D24" s="30"/>
      <c r="E24" s="147"/>
      <c r="F24" s="39">
        <f>[3]Oct!$N95</f>
        <v>0</v>
      </c>
      <c r="G24" s="18"/>
      <c r="H24" s="54" t="e">
        <f t="shared" ref="H24:H46" si="11">(G24)*24/(F24/60)/17000*100</f>
        <v>#DIV/0!</v>
      </c>
      <c r="I24" s="55"/>
      <c r="J24" s="54"/>
      <c r="K24" s="54">
        <f t="shared" si="10"/>
        <v>0</v>
      </c>
      <c r="L24" s="54">
        <f t="shared" si="8"/>
        <v>0</v>
      </c>
      <c r="M24" s="55">
        <f>[3]Oct!$AD24</f>
        <v>0</v>
      </c>
      <c r="N24" s="55"/>
      <c r="O24" s="55"/>
      <c r="P24" s="33" t="e">
        <f t="shared" si="4"/>
        <v>#DIV/0!</v>
      </c>
      <c r="Q24" s="55" t="e">
        <f t="shared" si="6"/>
        <v>#DIV/0!</v>
      </c>
      <c r="R24" s="16"/>
      <c r="S24" s="37"/>
      <c r="T24" s="6"/>
    </row>
    <row r="25" spans="2:20" ht="15.75">
      <c r="B25" s="60"/>
      <c r="C25" s="49"/>
      <c r="D25" s="30"/>
      <c r="E25" s="147"/>
      <c r="F25" s="39">
        <f>[3]Oct!$N96</f>
        <v>0</v>
      </c>
      <c r="G25" s="18"/>
      <c r="H25" s="54" t="e">
        <f t="shared" si="11"/>
        <v>#DIV/0!</v>
      </c>
      <c r="I25" s="55"/>
      <c r="J25" s="54"/>
      <c r="K25" s="54">
        <f t="shared" si="10"/>
        <v>0</v>
      </c>
      <c r="L25" s="54">
        <f t="shared" si="8"/>
        <v>0</v>
      </c>
      <c r="M25" s="55">
        <f>[3]Oct!$AD25</f>
        <v>0</v>
      </c>
      <c r="N25" s="55"/>
      <c r="O25" s="55"/>
      <c r="P25" s="33" t="e">
        <f t="shared" si="4"/>
        <v>#DIV/0!</v>
      </c>
      <c r="Q25" s="55" t="e">
        <f t="shared" si="6"/>
        <v>#DIV/0!</v>
      </c>
      <c r="R25" s="16"/>
      <c r="S25" s="37"/>
      <c r="T25" s="6"/>
    </row>
    <row r="26" spans="2:20" ht="15.75">
      <c r="B26" s="60"/>
      <c r="C26" s="49"/>
      <c r="D26" s="30"/>
      <c r="E26" s="147"/>
      <c r="F26" s="39">
        <f>[3]Oct!$N97</f>
        <v>0</v>
      </c>
      <c r="G26" s="18"/>
      <c r="H26" s="54" t="e">
        <f t="shared" si="11"/>
        <v>#DIV/0!</v>
      </c>
      <c r="I26" s="55"/>
      <c r="J26" s="54"/>
      <c r="K26" s="54">
        <f t="shared" si="10"/>
        <v>0</v>
      </c>
      <c r="L26" s="54">
        <f t="shared" si="8"/>
        <v>0</v>
      </c>
      <c r="M26" s="55">
        <f>[3]Oct!$AD26</f>
        <v>0</v>
      </c>
      <c r="N26" s="55"/>
      <c r="O26" s="55"/>
      <c r="P26" s="33" t="e">
        <f t="shared" si="4"/>
        <v>#DIV/0!</v>
      </c>
      <c r="Q26" s="55" t="e">
        <f t="shared" si="6"/>
        <v>#DIV/0!</v>
      </c>
      <c r="R26" s="16"/>
      <c r="S26" s="37"/>
      <c r="T26" s="6"/>
    </row>
    <row r="27" spans="2:20" ht="15.75">
      <c r="B27" s="60"/>
      <c r="C27" s="49"/>
      <c r="D27" s="30"/>
      <c r="E27" s="147"/>
      <c r="F27" s="39">
        <f>[3]Oct!$N98</f>
        <v>0</v>
      </c>
      <c r="G27" s="18"/>
      <c r="H27" s="54" t="e">
        <f t="shared" si="11"/>
        <v>#DIV/0!</v>
      </c>
      <c r="I27" s="50"/>
      <c r="J27" s="54"/>
      <c r="K27" s="54">
        <f t="shared" si="10"/>
        <v>0</v>
      </c>
      <c r="L27" s="54">
        <f t="shared" si="8"/>
        <v>0</v>
      </c>
      <c r="M27" s="55">
        <f>[3]Oct!$AD27</f>
        <v>0</v>
      </c>
      <c r="N27" s="55"/>
      <c r="O27" s="55"/>
      <c r="P27" s="33" t="e">
        <f t="shared" si="4"/>
        <v>#DIV/0!</v>
      </c>
      <c r="Q27" s="55" t="e">
        <f t="shared" si="6"/>
        <v>#DIV/0!</v>
      </c>
      <c r="R27" s="16"/>
      <c r="S27" s="37"/>
      <c r="T27" s="6"/>
    </row>
    <row r="28" spans="2:20" ht="15.75">
      <c r="B28" s="60"/>
      <c r="C28" s="49"/>
      <c r="D28" s="30"/>
      <c r="E28" s="147"/>
      <c r="F28" s="39">
        <f>[3]Oct!$N99</f>
        <v>0</v>
      </c>
      <c r="G28" s="18"/>
      <c r="H28" s="54" t="e">
        <f t="shared" si="11"/>
        <v>#DIV/0!</v>
      </c>
      <c r="I28" s="50"/>
      <c r="J28" s="54"/>
      <c r="K28" s="54">
        <f t="shared" ref="K28" si="12">(G28)*0.066</f>
        <v>0</v>
      </c>
      <c r="L28" s="54">
        <f t="shared" si="8"/>
        <v>0</v>
      </c>
      <c r="M28" s="55">
        <f>[3]Oct!$AD28</f>
        <v>0</v>
      </c>
      <c r="N28" s="55"/>
      <c r="O28" s="55"/>
      <c r="P28" s="33" t="e">
        <f t="shared" si="4"/>
        <v>#DIV/0!</v>
      </c>
      <c r="Q28" s="55" t="e">
        <f t="shared" si="6"/>
        <v>#DIV/0!</v>
      </c>
      <c r="R28" s="16"/>
      <c r="S28" s="37"/>
      <c r="T28" s="6"/>
    </row>
    <row r="29" spans="2:20" ht="15.75">
      <c r="B29" s="60"/>
      <c r="C29" s="49"/>
      <c r="D29" s="30"/>
      <c r="E29" s="147"/>
      <c r="F29" s="39">
        <f>[3]Oct!$N100</f>
        <v>0</v>
      </c>
      <c r="G29" s="18"/>
      <c r="H29" s="54" t="e">
        <f t="shared" si="11"/>
        <v>#DIV/0!</v>
      </c>
      <c r="I29" s="54"/>
      <c r="J29" s="54"/>
      <c r="K29" s="54">
        <f t="shared" si="10"/>
        <v>0</v>
      </c>
      <c r="L29" s="54">
        <f t="shared" si="8"/>
        <v>0</v>
      </c>
      <c r="M29" s="55">
        <f>[3]Oct!$AD29</f>
        <v>0</v>
      </c>
      <c r="N29" s="55"/>
      <c r="O29" s="55"/>
      <c r="P29" s="33" t="e">
        <f t="shared" si="4"/>
        <v>#DIV/0!</v>
      </c>
      <c r="Q29" s="55" t="e">
        <f t="shared" si="6"/>
        <v>#DIV/0!</v>
      </c>
      <c r="R29" s="16"/>
      <c r="S29" s="37"/>
      <c r="T29" s="6"/>
    </row>
    <row r="30" spans="2:20" ht="15.75">
      <c r="B30" s="60"/>
      <c r="C30" s="49"/>
      <c r="D30" s="30"/>
      <c r="E30" s="147"/>
      <c r="F30" s="39">
        <f>[3]Oct!$N101</f>
        <v>0</v>
      </c>
      <c r="G30" s="18"/>
      <c r="H30" s="54" t="e">
        <f t="shared" si="11"/>
        <v>#DIV/0!</v>
      </c>
      <c r="I30" s="55"/>
      <c r="J30" s="54"/>
      <c r="K30" s="54">
        <f t="shared" si="10"/>
        <v>0</v>
      </c>
      <c r="L30" s="54">
        <f t="shared" si="8"/>
        <v>0</v>
      </c>
      <c r="M30" s="55">
        <f>[3]Oct!$AD30</f>
        <v>0</v>
      </c>
      <c r="N30" s="55"/>
      <c r="O30" s="55"/>
      <c r="P30" s="33" t="e">
        <f t="shared" si="4"/>
        <v>#DIV/0!</v>
      </c>
      <c r="Q30" s="55" t="e">
        <f t="shared" si="6"/>
        <v>#DIV/0!</v>
      </c>
      <c r="R30" s="33"/>
      <c r="S30" s="37"/>
      <c r="T30" s="6"/>
    </row>
    <row r="31" spans="2:20" ht="15.75">
      <c r="B31" s="60"/>
      <c r="C31" s="49"/>
      <c r="D31" s="30"/>
      <c r="E31" s="147"/>
      <c r="F31" s="39">
        <f>[3]Oct!$N102</f>
        <v>0</v>
      </c>
      <c r="G31" s="18"/>
      <c r="H31" s="54" t="e">
        <f t="shared" si="11"/>
        <v>#DIV/0!</v>
      </c>
      <c r="I31" s="55"/>
      <c r="J31" s="54"/>
      <c r="K31" s="54">
        <f t="shared" si="10"/>
        <v>0</v>
      </c>
      <c r="L31" s="54">
        <f t="shared" si="8"/>
        <v>0</v>
      </c>
      <c r="M31" s="55">
        <f>[3]Oct!$AD31</f>
        <v>0</v>
      </c>
      <c r="N31" s="55"/>
      <c r="O31" s="55"/>
      <c r="P31" s="33" t="e">
        <f t="shared" si="4"/>
        <v>#DIV/0!</v>
      </c>
      <c r="Q31" s="55" t="e">
        <f t="shared" si="6"/>
        <v>#DIV/0!</v>
      </c>
      <c r="R31" s="33"/>
      <c r="S31" s="37"/>
      <c r="T31" s="6"/>
    </row>
    <row r="32" spans="2:20" ht="15.75">
      <c r="B32" s="60"/>
      <c r="C32" s="49"/>
      <c r="D32" s="30"/>
      <c r="E32" s="147"/>
      <c r="F32" s="39">
        <f>[3]Oct!$N103</f>
        <v>0</v>
      </c>
      <c r="G32" s="18"/>
      <c r="H32" s="54" t="e">
        <f t="shared" si="11"/>
        <v>#DIV/0!</v>
      </c>
      <c r="I32" s="50"/>
      <c r="J32" s="54"/>
      <c r="K32" s="54">
        <f>(G32)*0.066</f>
        <v>0</v>
      </c>
      <c r="L32" s="54">
        <f t="shared" ref="L32:L34" si="13">J32-K32</f>
        <v>0</v>
      </c>
      <c r="M32" s="55">
        <f>[3]Oct!$AD32</f>
        <v>0</v>
      </c>
      <c r="N32" s="55"/>
      <c r="O32" s="55"/>
      <c r="P32" s="33" t="e">
        <f t="shared" ref="P32:P43" si="14">(J32-K32)/J32*100</f>
        <v>#DIV/0!</v>
      </c>
      <c r="Q32" s="55" t="e">
        <f t="shared" si="6"/>
        <v>#DIV/0!</v>
      </c>
      <c r="R32" s="33"/>
      <c r="S32" s="37"/>
      <c r="T32" s="6"/>
    </row>
    <row r="33" spans="2:20" ht="15.75">
      <c r="B33" s="60"/>
      <c r="C33" s="49"/>
      <c r="D33" s="30"/>
      <c r="E33" s="147"/>
      <c r="F33" s="39">
        <f>[3]Oct!$N104</f>
        <v>0</v>
      </c>
      <c r="G33" s="18"/>
      <c r="H33" s="54" t="e">
        <f t="shared" si="11"/>
        <v>#DIV/0!</v>
      </c>
      <c r="I33" s="55"/>
      <c r="J33" s="54"/>
      <c r="K33" s="54">
        <f t="shared" si="10"/>
        <v>0</v>
      </c>
      <c r="L33" s="54">
        <f t="shared" si="13"/>
        <v>0</v>
      </c>
      <c r="M33" s="55">
        <f>[3]Oct!$AD33</f>
        <v>0</v>
      </c>
      <c r="N33" s="55"/>
      <c r="O33" s="55"/>
      <c r="P33" s="33" t="e">
        <f t="shared" si="14"/>
        <v>#DIV/0!</v>
      </c>
      <c r="Q33" s="55" t="e">
        <f t="shared" si="6"/>
        <v>#DIV/0!</v>
      </c>
      <c r="R33" s="33"/>
      <c r="S33" s="37"/>
      <c r="T33" s="6"/>
    </row>
    <row r="34" spans="2:20" ht="15.75">
      <c r="B34" s="60"/>
      <c r="C34" s="49"/>
      <c r="D34" s="30"/>
      <c r="E34" s="147"/>
      <c r="F34" s="39">
        <f>[3]Oct!$N105</f>
        <v>0</v>
      </c>
      <c r="G34" s="18"/>
      <c r="H34" s="54" t="e">
        <f t="shared" si="11"/>
        <v>#DIV/0!</v>
      </c>
      <c r="I34" s="55"/>
      <c r="J34" s="54"/>
      <c r="K34" s="54">
        <f t="shared" si="10"/>
        <v>0</v>
      </c>
      <c r="L34" s="54">
        <f t="shared" si="13"/>
        <v>0</v>
      </c>
      <c r="M34" s="55">
        <f>[3]Oct!$AD34</f>
        <v>0</v>
      </c>
      <c r="N34" s="55"/>
      <c r="O34" s="55"/>
      <c r="P34" s="33" t="e">
        <f t="shared" si="14"/>
        <v>#DIV/0!</v>
      </c>
      <c r="Q34" s="55" t="e">
        <f t="shared" si="6"/>
        <v>#DIV/0!</v>
      </c>
      <c r="R34" s="33"/>
      <c r="S34" s="37"/>
      <c r="T34" s="6"/>
    </row>
    <row r="35" spans="2:20" ht="15.75">
      <c r="B35" s="60"/>
      <c r="C35" s="49"/>
      <c r="D35" s="30"/>
      <c r="E35" s="147"/>
      <c r="F35" s="39">
        <f>[3]Oct!$N106</f>
        <v>0</v>
      </c>
      <c r="G35" s="18"/>
      <c r="H35" s="54" t="e">
        <f t="shared" si="11"/>
        <v>#DIV/0!</v>
      </c>
      <c r="I35" s="55"/>
      <c r="J35" s="54"/>
      <c r="K35" s="54">
        <f t="shared" ref="K35:K58" si="15">(G35)*0.066</f>
        <v>0</v>
      </c>
      <c r="L35" s="54">
        <f t="shared" ref="L35:L58" si="16">J35-K35</f>
        <v>0</v>
      </c>
      <c r="M35" s="55">
        <f>[3]Oct!$AD35</f>
        <v>0</v>
      </c>
      <c r="N35" s="55"/>
      <c r="O35" s="55"/>
      <c r="P35" s="33" t="e">
        <f t="shared" si="14"/>
        <v>#DIV/0!</v>
      </c>
      <c r="Q35" s="55" t="e">
        <f t="shared" si="6"/>
        <v>#DIV/0!</v>
      </c>
      <c r="R35" s="33"/>
      <c r="S35" s="37"/>
      <c r="T35" s="6"/>
    </row>
    <row r="36" spans="2:20" ht="15.75">
      <c r="B36" s="60"/>
      <c r="C36" s="49"/>
      <c r="D36" s="30"/>
      <c r="E36" s="147"/>
      <c r="F36" s="39">
        <f>[3]Oct!$N107</f>
        <v>0</v>
      </c>
      <c r="G36" s="18"/>
      <c r="H36" s="54" t="e">
        <f t="shared" si="11"/>
        <v>#DIV/0!</v>
      </c>
      <c r="I36" s="50"/>
      <c r="J36" s="33"/>
      <c r="K36" s="54">
        <f t="shared" si="15"/>
        <v>0</v>
      </c>
      <c r="L36" s="54">
        <f t="shared" si="16"/>
        <v>0</v>
      </c>
      <c r="M36" s="55">
        <f>[3]Oct!$AD36</f>
        <v>0</v>
      </c>
      <c r="N36" s="55"/>
      <c r="O36" s="55"/>
      <c r="P36" s="33" t="e">
        <f t="shared" si="14"/>
        <v>#DIV/0!</v>
      </c>
      <c r="Q36" s="55" t="e">
        <f t="shared" si="6"/>
        <v>#DIV/0!</v>
      </c>
      <c r="R36" s="33"/>
      <c r="S36" s="37"/>
      <c r="T36" s="6"/>
    </row>
    <row r="37" spans="2:20" ht="15.75">
      <c r="B37" s="60"/>
      <c r="C37" s="49"/>
      <c r="D37" s="30"/>
      <c r="E37" s="147"/>
      <c r="F37" s="39">
        <f>[3]Oct!$N108</f>
        <v>0</v>
      </c>
      <c r="G37" s="18"/>
      <c r="H37" s="54" t="e">
        <f t="shared" si="11"/>
        <v>#DIV/0!</v>
      </c>
      <c r="I37" s="50"/>
      <c r="J37" s="33"/>
      <c r="K37" s="54">
        <f t="shared" si="15"/>
        <v>0</v>
      </c>
      <c r="L37" s="54">
        <f t="shared" si="16"/>
        <v>0</v>
      </c>
      <c r="M37" s="55">
        <f>[3]Oct!$AD37</f>
        <v>0</v>
      </c>
      <c r="N37" s="55"/>
      <c r="O37" s="55"/>
      <c r="P37" s="33" t="e">
        <f t="shared" si="14"/>
        <v>#DIV/0!</v>
      </c>
      <c r="Q37" s="55" t="e">
        <f t="shared" si="6"/>
        <v>#DIV/0!</v>
      </c>
      <c r="R37" s="33"/>
      <c r="S37" s="37"/>
      <c r="T37" s="6"/>
    </row>
    <row r="38" spans="2:20" ht="15.75">
      <c r="B38" s="60"/>
      <c r="C38" s="49"/>
      <c r="D38" s="30"/>
      <c r="E38" s="147"/>
      <c r="F38" s="39">
        <f>[3]Oct!$N109</f>
        <v>0</v>
      </c>
      <c r="G38" s="18"/>
      <c r="H38" s="54" t="e">
        <f t="shared" si="11"/>
        <v>#DIV/0!</v>
      </c>
      <c r="I38" s="55"/>
      <c r="J38" s="33"/>
      <c r="K38" s="54">
        <f t="shared" si="15"/>
        <v>0</v>
      </c>
      <c r="L38" s="54">
        <f t="shared" si="16"/>
        <v>0</v>
      </c>
      <c r="M38" s="55">
        <f>[3]Oct!$AD38</f>
        <v>0</v>
      </c>
      <c r="N38" s="55"/>
      <c r="O38" s="55"/>
      <c r="P38" s="33" t="e">
        <f t="shared" si="14"/>
        <v>#DIV/0!</v>
      </c>
      <c r="Q38" s="55" t="e">
        <f t="shared" si="6"/>
        <v>#DIV/0!</v>
      </c>
      <c r="R38" s="33"/>
      <c r="S38" s="37"/>
      <c r="T38" s="6"/>
    </row>
    <row r="39" spans="2:20" ht="15.75">
      <c r="B39" s="60"/>
      <c r="C39" s="49"/>
      <c r="D39" s="30"/>
      <c r="E39" s="147"/>
      <c r="F39" s="39">
        <f>[3]Oct!$N110</f>
        <v>0</v>
      </c>
      <c r="G39" s="18"/>
      <c r="H39" s="54" t="e">
        <f t="shared" si="11"/>
        <v>#DIV/0!</v>
      </c>
      <c r="I39" s="55"/>
      <c r="J39" s="54"/>
      <c r="K39" s="54">
        <f t="shared" si="15"/>
        <v>0</v>
      </c>
      <c r="L39" s="54">
        <f t="shared" si="16"/>
        <v>0</v>
      </c>
      <c r="M39" s="55">
        <f>[3]Oct!$AD39</f>
        <v>0</v>
      </c>
      <c r="N39" s="55"/>
      <c r="O39" s="55"/>
      <c r="P39" s="33" t="e">
        <f t="shared" si="14"/>
        <v>#DIV/0!</v>
      </c>
      <c r="Q39" s="55" t="e">
        <f t="shared" si="6"/>
        <v>#DIV/0!</v>
      </c>
      <c r="R39" s="33"/>
      <c r="S39" s="37"/>
      <c r="T39" s="6"/>
    </row>
    <row r="40" spans="2:20" ht="15.75">
      <c r="B40" s="60"/>
      <c r="C40" s="49"/>
      <c r="D40" s="30"/>
      <c r="E40" s="355"/>
      <c r="F40" s="39">
        <f>[3]Oct!$N111</f>
        <v>0</v>
      </c>
      <c r="G40" s="18"/>
      <c r="H40" s="54" t="e">
        <f t="shared" si="11"/>
        <v>#DIV/0!</v>
      </c>
      <c r="I40" s="50"/>
      <c r="J40" s="54"/>
      <c r="K40" s="54">
        <f t="shared" si="15"/>
        <v>0</v>
      </c>
      <c r="L40" s="54">
        <f t="shared" si="16"/>
        <v>0</v>
      </c>
      <c r="M40" s="55">
        <f>[3]Oct!$AD40</f>
        <v>0</v>
      </c>
      <c r="N40" s="55"/>
      <c r="O40" s="55"/>
      <c r="P40" s="33" t="e">
        <f t="shared" si="14"/>
        <v>#DIV/0!</v>
      </c>
      <c r="Q40" s="55" t="e">
        <f t="shared" si="6"/>
        <v>#DIV/0!</v>
      </c>
      <c r="R40" s="33"/>
      <c r="S40" s="37"/>
      <c r="T40" s="6"/>
    </row>
    <row r="41" spans="2:20" ht="15.75">
      <c r="B41" s="60"/>
      <c r="C41" s="49"/>
      <c r="D41" s="30"/>
      <c r="E41" s="354"/>
      <c r="F41" s="39">
        <f>[3]Oct!$N112</f>
        <v>0</v>
      </c>
      <c r="G41" s="18"/>
      <c r="H41" s="54" t="e">
        <f t="shared" si="11"/>
        <v>#DIV/0!</v>
      </c>
      <c r="I41" s="55"/>
      <c r="J41" s="54"/>
      <c r="K41" s="54">
        <f t="shared" si="15"/>
        <v>0</v>
      </c>
      <c r="L41" s="54">
        <f t="shared" si="16"/>
        <v>0</v>
      </c>
      <c r="M41" s="55">
        <f>[3]Oct!$AD41</f>
        <v>0</v>
      </c>
      <c r="N41" s="55"/>
      <c r="O41" s="55"/>
      <c r="P41" s="33" t="e">
        <f t="shared" si="14"/>
        <v>#DIV/0!</v>
      </c>
      <c r="Q41" s="55" t="e">
        <f t="shared" si="6"/>
        <v>#DIV/0!</v>
      </c>
      <c r="R41" s="33"/>
      <c r="S41" s="37"/>
      <c r="T41" s="6"/>
    </row>
    <row r="42" spans="2:20" ht="15.75">
      <c r="B42" s="60"/>
      <c r="C42" s="49"/>
      <c r="D42" s="30"/>
      <c r="E42" s="356"/>
      <c r="F42" s="39">
        <f>[3]Oct!$N113</f>
        <v>0</v>
      </c>
      <c r="G42" s="18"/>
      <c r="H42" s="54" t="e">
        <f t="shared" si="11"/>
        <v>#DIV/0!</v>
      </c>
      <c r="I42" s="50"/>
      <c r="J42" s="33"/>
      <c r="K42" s="54">
        <f t="shared" si="15"/>
        <v>0</v>
      </c>
      <c r="L42" s="54">
        <f t="shared" si="16"/>
        <v>0</v>
      </c>
      <c r="M42" s="55">
        <f>[3]Oct!$AD42</f>
        <v>0</v>
      </c>
      <c r="N42" s="55"/>
      <c r="O42" s="55"/>
      <c r="P42" s="33" t="e">
        <f t="shared" si="14"/>
        <v>#DIV/0!</v>
      </c>
      <c r="Q42" s="55" t="e">
        <f>(G42)/(E42/60)</f>
        <v>#DIV/0!</v>
      </c>
      <c r="R42" s="33"/>
      <c r="S42" s="37"/>
      <c r="T42" s="6"/>
    </row>
    <row r="43" spans="2:20" ht="16.5" customHeight="1">
      <c r="B43" s="60"/>
      <c r="C43" s="49"/>
      <c r="D43" s="30"/>
      <c r="E43" s="355"/>
      <c r="F43" s="39">
        <f>[3]Oct!$N114</f>
        <v>0</v>
      </c>
      <c r="G43" s="18"/>
      <c r="H43" s="54" t="e">
        <f t="shared" si="11"/>
        <v>#DIV/0!</v>
      </c>
      <c r="I43" s="50"/>
      <c r="J43" s="33"/>
      <c r="K43" s="54">
        <f t="shared" si="15"/>
        <v>0</v>
      </c>
      <c r="L43" s="54">
        <f t="shared" si="16"/>
        <v>0</v>
      </c>
      <c r="M43" s="55">
        <f>[3]Oct!$AD43</f>
        <v>0</v>
      </c>
      <c r="N43" s="55"/>
      <c r="O43" s="55"/>
      <c r="P43" s="33" t="e">
        <f t="shared" si="14"/>
        <v>#DIV/0!</v>
      </c>
      <c r="Q43" s="55" t="e">
        <f t="shared" si="6"/>
        <v>#DIV/0!</v>
      </c>
      <c r="R43" s="33"/>
      <c r="S43" s="37"/>
      <c r="T43" s="6"/>
    </row>
    <row r="44" spans="2:20" ht="15.75">
      <c r="B44" s="60"/>
      <c r="C44" s="49"/>
      <c r="D44" s="30"/>
      <c r="E44" s="147"/>
      <c r="F44" s="39">
        <f>[3]Oct!$N115</f>
        <v>0</v>
      </c>
      <c r="G44" s="18"/>
      <c r="H44" s="54" t="e">
        <f t="shared" si="11"/>
        <v>#DIV/0!</v>
      </c>
      <c r="I44" s="55"/>
      <c r="J44" s="54"/>
      <c r="K44" s="54">
        <f t="shared" si="15"/>
        <v>0</v>
      </c>
      <c r="L44" s="54">
        <f t="shared" si="16"/>
        <v>0</v>
      </c>
      <c r="M44" s="55">
        <f>[3]Oct!$AD44</f>
        <v>0</v>
      </c>
      <c r="N44" s="55"/>
      <c r="O44" s="55"/>
      <c r="P44" s="33" t="e">
        <f t="shared" ref="P44:P59" si="17">(J44-K44)/J44*100</f>
        <v>#DIV/0!</v>
      </c>
      <c r="Q44" s="55" t="e">
        <f t="shared" si="6"/>
        <v>#DIV/0!</v>
      </c>
      <c r="R44" s="33"/>
      <c r="S44" s="37"/>
      <c r="T44" s="6"/>
    </row>
    <row r="45" spans="2:20" ht="15.75">
      <c r="B45" s="60"/>
      <c r="C45" s="49"/>
      <c r="D45" s="30"/>
      <c r="E45" s="354"/>
      <c r="F45" s="39">
        <f>[3]Oct!$N116</f>
        <v>0</v>
      </c>
      <c r="G45" s="18"/>
      <c r="H45" s="54" t="e">
        <f t="shared" si="11"/>
        <v>#DIV/0!</v>
      </c>
      <c r="I45" s="55"/>
      <c r="J45" s="54"/>
      <c r="K45" s="54">
        <f t="shared" si="15"/>
        <v>0</v>
      </c>
      <c r="L45" s="54">
        <f t="shared" si="16"/>
        <v>0</v>
      </c>
      <c r="M45" s="55">
        <f>[3]Oct!$AD45</f>
        <v>0</v>
      </c>
      <c r="N45" s="55"/>
      <c r="O45" s="55"/>
      <c r="P45" s="33" t="e">
        <f t="shared" si="17"/>
        <v>#DIV/0!</v>
      </c>
      <c r="Q45" s="55" t="e">
        <f t="shared" si="6"/>
        <v>#DIV/0!</v>
      </c>
      <c r="R45" s="33"/>
      <c r="S45" s="37"/>
      <c r="T45" s="6"/>
    </row>
    <row r="46" spans="2:20" ht="15.75">
      <c r="B46" s="60"/>
      <c r="C46" s="49"/>
      <c r="D46" s="30"/>
      <c r="E46" s="355"/>
      <c r="F46" s="39">
        <f>[3]Oct!$N117</f>
        <v>0</v>
      </c>
      <c r="G46" s="18"/>
      <c r="H46" s="54" t="e">
        <f t="shared" si="11"/>
        <v>#DIV/0!</v>
      </c>
      <c r="I46" s="50"/>
      <c r="J46" s="54"/>
      <c r="K46" s="54">
        <f t="shared" si="15"/>
        <v>0</v>
      </c>
      <c r="L46" s="54">
        <f t="shared" si="16"/>
        <v>0</v>
      </c>
      <c r="M46" s="55">
        <f>[3]Oct!$AD46</f>
        <v>0</v>
      </c>
      <c r="N46" s="55"/>
      <c r="O46" s="55"/>
      <c r="P46" s="33" t="e">
        <f t="shared" si="17"/>
        <v>#DIV/0!</v>
      </c>
      <c r="Q46" s="55" t="e">
        <f t="shared" si="6"/>
        <v>#DIV/0!</v>
      </c>
      <c r="R46" s="33"/>
      <c r="S46" s="37"/>
      <c r="T46" s="6"/>
    </row>
    <row r="47" spans="2:20" ht="19.5" customHeight="1">
      <c r="B47" s="60"/>
      <c r="C47" s="49"/>
      <c r="D47" s="30"/>
      <c r="E47" s="354"/>
      <c r="F47" s="39">
        <f>[3]Oct!$N118</f>
        <v>0</v>
      </c>
      <c r="G47" s="18"/>
      <c r="H47" s="54" t="e">
        <f t="shared" ref="H47:H54" si="18">(G47)*24/(F47/60)/17000*100</f>
        <v>#DIV/0!</v>
      </c>
      <c r="I47" s="55"/>
      <c r="J47" s="54"/>
      <c r="K47" s="54">
        <f t="shared" si="15"/>
        <v>0</v>
      </c>
      <c r="L47" s="54">
        <f t="shared" si="16"/>
        <v>0</v>
      </c>
      <c r="M47" s="55">
        <f>[3]Oct!$AD47</f>
        <v>0</v>
      </c>
      <c r="N47" s="55"/>
      <c r="O47" s="55"/>
      <c r="P47" s="33" t="e">
        <f t="shared" si="17"/>
        <v>#DIV/0!</v>
      </c>
      <c r="Q47" s="55" t="e">
        <f t="shared" si="6"/>
        <v>#DIV/0!</v>
      </c>
      <c r="R47" s="33"/>
    </row>
    <row r="48" spans="2:20" ht="15.75">
      <c r="B48" s="60"/>
      <c r="C48" s="49"/>
      <c r="D48" s="30"/>
      <c r="E48" s="356"/>
      <c r="F48" s="39">
        <f>[3]Oct!$N119</f>
        <v>0</v>
      </c>
      <c r="G48" s="18"/>
      <c r="H48" s="54" t="e">
        <f>(G48)*24/(F48/60)/17000*100</f>
        <v>#DIV/0!</v>
      </c>
      <c r="I48" s="50"/>
      <c r="J48" s="54"/>
      <c r="K48" s="54">
        <f t="shared" si="15"/>
        <v>0</v>
      </c>
      <c r="L48" s="54">
        <f t="shared" si="16"/>
        <v>0</v>
      </c>
      <c r="M48" s="55">
        <f>[3]Oct!$AD48</f>
        <v>0</v>
      </c>
      <c r="N48" s="55"/>
      <c r="O48" s="55"/>
      <c r="P48" s="33" t="e">
        <f t="shared" si="17"/>
        <v>#DIV/0!</v>
      </c>
      <c r="Q48" s="55" t="e">
        <f t="shared" si="6"/>
        <v>#DIV/0!</v>
      </c>
      <c r="R48" s="16"/>
    </row>
    <row r="49" spans="2:18" ht="15.75" customHeight="1">
      <c r="B49" s="60"/>
      <c r="C49" s="49"/>
      <c r="D49" s="30"/>
      <c r="E49" s="355"/>
      <c r="F49" s="39">
        <f>[3]Oct!$N120</f>
        <v>0</v>
      </c>
      <c r="G49" s="18"/>
      <c r="H49" s="54" t="e">
        <f t="shared" si="18"/>
        <v>#DIV/0!</v>
      </c>
      <c r="I49" s="55"/>
      <c r="J49" s="54"/>
      <c r="K49" s="54">
        <f t="shared" si="15"/>
        <v>0</v>
      </c>
      <c r="L49" s="54">
        <f t="shared" si="16"/>
        <v>0</v>
      </c>
      <c r="M49" s="55">
        <f>[3]Oct!$AD49</f>
        <v>0</v>
      </c>
      <c r="N49" s="55"/>
      <c r="O49" s="55"/>
      <c r="P49" s="33" t="e">
        <f t="shared" si="17"/>
        <v>#DIV/0!</v>
      </c>
      <c r="Q49" s="55" t="e">
        <f t="shared" si="6"/>
        <v>#DIV/0!</v>
      </c>
      <c r="R49" s="33"/>
    </row>
    <row r="50" spans="2:18" ht="15.75" customHeight="1">
      <c r="B50" s="60"/>
      <c r="C50" s="49"/>
      <c r="D50" s="30"/>
      <c r="E50" s="354"/>
      <c r="F50" s="39">
        <f>[3]Oct!$N121</f>
        <v>0</v>
      </c>
      <c r="G50" s="18"/>
      <c r="H50" s="54" t="e">
        <f t="shared" si="18"/>
        <v>#DIV/0!</v>
      </c>
      <c r="I50" s="50"/>
      <c r="J50" s="54"/>
      <c r="K50" s="54">
        <f t="shared" si="15"/>
        <v>0</v>
      </c>
      <c r="L50" s="54">
        <f t="shared" si="16"/>
        <v>0</v>
      </c>
      <c r="M50" s="55">
        <f>[3]Oct!$AD50</f>
        <v>0</v>
      </c>
      <c r="N50" s="55"/>
      <c r="O50" s="55"/>
      <c r="P50" s="33" t="e">
        <f t="shared" si="17"/>
        <v>#DIV/0!</v>
      </c>
      <c r="Q50" s="55" t="e">
        <f t="shared" si="6"/>
        <v>#DIV/0!</v>
      </c>
      <c r="R50" s="33"/>
    </row>
    <row r="51" spans="2:18" ht="15.75" customHeight="1">
      <c r="B51" s="60"/>
      <c r="C51" s="49"/>
      <c r="D51" s="30"/>
      <c r="E51" s="356"/>
      <c r="F51" s="39">
        <f>[3]Oct!$N122</f>
        <v>0</v>
      </c>
      <c r="G51" s="18"/>
      <c r="H51" s="54" t="e">
        <f t="shared" si="18"/>
        <v>#DIV/0!</v>
      </c>
      <c r="I51" s="50"/>
      <c r="J51" s="54"/>
      <c r="K51" s="54">
        <f t="shared" si="15"/>
        <v>0</v>
      </c>
      <c r="L51" s="54">
        <f t="shared" si="16"/>
        <v>0</v>
      </c>
      <c r="M51" s="55">
        <f>[3]Oct!$AD51</f>
        <v>0</v>
      </c>
      <c r="N51" s="55"/>
      <c r="O51" s="55"/>
      <c r="P51" s="33" t="e">
        <f t="shared" si="17"/>
        <v>#DIV/0!</v>
      </c>
      <c r="Q51" s="55" t="e">
        <f t="shared" si="6"/>
        <v>#DIV/0!</v>
      </c>
      <c r="R51" s="16"/>
    </row>
    <row r="52" spans="2:18" ht="15.6" customHeight="1">
      <c r="B52" s="60"/>
      <c r="C52" s="49"/>
      <c r="D52" s="30"/>
      <c r="E52" s="355"/>
      <c r="F52" s="39">
        <f>[3]Oct!$N123</f>
        <v>0</v>
      </c>
      <c r="G52" s="18"/>
      <c r="H52" s="54" t="e">
        <f t="shared" si="18"/>
        <v>#DIV/0!</v>
      </c>
      <c r="I52" s="55"/>
      <c r="J52" s="54"/>
      <c r="K52" s="54">
        <f t="shared" si="15"/>
        <v>0</v>
      </c>
      <c r="L52" s="54">
        <f t="shared" si="16"/>
        <v>0</v>
      </c>
      <c r="M52" s="55">
        <f>[3]Oct!$AD52</f>
        <v>0</v>
      </c>
      <c r="N52" s="55"/>
      <c r="O52" s="55"/>
      <c r="P52" s="33" t="e">
        <f t="shared" si="17"/>
        <v>#DIV/0!</v>
      </c>
      <c r="Q52" s="55" t="e">
        <f t="shared" si="6"/>
        <v>#DIV/0!</v>
      </c>
      <c r="R52" s="33"/>
    </row>
    <row r="53" spans="2:18" ht="15.75" customHeight="1">
      <c r="B53" s="60"/>
      <c r="C53" s="49"/>
      <c r="D53" s="30"/>
      <c r="E53" s="354"/>
      <c r="F53" s="39">
        <f>[3]Oct!$N124</f>
        <v>0</v>
      </c>
      <c r="G53" s="18"/>
      <c r="H53" s="54" t="e">
        <f t="shared" si="18"/>
        <v>#DIV/0!</v>
      </c>
      <c r="I53" s="55"/>
      <c r="J53" s="54"/>
      <c r="K53" s="54">
        <f t="shared" si="15"/>
        <v>0</v>
      </c>
      <c r="L53" s="54">
        <f t="shared" si="16"/>
        <v>0</v>
      </c>
      <c r="M53" s="55">
        <f>[3]Oct!$AD53</f>
        <v>0</v>
      </c>
      <c r="N53" s="55"/>
      <c r="O53" s="55"/>
      <c r="P53" s="33" t="e">
        <f t="shared" si="17"/>
        <v>#DIV/0!</v>
      </c>
      <c r="Q53" s="55" t="e">
        <f t="shared" si="6"/>
        <v>#DIV/0!</v>
      </c>
      <c r="R53" s="33"/>
    </row>
    <row r="54" spans="2:18" ht="15.75" customHeight="1">
      <c r="B54" s="60"/>
      <c r="C54" s="49"/>
      <c r="D54" s="30"/>
      <c r="E54" s="355"/>
      <c r="F54" s="39">
        <f>[3]Oct!$N125</f>
        <v>0</v>
      </c>
      <c r="G54" s="18"/>
      <c r="H54" s="54" t="e">
        <f t="shared" si="18"/>
        <v>#DIV/0!</v>
      </c>
      <c r="I54" s="55"/>
      <c r="J54" s="54"/>
      <c r="K54" s="54">
        <f t="shared" si="15"/>
        <v>0</v>
      </c>
      <c r="L54" s="54">
        <f t="shared" si="16"/>
        <v>0</v>
      </c>
      <c r="M54" s="55">
        <f>[3]Oct!$AD54</f>
        <v>0</v>
      </c>
      <c r="N54" s="55"/>
      <c r="O54" s="55"/>
      <c r="P54" s="33" t="e">
        <f t="shared" si="17"/>
        <v>#DIV/0!</v>
      </c>
      <c r="Q54" s="55" t="e">
        <f t="shared" si="6"/>
        <v>#DIV/0!</v>
      </c>
      <c r="R54" s="33"/>
    </row>
    <row r="55" spans="2:18" ht="15.75" customHeight="1">
      <c r="B55" s="60"/>
      <c r="C55" s="49"/>
      <c r="D55" s="30"/>
      <c r="E55" s="354"/>
      <c r="F55" s="39">
        <f>[3]Oct!$N126</f>
        <v>0</v>
      </c>
      <c r="G55" s="18"/>
      <c r="H55" s="54" t="e">
        <f>(G55)*24/(F55/60)/17000*100</f>
        <v>#DIV/0!</v>
      </c>
      <c r="I55" s="55"/>
      <c r="J55" s="54"/>
      <c r="K55" s="54">
        <f t="shared" si="15"/>
        <v>0</v>
      </c>
      <c r="L55" s="54">
        <f t="shared" si="16"/>
        <v>0</v>
      </c>
      <c r="M55" s="55">
        <f>[3]Oct!$AD55</f>
        <v>0</v>
      </c>
      <c r="N55" s="55"/>
      <c r="O55" s="55"/>
      <c r="P55" s="33" t="e">
        <f t="shared" si="17"/>
        <v>#DIV/0!</v>
      </c>
      <c r="Q55" s="55" t="e">
        <f t="shared" si="6"/>
        <v>#DIV/0!</v>
      </c>
      <c r="R55" s="33"/>
    </row>
    <row r="56" spans="2:18" ht="15.75" customHeight="1">
      <c r="B56" s="60"/>
      <c r="C56" s="49"/>
      <c r="D56" s="30"/>
      <c r="E56" s="355"/>
      <c r="F56" s="39">
        <f>[3]Oct!$N127</f>
        <v>0</v>
      </c>
      <c r="G56" s="18"/>
      <c r="H56" s="54" t="e">
        <f t="shared" ref="H56:H62" si="19">(G56)*24/(F56/60)/17000*100</f>
        <v>#DIV/0!</v>
      </c>
      <c r="I56" s="55"/>
      <c r="J56" s="54"/>
      <c r="K56" s="54">
        <f t="shared" si="15"/>
        <v>0</v>
      </c>
      <c r="L56" s="54">
        <f t="shared" si="16"/>
        <v>0</v>
      </c>
      <c r="M56" s="55">
        <f>[3]Oct!$AD56</f>
        <v>0</v>
      </c>
      <c r="N56" s="55"/>
      <c r="O56" s="55"/>
      <c r="P56" s="33" t="e">
        <f t="shared" si="17"/>
        <v>#DIV/0!</v>
      </c>
      <c r="Q56" s="55" t="e">
        <f t="shared" si="6"/>
        <v>#DIV/0!</v>
      </c>
      <c r="R56" s="33"/>
    </row>
    <row r="57" spans="2:18" ht="15.75" customHeight="1">
      <c r="B57" s="60"/>
      <c r="C57" s="49"/>
      <c r="D57" s="30"/>
      <c r="E57" s="354"/>
      <c r="F57" s="39">
        <f>[3]Oct!$N128</f>
        <v>0</v>
      </c>
      <c r="G57" s="18"/>
      <c r="H57" s="54" t="e">
        <f t="shared" si="19"/>
        <v>#DIV/0!</v>
      </c>
      <c r="I57" s="55"/>
      <c r="J57" s="33"/>
      <c r="K57" s="54">
        <f t="shared" si="15"/>
        <v>0</v>
      </c>
      <c r="L57" s="54">
        <f t="shared" si="16"/>
        <v>0</v>
      </c>
      <c r="M57" s="55">
        <f>[3]Oct!$AD57</f>
        <v>0</v>
      </c>
      <c r="N57" s="55"/>
      <c r="O57" s="55"/>
      <c r="P57" s="33" t="e">
        <f t="shared" si="17"/>
        <v>#DIV/0!</v>
      </c>
      <c r="Q57" s="55" t="e">
        <f t="shared" si="6"/>
        <v>#DIV/0!</v>
      </c>
      <c r="R57" s="33"/>
    </row>
    <row r="58" spans="2:18" ht="15.75" customHeight="1">
      <c r="B58" s="60"/>
      <c r="C58" s="49"/>
      <c r="D58" s="30"/>
      <c r="E58" s="356"/>
      <c r="F58" s="39">
        <f>[3]Oct!$N129</f>
        <v>0</v>
      </c>
      <c r="G58" s="18"/>
      <c r="H58" s="54" t="e">
        <f t="shared" si="19"/>
        <v>#DIV/0!</v>
      </c>
      <c r="I58" s="55"/>
      <c r="J58" s="33"/>
      <c r="K58" s="54">
        <f t="shared" si="15"/>
        <v>0</v>
      </c>
      <c r="L58" s="54">
        <f t="shared" si="16"/>
        <v>0</v>
      </c>
      <c r="M58" s="55">
        <f>[3]Oct!$AD58</f>
        <v>0</v>
      </c>
      <c r="N58" s="55"/>
      <c r="O58" s="55"/>
      <c r="P58" s="33" t="e">
        <f t="shared" si="17"/>
        <v>#DIV/0!</v>
      </c>
      <c r="Q58" s="55" t="e">
        <f t="shared" si="6"/>
        <v>#DIV/0!</v>
      </c>
      <c r="R58" s="33"/>
    </row>
    <row r="59" spans="2:18" ht="15.75" customHeight="1">
      <c r="B59" s="60"/>
      <c r="C59" s="49"/>
      <c r="D59" s="30"/>
      <c r="E59" s="355"/>
      <c r="F59" s="39"/>
      <c r="G59" s="18"/>
      <c r="H59" s="54" t="e">
        <f t="shared" si="19"/>
        <v>#DIV/0!</v>
      </c>
      <c r="I59" s="55"/>
      <c r="J59" s="54"/>
      <c r="K59" s="54">
        <f>(G59)*0.066</f>
        <v>0</v>
      </c>
      <c r="L59" s="54">
        <f t="shared" ref="L59:L63" si="20">J59-K59</f>
        <v>0</v>
      </c>
      <c r="M59" s="55">
        <f>[3]Oct!$AD59</f>
        <v>0</v>
      </c>
      <c r="N59" s="55"/>
      <c r="O59" s="55"/>
      <c r="P59" s="33" t="e">
        <f t="shared" si="17"/>
        <v>#DIV/0!</v>
      </c>
      <c r="Q59" s="55" t="e">
        <f t="shared" si="6"/>
        <v>#DIV/0!</v>
      </c>
      <c r="R59" s="16"/>
    </row>
    <row r="60" spans="2:18" ht="15.75" customHeight="1">
      <c r="B60" s="60"/>
      <c r="C60" s="49"/>
      <c r="D60" s="30"/>
      <c r="E60" s="147"/>
      <c r="F60" s="39"/>
      <c r="G60" s="18"/>
      <c r="H60" s="54" t="e">
        <f t="shared" si="19"/>
        <v>#DIV/0!</v>
      </c>
      <c r="I60" s="55"/>
      <c r="J60" s="54"/>
      <c r="K60" s="54">
        <f t="shared" ref="K60:K63" si="21">(G60)*0.066</f>
        <v>0</v>
      </c>
      <c r="L60" s="54">
        <f t="shared" si="20"/>
        <v>0</v>
      </c>
      <c r="M60" s="55">
        <f>[3]Oct!$AD60</f>
        <v>0</v>
      </c>
      <c r="N60" s="55"/>
      <c r="O60" s="55"/>
      <c r="P60" s="54" t="e">
        <f t="shared" ref="P60:P61" si="22">(J60-K60)/J60*100</f>
        <v>#DIV/0!</v>
      </c>
      <c r="Q60" s="55" t="e">
        <f t="shared" si="6"/>
        <v>#DIV/0!</v>
      </c>
      <c r="R60" s="16"/>
    </row>
    <row r="61" spans="2:18" ht="15.75" customHeight="1">
      <c r="B61" s="60"/>
      <c r="C61" s="49"/>
      <c r="D61" s="30"/>
      <c r="E61" s="147"/>
      <c r="F61" s="39"/>
      <c r="G61" s="18"/>
      <c r="H61" s="54" t="e">
        <f t="shared" si="19"/>
        <v>#DIV/0!</v>
      </c>
      <c r="I61" s="55"/>
      <c r="J61" s="54"/>
      <c r="K61" s="54">
        <f t="shared" si="21"/>
        <v>0</v>
      </c>
      <c r="L61" s="54">
        <f t="shared" si="20"/>
        <v>0</v>
      </c>
      <c r="M61" s="55"/>
      <c r="N61" s="55"/>
      <c r="O61" s="55"/>
      <c r="P61" s="54" t="e">
        <f t="shared" si="22"/>
        <v>#DIV/0!</v>
      </c>
      <c r="Q61" s="55" t="e">
        <f t="shared" si="6"/>
        <v>#DIV/0!</v>
      </c>
      <c r="R61" s="16"/>
    </row>
    <row r="62" spans="2:18" ht="15.75" customHeight="1">
      <c r="B62" s="60"/>
      <c r="C62" s="49"/>
      <c r="D62" s="30"/>
      <c r="E62" s="147"/>
      <c r="F62" s="39"/>
      <c r="G62" s="18"/>
      <c r="H62" s="54" t="e">
        <f t="shared" si="19"/>
        <v>#DIV/0!</v>
      </c>
      <c r="I62" s="55"/>
      <c r="J62" s="54"/>
      <c r="K62" s="54">
        <f t="shared" si="21"/>
        <v>0</v>
      </c>
      <c r="L62" s="54">
        <f t="shared" si="20"/>
        <v>0</v>
      </c>
      <c r="M62" s="55"/>
      <c r="N62" s="55"/>
      <c r="O62" s="55"/>
      <c r="P62" s="54" t="e">
        <f>(J62-K62)/J62*100</f>
        <v>#DIV/0!</v>
      </c>
      <c r="Q62" s="55" t="e">
        <f t="shared" si="6"/>
        <v>#DIV/0!</v>
      </c>
      <c r="R62" s="16"/>
    </row>
    <row r="63" spans="2:18" ht="16.350000000000001" customHeight="1" thickBot="1">
      <c r="B63" s="3"/>
      <c r="C63" s="49"/>
      <c r="D63" s="30"/>
      <c r="E63" s="147"/>
      <c r="F63" s="39"/>
      <c r="G63" s="18"/>
      <c r="H63" s="54" t="e">
        <f>(G63)*24/(F63/60)/17000*100</f>
        <v>#DIV/0!</v>
      </c>
      <c r="I63" s="38"/>
      <c r="J63" s="34"/>
      <c r="K63" s="54">
        <f t="shared" si="21"/>
        <v>0</v>
      </c>
      <c r="L63" s="54">
        <f t="shared" si="20"/>
        <v>0</v>
      </c>
      <c r="M63" s="55"/>
      <c r="N63" s="189"/>
      <c r="O63" s="55"/>
      <c r="P63" s="54" t="e">
        <f>(J63-K63)/J63*100</f>
        <v>#DIV/0!</v>
      </c>
      <c r="Q63" s="55" t="e">
        <f t="shared" si="6"/>
        <v>#DIV/0!</v>
      </c>
      <c r="R63" s="16"/>
    </row>
    <row r="64" spans="2:18" ht="17.25" thickTop="1" thickBot="1">
      <c r="B64" s="12"/>
      <c r="C64" s="12"/>
      <c r="D64" s="31"/>
      <c r="E64" s="23">
        <f>SUM(E8:E63)</f>
        <v>0</v>
      </c>
      <c r="F64" s="23">
        <f>SUM(F8:F63)</f>
        <v>-15</v>
      </c>
      <c r="G64" s="15">
        <f>SUM(G8:G63)</f>
        <v>0</v>
      </c>
      <c r="H64" s="13">
        <f>(G64)*24/(F64/60)/17000*100</f>
        <v>0</v>
      </c>
      <c r="I64" s="14">
        <f>SUM(I8:I63)</f>
        <v>0</v>
      </c>
      <c r="J64" s="52">
        <f>SUM(J8:J63)</f>
        <v>0</v>
      </c>
      <c r="K64" s="13">
        <f>SUM(K8:K63)</f>
        <v>0</v>
      </c>
      <c r="L64" s="52">
        <f>J64-K64</f>
        <v>0</v>
      </c>
      <c r="M64" s="53">
        <f>SUM(M8:M63)</f>
        <v>27</v>
      </c>
      <c r="N64" s="36">
        <f>SUM(N8:N63)</f>
        <v>0</v>
      </c>
      <c r="O64" s="14">
        <f>SUM(O8:O63)</f>
        <v>0</v>
      </c>
      <c r="P64" s="25" t="e">
        <f>(J64-K64)/J64</f>
        <v>#DIV/0!</v>
      </c>
      <c r="Q64" s="14">
        <f t="shared" ref="Q64" si="23">(G64)/(F64/60)</f>
        <v>0</v>
      </c>
      <c r="R64" s="17">
        <f>(January_2026!G65+February_2026!G63+March_2026!G62+'April_2026 '!G54+May_2026!G63+June_2026!G57+July_2026!G60+August_2026!G57+September_206!G54+G64)/((January_2026!F65+February_2026!F63+March_2026!F62+'April_2026 '!F54+May_2026!F63+June_2026!F57+July_2026!F60+August_2026!F57+September_206!F54+F64)/60)</f>
        <v>363.026406456909</v>
      </c>
    </row>
    <row r="65" spans="6:17" ht="17.25" thickTop="1" thickBot="1">
      <c r="G65" s="1"/>
      <c r="H65" s="1"/>
      <c r="L65" s="19"/>
      <c r="M65" s="19"/>
      <c r="N65" s="41" t="s">
        <v>23</v>
      </c>
      <c r="O65" s="19"/>
      <c r="Q65" s="5"/>
    </row>
    <row r="66" spans="6:17" ht="21" thickTop="1" thickBot="1">
      <c r="F66" s="1"/>
      <c r="G66" s="1"/>
      <c r="H66" s="1"/>
      <c r="I66" s="1"/>
      <c r="K66" s="46" t="s">
        <v>36</v>
      </c>
      <c r="L66" s="15">
        <f>G64+O66</f>
        <v>0</v>
      </c>
      <c r="M66" s="19"/>
      <c r="N66" s="41" t="s">
        <v>31</v>
      </c>
      <c r="O66" s="19">
        <f>O64*2.75</f>
        <v>0</v>
      </c>
      <c r="P66" s="40"/>
      <c r="Q66" s="5"/>
    </row>
    <row r="67" spans="6:17" ht="16.5" thickTop="1">
      <c r="G67" s="1"/>
      <c r="H67" s="1" t="s">
        <v>38</v>
      </c>
      <c r="L67" s="19"/>
      <c r="M67" s="19"/>
      <c r="N67" s="19"/>
      <c r="O67" s="19"/>
      <c r="Q67" s="5"/>
    </row>
    <row r="68" spans="6:17" ht="15.75">
      <c r="G68" s="1"/>
      <c r="H68" s="1">
        <v>689</v>
      </c>
      <c r="I68" s="7" t="s">
        <v>33</v>
      </c>
      <c r="L68" s="19"/>
      <c r="M68" s="19"/>
      <c r="N68" s="42" t="s">
        <v>32</v>
      </c>
      <c r="O68" s="63">
        <f>SUM(O9+O30+O39)</f>
        <v>0</v>
      </c>
      <c r="P68" s="58"/>
      <c r="Q68" s="59"/>
    </row>
    <row r="69" spans="6:17" ht="15.75">
      <c r="F69" s="57"/>
      <c r="G69" s="1"/>
      <c r="H69" s="1">
        <v>1120</v>
      </c>
      <c r="I69" s="7" t="s">
        <v>33</v>
      </c>
      <c r="J69" s="7" t="s">
        <v>65</v>
      </c>
      <c r="L69" s="19"/>
      <c r="M69" s="19"/>
      <c r="N69" s="42" t="s">
        <v>33</v>
      </c>
      <c r="O69" s="63">
        <f>SUM(O8+O27+O40)</f>
        <v>0</v>
      </c>
      <c r="P69" s="58"/>
      <c r="Q69" s="59"/>
    </row>
    <row r="70" spans="6:17" ht="15.75">
      <c r="F70" s="57"/>
      <c r="G70" s="1"/>
      <c r="H70" s="1"/>
      <c r="L70" s="19"/>
      <c r="M70" s="19"/>
      <c r="N70" s="42" t="s">
        <v>34</v>
      </c>
      <c r="O70" s="43"/>
      <c r="Q70" s="5"/>
    </row>
    <row r="71" spans="6:17" ht="15.75">
      <c r="F71" s="57"/>
      <c r="G71" s="1"/>
      <c r="H71" s="1"/>
      <c r="L71" s="19"/>
      <c r="M71" s="19"/>
      <c r="N71" s="44" t="s">
        <v>35</v>
      </c>
      <c r="O71" s="45">
        <f>SUM(O68:O70)</f>
        <v>0</v>
      </c>
      <c r="Q71" s="5"/>
    </row>
    <row r="72" spans="6:17" ht="15.75">
      <c r="F72" s="57"/>
      <c r="G72" s="1"/>
      <c r="H72" s="1"/>
      <c r="L72" s="19"/>
      <c r="M72" s="19"/>
      <c r="N72" s="19"/>
      <c r="O72" s="19"/>
      <c r="Q72" s="5"/>
    </row>
    <row r="73" spans="6:17" ht="15.75">
      <c r="F73" s="57"/>
      <c r="G73" s="1"/>
      <c r="H73" s="1"/>
      <c r="L73" s="19"/>
      <c r="M73" s="19"/>
      <c r="N73" s="19"/>
      <c r="O73" s="19"/>
      <c r="Q73" s="5"/>
    </row>
    <row r="74" spans="6:17" ht="15.75">
      <c r="F74" s="57"/>
      <c r="G74" s="1"/>
      <c r="H74" s="1"/>
      <c r="L74" s="19"/>
      <c r="M74" s="19"/>
      <c r="N74" s="19"/>
      <c r="O74" s="19"/>
      <c r="Q74" s="5"/>
    </row>
    <row r="75" spans="6:17" ht="15.75">
      <c r="F75" s="57"/>
      <c r="G75" s="1"/>
      <c r="H75" s="1"/>
      <c r="L75" s="19"/>
      <c r="M75" s="19"/>
      <c r="N75" s="19"/>
      <c r="O75" s="19"/>
      <c r="P75" s="54" t="e">
        <f>(J75-K75)/J75*100</f>
        <v>#DIV/0!</v>
      </c>
      <c r="Q75" s="5"/>
    </row>
    <row r="76" spans="6:17" ht="15.75">
      <c r="F76" s="57"/>
      <c r="G76" s="1"/>
      <c r="H76" s="1"/>
      <c r="L76" s="19"/>
      <c r="M76" s="19"/>
      <c r="N76" s="19"/>
      <c r="O76" s="19"/>
      <c r="Q76" s="5"/>
    </row>
    <row r="77" spans="6:17" ht="15.75">
      <c r="G77" s="1"/>
      <c r="H77" s="1"/>
      <c r="L77" s="19"/>
      <c r="M77" s="19"/>
      <c r="N77" s="19"/>
      <c r="O77" s="19"/>
      <c r="Q77" s="5"/>
    </row>
    <row r="78" spans="6:17" ht="15.75">
      <c r="F78" s="57"/>
      <c r="G78" s="1"/>
      <c r="H78" s="1"/>
      <c r="L78" s="19"/>
      <c r="M78" s="19"/>
      <c r="N78" s="19"/>
      <c r="O78" s="19"/>
      <c r="Q78" s="5"/>
    </row>
    <row r="79" spans="6:17" ht="15.75">
      <c r="G79" s="1"/>
      <c r="H79" s="1"/>
      <c r="L79" s="19"/>
      <c r="M79" s="19"/>
      <c r="N79" s="19"/>
      <c r="O79" s="19"/>
      <c r="Q79" s="5"/>
    </row>
    <row r="80" spans="6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  <row r="118" spans="7:17">
      <c r="G118" s="1"/>
      <c r="H118" s="1"/>
      <c r="Q118" s="5"/>
    </row>
    <row r="119" spans="7:17">
      <c r="G119" s="1"/>
      <c r="H119" s="1"/>
      <c r="Q119" s="5"/>
    </row>
    <row r="120" spans="7:17">
      <c r="G120" s="1"/>
      <c r="H120" s="1"/>
      <c r="Q120" s="5"/>
    </row>
    <row r="121" spans="7:17">
      <c r="G121" s="1"/>
      <c r="H121" s="1"/>
      <c r="Q121" s="5"/>
    </row>
    <row r="122" spans="7:17">
      <c r="G122" s="1"/>
      <c r="H122" s="1"/>
      <c r="Q122" s="5"/>
    </row>
    <row r="123" spans="7:17">
      <c r="G123" s="1"/>
      <c r="H123" s="1"/>
      <c r="Q123" s="5"/>
    </row>
    <row r="124" spans="7:17">
      <c r="G124" s="1"/>
      <c r="H124" s="1"/>
      <c r="Q124" s="5"/>
    </row>
    <row r="125" spans="7:17">
      <c r="G125" s="1"/>
      <c r="H125" s="1"/>
      <c r="Q125" s="5"/>
    </row>
    <row r="126" spans="7:17">
      <c r="G126" s="1"/>
      <c r="H126" s="1"/>
      <c r="Q126" s="5"/>
    </row>
    <row r="127" spans="7:17">
      <c r="G127" s="1"/>
      <c r="H127" s="1"/>
      <c r="Q127" s="5"/>
    </row>
  </sheetData>
  <autoFilter ref="B5:R63" xr:uid="{00000000-0001-0000-0900-000000000000}"/>
  <mergeCells count="9">
    <mergeCell ref="R6:R7"/>
    <mergeCell ref="B1:Q1"/>
    <mergeCell ref="B3:Q3"/>
    <mergeCell ref="B4:Q4"/>
    <mergeCell ref="I5:I7"/>
    <mergeCell ref="L5:L7"/>
    <mergeCell ref="M5:M7"/>
    <mergeCell ref="N5:N7"/>
    <mergeCell ref="O5:O7"/>
  </mergeCells>
  <conditionalFormatting sqref="I52:I63">
    <cfRule type="cellIs" dxfId="27" priority="38" stopIfTrue="1" operator="lessThan">
      <formula>50</formula>
    </cfRule>
  </conditionalFormatting>
  <conditionalFormatting sqref="P8:P63">
    <cfRule type="cellIs" dxfId="26" priority="11" stopIfTrue="1" operator="greaterThan">
      <formula>1.8</formula>
    </cfRule>
  </conditionalFormatting>
  <conditionalFormatting sqref="P75">
    <cfRule type="cellIs" dxfId="25" priority="10" stopIfTrue="1" operator="greaterThan">
      <formula>1.1</formula>
    </cfRule>
  </conditionalFormatting>
  <conditionalFormatting sqref="R13">
    <cfRule type="cellIs" dxfId="24" priority="9" operator="greaterThan">
      <formula>1.8</formula>
    </cfRule>
  </conditionalFormatting>
  <conditionalFormatting sqref="R16 R18 R20 R22">
    <cfRule type="cellIs" dxfId="23" priority="8" operator="greaterThan">
      <formula>1.8</formula>
    </cfRule>
  </conditionalFormatting>
  <conditionalFormatting sqref="R30 R32 R34 R36">
    <cfRule type="cellIs" dxfId="22" priority="7" operator="greaterThan">
      <formula>1.8</formula>
    </cfRule>
  </conditionalFormatting>
  <conditionalFormatting sqref="R40">
    <cfRule type="cellIs" dxfId="21" priority="5" operator="greaterThan">
      <formula>1.8</formula>
    </cfRule>
  </conditionalFormatting>
  <conditionalFormatting sqref="R42">
    <cfRule type="cellIs" dxfId="20" priority="4" operator="greaterThan">
      <formula>1.8</formula>
    </cfRule>
  </conditionalFormatting>
  <conditionalFormatting sqref="R46">
    <cfRule type="cellIs" dxfId="19" priority="3" operator="greaterThan">
      <formula>1.8</formula>
    </cfRule>
  </conditionalFormatting>
  <conditionalFormatting sqref="R49">
    <cfRule type="cellIs" dxfId="18" priority="2" operator="greaterThan">
      <formula>1.8</formula>
    </cfRule>
  </conditionalFormatting>
  <conditionalFormatting sqref="R52 R54 R56">
    <cfRule type="cellIs" dxfId="17" priority="1" operator="greaterThan">
      <formula>1.8</formula>
    </cfRule>
  </conditionalFormatting>
  <pageMargins left="0.25" right="0.25" top="0.75" bottom="0.75" header="0.3" footer="0.3"/>
  <pageSetup paperSize="5" scale="41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indexed="11"/>
    <pageSetUpPr fitToPage="1"/>
  </sheetPr>
  <dimension ref="A1:Z125"/>
  <sheetViews>
    <sheetView topLeftCell="A4" zoomScale="80" zoomScaleNormal="80" zoomScaleSheetLayoutView="80" workbookViewId="0">
      <pane xSplit="2" ySplit="4" topLeftCell="C28" activePane="bottomRight" state="frozen"/>
      <selection activeCell="A4" sqref="A4"/>
      <selection pane="topRight" activeCell="B4" sqref="B4"/>
      <selection pane="bottomLeft" activeCell="A8" sqref="A8"/>
      <selection pane="bottomRight" activeCell="Q8" sqref="Q8:Q57"/>
    </sheetView>
  </sheetViews>
  <sheetFormatPr defaultRowHeight="12.75"/>
  <cols>
    <col min="1" max="1" width="2.42578125" customWidth="1"/>
    <col min="2" max="2" width="9.140625" style="83" customWidth="1"/>
    <col min="3" max="3" width="7" style="1" customWidth="1"/>
    <col min="4" max="4" width="44.5703125" style="32" customWidth="1"/>
    <col min="5" max="5" width="13" style="1" customWidth="1"/>
    <col min="6" max="6" width="7.5703125" style="24" customWidth="1"/>
    <col min="7" max="8" width="13.5703125" customWidth="1"/>
    <col min="9" max="9" width="9.4257812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7" customWidth="1"/>
    <col min="16" max="16" width="12.42578125" style="26" customWidth="1"/>
    <col min="17" max="17" width="12.140625" style="6" customWidth="1"/>
    <col min="18" max="18" width="11" customWidth="1"/>
    <col min="21" max="21" width="20.85546875" customWidth="1"/>
    <col min="22" max="22" width="13.5703125" customWidth="1"/>
    <col min="23" max="23" width="15.85546875" customWidth="1"/>
    <col min="24" max="24" width="10.5703125" customWidth="1"/>
  </cols>
  <sheetData>
    <row r="1" spans="2:19" ht="27">
      <c r="B1" s="384" t="s">
        <v>0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</row>
    <row r="3" spans="2:19" ht="22.5">
      <c r="B3" s="385" t="s">
        <v>1</v>
      </c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</row>
    <row r="4" spans="2:19" ht="21" thickBot="1">
      <c r="B4" s="386">
        <v>46327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</row>
    <row r="5" spans="2:19" ht="17.25" thickTop="1" thickBot="1">
      <c r="B5" s="157" t="s">
        <v>2</v>
      </c>
      <c r="C5" s="2" t="s">
        <v>3</v>
      </c>
      <c r="D5" s="27" t="s">
        <v>4</v>
      </c>
      <c r="E5" s="2" t="s">
        <v>37</v>
      </c>
      <c r="F5" s="20" t="s">
        <v>12</v>
      </c>
      <c r="G5" s="2" t="s">
        <v>5</v>
      </c>
      <c r="H5" s="2" t="s">
        <v>13</v>
      </c>
      <c r="I5" s="387" t="s">
        <v>26</v>
      </c>
      <c r="J5" s="2" t="s">
        <v>18</v>
      </c>
      <c r="K5" s="2" t="s">
        <v>6</v>
      </c>
      <c r="L5" s="390" t="s">
        <v>22</v>
      </c>
      <c r="M5" s="393" t="s">
        <v>24</v>
      </c>
      <c r="N5" s="393" t="s">
        <v>25</v>
      </c>
      <c r="O5" s="393" t="s">
        <v>23</v>
      </c>
      <c r="P5" s="20" t="s">
        <v>6</v>
      </c>
      <c r="Q5" s="4" t="s">
        <v>9</v>
      </c>
      <c r="R5" s="2" t="s">
        <v>20</v>
      </c>
    </row>
    <row r="6" spans="2:19" ht="16.5" customHeight="1" thickTop="1">
      <c r="B6" s="15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88"/>
      <c r="J6" s="8" t="s">
        <v>17</v>
      </c>
      <c r="K6" s="8" t="s">
        <v>17</v>
      </c>
      <c r="L6" s="391"/>
      <c r="M6" s="394"/>
      <c r="N6" s="394"/>
      <c r="O6" s="394"/>
      <c r="P6" s="21" t="s">
        <v>19</v>
      </c>
      <c r="Q6" s="9" t="s">
        <v>10</v>
      </c>
      <c r="R6" s="382" t="s">
        <v>21</v>
      </c>
    </row>
    <row r="7" spans="2:19" ht="16.5" thickBot="1">
      <c r="B7" s="159"/>
      <c r="C7" s="10"/>
      <c r="D7" s="29"/>
      <c r="E7" s="8"/>
      <c r="F7" s="22" t="s">
        <v>15</v>
      </c>
      <c r="G7" s="10"/>
      <c r="H7" s="10" t="s">
        <v>16</v>
      </c>
      <c r="I7" s="389"/>
      <c r="J7" s="8"/>
      <c r="K7" s="10"/>
      <c r="L7" s="392"/>
      <c r="M7" s="395"/>
      <c r="N7" s="395"/>
      <c r="O7" s="395"/>
      <c r="P7" s="22"/>
      <c r="Q7" s="11"/>
      <c r="R7" s="383"/>
    </row>
    <row r="8" spans="2:19" ht="15.75">
      <c r="B8" s="60"/>
      <c r="C8" s="49"/>
      <c r="D8" s="30"/>
      <c r="E8" s="403"/>
      <c r="F8" s="35">
        <f>[3]Nov!$N78</f>
        <v>0</v>
      </c>
      <c r="G8" s="18"/>
      <c r="H8" s="54" t="e">
        <f t="shared" ref="H8:H50" si="0">(G8)*24/(F8/60)/17000*100</f>
        <v>#DIV/0!</v>
      </c>
      <c r="I8" s="55"/>
      <c r="J8" s="54"/>
      <c r="K8" s="54">
        <f t="shared" ref="K8" si="1">(G8)*0.066</f>
        <v>0</v>
      </c>
      <c r="L8" s="54">
        <f t="shared" ref="L8" si="2">J8-K8</f>
        <v>0</v>
      </c>
      <c r="M8" s="55">
        <f>[3]Nov!$AD8</f>
        <v>0</v>
      </c>
      <c r="N8" s="55"/>
      <c r="O8" s="55"/>
      <c r="P8" s="51" t="e">
        <f>(J8-K8)/J8*100</f>
        <v>#DIV/0!</v>
      </c>
      <c r="Q8" s="55" t="e">
        <f>(G8)/(E8/60)</f>
        <v>#DIV/0!</v>
      </c>
      <c r="R8" s="16"/>
    </row>
    <row r="9" spans="2:19" ht="15.75">
      <c r="B9" s="60"/>
      <c r="C9" s="49"/>
      <c r="D9" s="30"/>
      <c r="E9" s="403"/>
      <c r="F9" s="35">
        <f>[3]Nov!$N79</f>
        <v>0</v>
      </c>
      <c r="G9" s="18"/>
      <c r="H9" s="54" t="e">
        <f t="shared" si="0"/>
        <v>#DIV/0!</v>
      </c>
      <c r="I9" s="55"/>
      <c r="J9" s="33"/>
      <c r="K9" s="54">
        <f>(G9+G10)*0.066</f>
        <v>0</v>
      </c>
      <c r="L9" s="54">
        <f t="shared" ref="L9:L57" si="3">J9-K9</f>
        <v>0</v>
      </c>
      <c r="M9" s="55">
        <f>[3]Nov!$AD9</f>
        <v>0</v>
      </c>
      <c r="N9" s="55"/>
      <c r="O9" s="55"/>
      <c r="P9" s="51" t="e">
        <f t="shared" ref="P9:P35" si="4">(J9-K9)/J9*100</f>
        <v>#DIV/0!</v>
      </c>
      <c r="Q9" s="55" t="e">
        <f t="shared" ref="Q9:Q57" si="5">(G9)/(E9/60)</f>
        <v>#DIV/0!</v>
      </c>
      <c r="R9" s="33"/>
    </row>
    <row r="10" spans="2:19" ht="15.75">
      <c r="B10" s="60"/>
      <c r="C10" s="49"/>
      <c r="D10" s="30"/>
      <c r="E10" s="404"/>
      <c r="F10" s="35">
        <f>[3]Nov!$N80</f>
        <v>0</v>
      </c>
      <c r="G10" s="18"/>
      <c r="H10" s="54" t="e">
        <f t="shared" si="0"/>
        <v>#DIV/0!</v>
      </c>
      <c r="I10" s="55"/>
      <c r="J10" s="33"/>
      <c r="K10" s="54">
        <f t="shared" ref="K10:K42" si="6">(G10+G11)*0.066</f>
        <v>0</v>
      </c>
      <c r="L10" s="54">
        <f t="shared" ref="L10:L42" si="7">J10-K10</f>
        <v>0</v>
      </c>
      <c r="M10" s="55">
        <f>[3]Nov!$AD10</f>
        <v>0</v>
      </c>
      <c r="N10" s="55"/>
      <c r="O10" s="55"/>
      <c r="P10" s="51" t="e">
        <f t="shared" si="4"/>
        <v>#DIV/0!</v>
      </c>
      <c r="Q10" s="55" t="e">
        <f t="shared" si="5"/>
        <v>#DIV/0!</v>
      </c>
      <c r="R10" s="33"/>
      <c r="S10" s="37"/>
    </row>
    <row r="11" spans="2:19" ht="15.75">
      <c r="B11" s="60"/>
      <c r="C11" s="49"/>
      <c r="D11" s="30"/>
      <c r="E11" s="402"/>
      <c r="F11" s="35">
        <f>[3]Nov!$N81</f>
        <v>0</v>
      </c>
      <c r="G11" s="18"/>
      <c r="H11" s="54" t="e">
        <f t="shared" si="0"/>
        <v>#DIV/0!</v>
      </c>
      <c r="I11" s="55"/>
      <c r="J11" s="33"/>
      <c r="K11" s="54">
        <f t="shared" si="6"/>
        <v>0</v>
      </c>
      <c r="L11" s="54">
        <f t="shared" si="7"/>
        <v>0</v>
      </c>
      <c r="M11" s="55">
        <f>[3]Nov!$AD11</f>
        <v>0</v>
      </c>
      <c r="N11" s="55"/>
      <c r="O11" s="55"/>
      <c r="P11" s="51" t="e">
        <f t="shared" si="4"/>
        <v>#DIV/0!</v>
      </c>
      <c r="Q11" s="55" t="e">
        <f t="shared" si="5"/>
        <v>#DIV/0!</v>
      </c>
      <c r="R11" s="33"/>
      <c r="S11" s="37"/>
    </row>
    <row r="12" spans="2:19" ht="15" customHeight="1">
      <c r="B12" s="60"/>
      <c r="C12" s="49"/>
      <c r="D12" s="30"/>
      <c r="E12" s="404"/>
      <c r="F12" s="35">
        <f>[3]Nov!$N82</f>
        <v>0</v>
      </c>
      <c r="G12" s="18"/>
      <c r="H12" s="54" t="e">
        <f t="shared" si="0"/>
        <v>#DIV/0!</v>
      </c>
      <c r="I12" s="55"/>
      <c r="J12" s="33"/>
      <c r="K12" s="54">
        <f t="shared" si="6"/>
        <v>0</v>
      </c>
      <c r="L12" s="54">
        <f t="shared" si="7"/>
        <v>0</v>
      </c>
      <c r="M12" s="55">
        <f>[3]Nov!$AD12</f>
        <v>0</v>
      </c>
      <c r="N12" s="55"/>
      <c r="O12" s="55"/>
      <c r="P12" s="51" t="e">
        <f t="shared" si="4"/>
        <v>#DIV/0!</v>
      </c>
      <c r="Q12" s="55" t="e">
        <f t="shared" si="5"/>
        <v>#DIV/0!</v>
      </c>
      <c r="R12" s="33"/>
      <c r="S12" s="37"/>
    </row>
    <row r="13" spans="2:19" ht="15.75">
      <c r="B13" s="60"/>
      <c r="C13" s="49"/>
      <c r="D13" s="30"/>
      <c r="E13" s="402"/>
      <c r="F13" s="35">
        <f>[3]Nov!$N83</f>
        <v>0</v>
      </c>
      <c r="G13" s="18"/>
      <c r="H13" s="54" t="e">
        <f t="shared" si="0"/>
        <v>#DIV/0!</v>
      </c>
      <c r="I13" s="55"/>
      <c r="J13" s="54"/>
      <c r="K13" s="54">
        <f t="shared" si="6"/>
        <v>0</v>
      </c>
      <c r="L13" s="54">
        <f t="shared" si="7"/>
        <v>0</v>
      </c>
      <c r="M13" s="55">
        <f>[3]Nov!$AD13</f>
        <v>0</v>
      </c>
      <c r="N13" s="55"/>
      <c r="O13" s="55"/>
      <c r="P13" s="51" t="e">
        <f t="shared" si="4"/>
        <v>#DIV/0!</v>
      </c>
      <c r="Q13" s="55" t="e">
        <f t="shared" si="5"/>
        <v>#DIV/0!</v>
      </c>
      <c r="R13" s="33"/>
      <c r="S13" s="37"/>
    </row>
    <row r="14" spans="2:19" ht="15.75">
      <c r="B14" s="60"/>
      <c r="C14" s="49"/>
      <c r="D14" s="30"/>
      <c r="E14" s="403"/>
      <c r="F14" s="35">
        <f>[3]Nov!$N84</f>
        <v>0</v>
      </c>
      <c r="G14" s="18"/>
      <c r="H14" s="54" t="e">
        <f t="shared" si="0"/>
        <v>#DIV/0!</v>
      </c>
      <c r="I14" s="55"/>
      <c r="J14" s="54"/>
      <c r="K14" s="54">
        <f t="shared" si="6"/>
        <v>0</v>
      </c>
      <c r="L14" s="54">
        <f t="shared" si="7"/>
        <v>0</v>
      </c>
      <c r="M14" s="55">
        <f>[3]Nov!$AD14</f>
        <v>0</v>
      </c>
      <c r="N14" s="55"/>
      <c r="O14" s="55"/>
      <c r="P14" s="51" t="e">
        <f t="shared" si="4"/>
        <v>#DIV/0!</v>
      </c>
      <c r="Q14" s="55" t="e">
        <f t="shared" si="5"/>
        <v>#DIV/0!</v>
      </c>
      <c r="R14" s="16"/>
      <c r="S14" s="37"/>
    </row>
    <row r="15" spans="2:19" ht="15.75">
      <c r="B15" s="60"/>
      <c r="C15" s="49"/>
      <c r="D15" s="30"/>
      <c r="E15" s="404"/>
      <c r="F15" s="35">
        <f>[3]Nov!$N85</f>
        <v>0</v>
      </c>
      <c r="G15" s="18"/>
      <c r="H15" s="54" t="e">
        <f t="shared" si="0"/>
        <v>#DIV/0!</v>
      </c>
      <c r="I15" s="55"/>
      <c r="J15" s="54"/>
      <c r="K15" s="54">
        <f t="shared" si="6"/>
        <v>0</v>
      </c>
      <c r="L15" s="54">
        <f t="shared" si="7"/>
        <v>0</v>
      </c>
      <c r="M15" s="55">
        <f>[3]Nov!$AD15</f>
        <v>0</v>
      </c>
      <c r="N15" s="55"/>
      <c r="O15" s="55"/>
      <c r="P15" s="51" t="e">
        <f t="shared" si="4"/>
        <v>#DIV/0!</v>
      </c>
      <c r="Q15" s="55" t="e">
        <f t="shared" si="5"/>
        <v>#DIV/0!</v>
      </c>
      <c r="R15" s="33"/>
      <c r="S15" s="37"/>
    </row>
    <row r="16" spans="2:19" ht="15.75">
      <c r="B16" s="60"/>
      <c r="C16" s="49"/>
      <c r="D16" s="30"/>
      <c r="E16" s="402"/>
      <c r="F16" s="35">
        <f>[3]Nov!$N86</f>
        <v>0</v>
      </c>
      <c r="G16" s="18"/>
      <c r="H16" s="54" t="e">
        <f t="shared" si="0"/>
        <v>#DIV/0!</v>
      </c>
      <c r="I16" s="55"/>
      <c r="J16" s="54"/>
      <c r="K16" s="54">
        <f t="shared" si="6"/>
        <v>0</v>
      </c>
      <c r="L16" s="54">
        <f t="shared" si="7"/>
        <v>0</v>
      </c>
      <c r="M16" s="55">
        <f>[3]Nov!$AD16</f>
        <v>0</v>
      </c>
      <c r="N16" s="55"/>
      <c r="O16" s="55"/>
      <c r="P16" s="51" t="e">
        <f t="shared" si="4"/>
        <v>#DIV/0!</v>
      </c>
      <c r="Q16" s="55" t="e">
        <f t="shared" si="5"/>
        <v>#DIV/0!</v>
      </c>
      <c r="R16" s="33"/>
      <c r="S16" s="37"/>
    </row>
    <row r="17" spans="1:26" s="149" customFormat="1" ht="15.75">
      <c r="A17"/>
      <c r="B17" s="60"/>
      <c r="C17" s="49"/>
      <c r="D17" s="30"/>
      <c r="E17" s="404"/>
      <c r="F17" s="35">
        <f>[3]Nov!$N87</f>
        <v>0</v>
      </c>
      <c r="G17" s="18"/>
      <c r="H17" s="54" t="e">
        <f t="shared" si="0"/>
        <v>#DIV/0!</v>
      </c>
      <c r="I17" s="55"/>
      <c r="J17" s="54"/>
      <c r="K17" s="54">
        <f t="shared" si="6"/>
        <v>0</v>
      </c>
      <c r="L17" s="54">
        <f t="shared" si="7"/>
        <v>0</v>
      </c>
      <c r="M17" s="55">
        <f>[3]Nov!$AD17</f>
        <v>0</v>
      </c>
      <c r="N17" s="55"/>
      <c r="O17" s="55"/>
      <c r="P17" s="51" t="e">
        <f t="shared" si="4"/>
        <v>#DIV/0!</v>
      </c>
      <c r="Q17" s="55" t="e">
        <f t="shared" si="5"/>
        <v>#DIV/0!</v>
      </c>
      <c r="R17" s="33"/>
      <c r="S17" s="37"/>
      <c r="T17"/>
      <c r="U17"/>
      <c r="V17"/>
      <c r="W17"/>
      <c r="X17"/>
      <c r="Y17"/>
      <c r="Z17"/>
    </row>
    <row r="18" spans="1:26" s="149" customFormat="1" ht="15.75">
      <c r="A18"/>
      <c r="B18" s="60"/>
      <c r="C18" s="49"/>
      <c r="D18" s="30"/>
      <c r="E18" s="402"/>
      <c r="F18" s="35">
        <f>[3]Nov!$N88</f>
        <v>0</v>
      </c>
      <c r="G18" s="18"/>
      <c r="H18" s="54" t="e">
        <f t="shared" si="0"/>
        <v>#DIV/0!</v>
      </c>
      <c r="I18" s="55"/>
      <c r="J18" s="54"/>
      <c r="K18" s="54">
        <f t="shared" si="6"/>
        <v>0</v>
      </c>
      <c r="L18" s="54">
        <f t="shared" si="7"/>
        <v>0</v>
      </c>
      <c r="M18" s="55">
        <f>[3]Nov!$AD18</f>
        <v>0</v>
      </c>
      <c r="N18" s="55"/>
      <c r="O18" s="55"/>
      <c r="P18" s="51" t="e">
        <f t="shared" si="4"/>
        <v>#DIV/0!</v>
      </c>
      <c r="Q18" s="55" t="e">
        <f t="shared" si="5"/>
        <v>#DIV/0!</v>
      </c>
      <c r="R18" s="33"/>
      <c r="S18" s="37"/>
      <c r="T18"/>
      <c r="U18"/>
      <c r="V18"/>
      <c r="W18"/>
      <c r="X18"/>
      <c r="Y18"/>
      <c r="Z18"/>
    </row>
    <row r="19" spans="1:26" s="149" customFormat="1" ht="15.75">
      <c r="A19"/>
      <c r="B19" s="60"/>
      <c r="C19" s="49"/>
      <c r="D19" s="30"/>
      <c r="E19" s="403"/>
      <c r="F19" s="35">
        <f>[3]Nov!$N89</f>
        <v>0</v>
      </c>
      <c r="G19" s="18"/>
      <c r="H19" s="54" t="e">
        <f t="shared" si="0"/>
        <v>#DIV/0!</v>
      </c>
      <c r="I19" s="55"/>
      <c r="J19" s="54"/>
      <c r="K19" s="54">
        <f t="shared" si="6"/>
        <v>0</v>
      </c>
      <c r="L19" s="54">
        <f t="shared" si="7"/>
        <v>0</v>
      </c>
      <c r="M19" s="55">
        <f>[3]Nov!$AD19</f>
        <v>0</v>
      </c>
      <c r="N19" s="55"/>
      <c r="O19" s="55"/>
      <c r="P19" s="51" t="e">
        <f t="shared" si="4"/>
        <v>#DIV/0!</v>
      </c>
      <c r="Q19" s="55" t="e">
        <f t="shared" si="5"/>
        <v>#DIV/0!</v>
      </c>
      <c r="R19" s="16"/>
      <c r="S19" s="37"/>
      <c r="T19"/>
      <c r="U19"/>
      <c r="V19"/>
      <c r="W19"/>
      <c r="X19"/>
      <c r="Y19"/>
      <c r="Z19"/>
    </row>
    <row r="20" spans="1:26" s="145" customFormat="1" ht="15.75">
      <c r="A20"/>
      <c r="B20" s="60"/>
      <c r="C20" s="49"/>
      <c r="D20" s="30"/>
      <c r="E20" s="404"/>
      <c r="F20" s="35">
        <f>[3]Nov!$N90</f>
        <v>0</v>
      </c>
      <c r="G20" s="18"/>
      <c r="H20" s="54" t="e">
        <f t="shared" si="0"/>
        <v>#DIV/0!</v>
      </c>
      <c r="I20" s="55"/>
      <c r="J20" s="54"/>
      <c r="K20" s="54">
        <f t="shared" si="6"/>
        <v>0</v>
      </c>
      <c r="L20" s="54">
        <f t="shared" si="7"/>
        <v>0</v>
      </c>
      <c r="M20" s="55">
        <f>[3]Nov!$AD20</f>
        <v>0</v>
      </c>
      <c r="N20" s="55"/>
      <c r="O20" s="55"/>
      <c r="P20" s="51" t="e">
        <f t="shared" si="4"/>
        <v>#DIV/0!</v>
      </c>
      <c r="Q20" s="55" t="e">
        <f t="shared" si="5"/>
        <v>#DIV/0!</v>
      </c>
      <c r="R20" s="16"/>
      <c r="S20" s="37"/>
      <c r="T20"/>
      <c r="U20"/>
      <c r="V20"/>
      <c r="W20"/>
      <c r="X20"/>
      <c r="Y20"/>
      <c r="Z20"/>
    </row>
    <row r="21" spans="1:26" s="145" customFormat="1" ht="15.75">
      <c r="A21"/>
      <c r="B21" s="60"/>
      <c r="C21" s="49"/>
      <c r="D21" s="30"/>
      <c r="E21" s="147"/>
      <c r="F21" s="35">
        <f>[3]Nov!$N91</f>
        <v>0</v>
      </c>
      <c r="G21" s="18"/>
      <c r="H21" s="54" t="e">
        <f t="shared" si="0"/>
        <v>#DIV/0!</v>
      </c>
      <c r="I21" s="55"/>
      <c r="J21" s="54"/>
      <c r="K21" s="54">
        <f t="shared" si="6"/>
        <v>0</v>
      </c>
      <c r="L21" s="54">
        <f t="shared" si="7"/>
        <v>0</v>
      </c>
      <c r="M21" s="55">
        <f>[3]Nov!$AD21</f>
        <v>0</v>
      </c>
      <c r="N21" s="55"/>
      <c r="O21" s="55"/>
      <c r="P21" s="51" t="e">
        <f t="shared" si="4"/>
        <v>#DIV/0!</v>
      </c>
      <c r="Q21" s="55" t="e">
        <f t="shared" si="5"/>
        <v>#DIV/0!</v>
      </c>
      <c r="R21" s="16"/>
      <c r="S21" s="37"/>
      <c r="T21"/>
      <c r="U21"/>
      <c r="V21"/>
      <c r="W21"/>
      <c r="X21"/>
      <c r="Y21"/>
      <c r="Z21"/>
    </row>
    <row r="22" spans="1:26" s="145" customFormat="1" ht="15.75">
      <c r="A22"/>
      <c r="B22" s="60"/>
      <c r="C22" s="49"/>
      <c r="D22" s="30"/>
      <c r="E22" s="402"/>
      <c r="F22" s="35">
        <f>[3]Nov!$N92</f>
        <v>0</v>
      </c>
      <c r="G22" s="18"/>
      <c r="H22" s="54" t="e">
        <f t="shared" si="0"/>
        <v>#DIV/0!</v>
      </c>
      <c r="I22" s="55"/>
      <c r="J22" s="33"/>
      <c r="K22" s="54">
        <f t="shared" si="6"/>
        <v>0</v>
      </c>
      <c r="L22" s="54">
        <f t="shared" si="7"/>
        <v>0</v>
      </c>
      <c r="M22" s="55">
        <f>[3]Nov!$AD22</f>
        <v>0</v>
      </c>
      <c r="N22" s="406"/>
      <c r="O22" s="55"/>
      <c r="P22" s="51" t="e">
        <f t="shared" si="4"/>
        <v>#DIV/0!</v>
      </c>
      <c r="Q22" s="55" t="e">
        <f t="shared" si="5"/>
        <v>#DIV/0!</v>
      </c>
      <c r="R22" s="33"/>
      <c r="S22" s="37"/>
      <c r="T22"/>
      <c r="U22"/>
      <c r="V22"/>
      <c r="W22"/>
      <c r="X22"/>
      <c r="Y22"/>
      <c r="Z22"/>
    </row>
    <row r="23" spans="1:26" s="145" customFormat="1" ht="15.75">
      <c r="A23"/>
      <c r="B23" s="60"/>
      <c r="C23" s="49"/>
      <c r="D23" s="30"/>
      <c r="E23" s="404"/>
      <c r="F23" s="35">
        <f>[3]Nov!$N93</f>
        <v>0</v>
      </c>
      <c r="G23" s="18"/>
      <c r="H23" s="54" t="e">
        <f t="shared" si="0"/>
        <v>#DIV/0!</v>
      </c>
      <c r="I23" s="55"/>
      <c r="J23" s="33"/>
      <c r="K23" s="54">
        <f t="shared" si="6"/>
        <v>0</v>
      </c>
      <c r="L23" s="54">
        <f t="shared" si="7"/>
        <v>0</v>
      </c>
      <c r="M23" s="55">
        <f>[3]Nov!$AD23</f>
        <v>0</v>
      </c>
      <c r="N23" s="406"/>
      <c r="O23" s="55"/>
      <c r="P23" s="51" t="e">
        <f t="shared" si="4"/>
        <v>#DIV/0!</v>
      </c>
      <c r="Q23" s="55" t="e">
        <f t="shared" si="5"/>
        <v>#DIV/0!</v>
      </c>
      <c r="R23" s="33"/>
      <c r="S23" s="37"/>
      <c r="T23"/>
      <c r="U23"/>
      <c r="V23"/>
      <c r="W23"/>
      <c r="X23"/>
      <c r="Y23"/>
      <c r="Z23"/>
    </row>
    <row r="24" spans="1:26" s="145" customFormat="1" ht="15.75">
      <c r="A24"/>
      <c r="B24" s="60"/>
      <c r="C24" s="49"/>
      <c r="D24" s="30"/>
      <c r="E24" s="402"/>
      <c r="F24" s="35">
        <f>[3]Nov!$N94</f>
        <v>0</v>
      </c>
      <c r="G24" s="18"/>
      <c r="H24" s="54" t="e">
        <f t="shared" si="0"/>
        <v>#DIV/0!</v>
      </c>
      <c r="I24" s="55"/>
      <c r="J24" s="33"/>
      <c r="K24" s="54">
        <f t="shared" si="6"/>
        <v>0</v>
      </c>
      <c r="L24" s="54">
        <f t="shared" si="7"/>
        <v>0</v>
      </c>
      <c r="M24" s="55">
        <f>[3]Nov!$AD24</f>
        <v>0</v>
      </c>
      <c r="N24" s="55"/>
      <c r="O24" s="55"/>
      <c r="P24" s="51" t="e">
        <f t="shared" si="4"/>
        <v>#DIV/0!</v>
      </c>
      <c r="Q24" s="55" t="e">
        <f t="shared" si="5"/>
        <v>#DIV/0!</v>
      </c>
      <c r="R24" s="33"/>
      <c r="S24" s="37"/>
      <c r="T24"/>
      <c r="U24"/>
      <c r="V24"/>
      <c r="W24"/>
      <c r="X24"/>
      <c r="Y24"/>
      <c r="Z24"/>
    </row>
    <row r="25" spans="1:26" ht="15.75">
      <c r="B25" s="92"/>
      <c r="C25" s="88"/>
      <c r="D25" s="30"/>
      <c r="E25" s="404"/>
      <c r="F25" s="35">
        <f>[3]Nov!$N95</f>
        <v>0</v>
      </c>
      <c r="G25" s="18"/>
      <c r="H25" s="54" t="e">
        <f t="shared" si="0"/>
        <v>#DIV/0!</v>
      </c>
      <c r="I25" s="55"/>
      <c r="J25" s="33"/>
      <c r="K25" s="54">
        <f t="shared" si="6"/>
        <v>0</v>
      </c>
      <c r="L25" s="54">
        <f t="shared" si="7"/>
        <v>0</v>
      </c>
      <c r="M25" s="55">
        <f>[3]Nov!$AD25</f>
        <v>0</v>
      </c>
      <c r="N25" s="55"/>
      <c r="O25" s="55"/>
      <c r="P25" s="51" t="e">
        <f t="shared" si="4"/>
        <v>#DIV/0!</v>
      </c>
      <c r="Q25" s="55" t="e">
        <f t="shared" si="5"/>
        <v>#DIV/0!</v>
      </c>
      <c r="R25" s="33"/>
      <c r="S25" s="37"/>
    </row>
    <row r="26" spans="1:26" ht="15.75">
      <c r="B26" s="92"/>
      <c r="C26" s="88"/>
      <c r="D26" s="30"/>
      <c r="E26" s="402"/>
      <c r="F26" s="35">
        <f>[3]Nov!$N96</f>
        <v>0</v>
      </c>
      <c r="G26" s="18"/>
      <c r="H26" s="54" t="e">
        <f t="shared" si="0"/>
        <v>#DIV/0!</v>
      </c>
      <c r="I26" s="55"/>
      <c r="J26" s="33"/>
      <c r="K26" s="54">
        <f t="shared" si="6"/>
        <v>0</v>
      </c>
      <c r="L26" s="54">
        <f t="shared" si="7"/>
        <v>0</v>
      </c>
      <c r="M26" s="55">
        <f>[3]Nov!$AD26</f>
        <v>0</v>
      </c>
      <c r="N26" s="55"/>
      <c r="O26" s="55"/>
      <c r="P26" s="51" t="e">
        <f t="shared" si="4"/>
        <v>#DIV/0!</v>
      </c>
      <c r="Q26" s="55" t="e">
        <f t="shared" si="5"/>
        <v>#DIV/0!</v>
      </c>
      <c r="R26" s="33"/>
      <c r="S26" s="37"/>
    </row>
    <row r="27" spans="1:26" ht="15.75">
      <c r="B27" s="92"/>
      <c r="C27" s="88"/>
      <c r="D27" s="30"/>
      <c r="E27" s="404"/>
      <c r="F27" s="35">
        <f>[3]Nov!$N97</f>
        <v>0</v>
      </c>
      <c r="G27" s="18"/>
      <c r="H27" s="54" t="e">
        <f t="shared" si="0"/>
        <v>#DIV/0!</v>
      </c>
      <c r="I27" s="55"/>
      <c r="J27" s="33"/>
      <c r="K27" s="54">
        <f t="shared" si="6"/>
        <v>0</v>
      </c>
      <c r="L27" s="54">
        <f t="shared" si="7"/>
        <v>0</v>
      </c>
      <c r="M27" s="55">
        <f>[3]Nov!$AD27</f>
        <v>0</v>
      </c>
      <c r="N27" s="55"/>
      <c r="O27" s="55"/>
      <c r="P27" s="51" t="e">
        <f t="shared" si="4"/>
        <v>#DIV/0!</v>
      </c>
      <c r="Q27" s="55" t="e">
        <f t="shared" si="5"/>
        <v>#DIV/0!</v>
      </c>
      <c r="R27" s="33"/>
      <c r="S27" s="37"/>
    </row>
    <row r="28" spans="1:26" ht="15.75">
      <c r="B28" s="92"/>
      <c r="C28" s="88"/>
      <c r="D28" s="30"/>
      <c r="E28" s="147"/>
      <c r="F28" s="35">
        <f>[3]Nov!$N98</f>
        <v>0</v>
      </c>
      <c r="G28" s="18"/>
      <c r="H28" s="54" t="e">
        <f t="shared" si="0"/>
        <v>#DIV/0!</v>
      </c>
      <c r="I28" s="55"/>
      <c r="J28" s="54"/>
      <c r="K28" s="54">
        <f t="shared" si="6"/>
        <v>0</v>
      </c>
      <c r="L28" s="54">
        <f t="shared" si="7"/>
        <v>0</v>
      </c>
      <c r="M28" s="55">
        <f>[3]Nov!$AD28</f>
        <v>0</v>
      </c>
      <c r="N28" s="55"/>
      <c r="O28" s="55"/>
      <c r="P28" s="51" t="e">
        <f t="shared" si="4"/>
        <v>#DIV/0!</v>
      </c>
      <c r="Q28" s="55" t="e">
        <f t="shared" si="5"/>
        <v>#DIV/0!</v>
      </c>
      <c r="R28" s="33"/>
      <c r="S28" s="37"/>
    </row>
    <row r="29" spans="1:26" s="150" customFormat="1" ht="15.75">
      <c r="A29"/>
      <c r="B29" s="92"/>
      <c r="C29" s="88"/>
      <c r="D29" s="30"/>
      <c r="E29" s="147"/>
      <c r="F29" s="35">
        <f>[3]Nov!$N99</f>
        <v>0</v>
      </c>
      <c r="G29" s="18"/>
      <c r="H29" s="54" t="e">
        <f t="shared" si="0"/>
        <v>#DIV/0!</v>
      </c>
      <c r="I29" s="55"/>
      <c r="J29" s="54"/>
      <c r="K29" s="54">
        <f t="shared" si="6"/>
        <v>0</v>
      </c>
      <c r="L29" s="54">
        <f t="shared" si="7"/>
        <v>0</v>
      </c>
      <c r="M29" s="55">
        <f>[3]Nov!$AD29</f>
        <v>0</v>
      </c>
      <c r="N29" s="55"/>
      <c r="O29" s="55"/>
      <c r="P29" s="51" t="e">
        <f t="shared" si="4"/>
        <v>#DIV/0!</v>
      </c>
      <c r="Q29" s="55" t="e">
        <f t="shared" si="5"/>
        <v>#DIV/0!</v>
      </c>
      <c r="R29" s="33"/>
      <c r="S29" s="37"/>
      <c r="T29"/>
      <c r="U29"/>
      <c r="V29"/>
      <c r="W29"/>
      <c r="X29"/>
      <c r="Y29"/>
      <c r="Z29"/>
    </row>
    <row r="30" spans="1:26" s="150" customFormat="1" ht="18.75">
      <c r="A30"/>
      <c r="B30" s="92"/>
      <c r="C30" s="88"/>
      <c r="D30" s="30"/>
      <c r="E30" s="402"/>
      <c r="F30" s="35">
        <f>[3]Nov!$N100</f>
        <v>0</v>
      </c>
      <c r="G30" s="18"/>
      <c r="H30" s="54" t="e">
        <f t="shared" si="0"/>
        <v>#DIV/0!</v>
      </c>
      <c r="I30" s="55"/>
      <c r="J30" s="109"/>
      <c r="K30" s="54">
        <f t="shared" si="6"/>
        <v>0</v>
      </c>
      <c r="L30" s="54">
        <f t="shared" si="7"/>
        <v>0</v>
      </c>
      <c r="M30" s="55">
        <f>[3]Nov!$AD30</f>
        <v>0</v>
      </c>
      <c r="N30" s="55"/>
      <c r="O30" s="55"/>
      <c r="P30" s="51" t="e">
        <f t="shared" si="4"/>
        <v>#DIV/0!</v>
      </c>
      <c r="Q30" s="55" t="e">
        <f t="shared" si="5"/>
        <v>#DIV/0!</v>
      </c>
      <c r="R30" s="33"/>
      <c r="S30" s="37"/>
      <c r="T30"/>
      <c r="U30"/>
      <c r="V30"/>
      <c r="W30"/>
      <c r="X30"/>
      <c r="Y30"/>
      <c r="Z30"/>
    </row>
    <row r="31" spans="1:26" s="150" customFormat="1" ht="15.75">
      <c r="A31"/>
      <c r="B31" s="92"/>
      <c r="C31" s="88"/>
      <c r="D31" s="30"/>
      <c r="E31" s="404"/>
      <c r="F31" s="35">
        <f>[3]Nov!$N101</f>
        <v>0</v>
      </c>
      <c r="G31" s="18"/>
      <c r="H31" s="54" t="e">
        <f t="shared" si="0"/>
        <v>#DIV/0!</v>
      </c>
      <c r="I31" s="55"/>
      <c r="J31" s="54"/>
      <c r="K31" s="54">
        <f t="shared" si="6"/>
        <v>0</v>
      </c>
      <c r="L31" s="54">
        <f t="shared" si="7"/>
        <v>0</v>
      </c>
      <c r="M31" s="55">
        <f>[3]Nov!$AD31</f>
        <v>0</v>
      </c>
      <c r="N31" s="55"/>
      <c r="O31" s="55"/>
      <c r="P31" s="51" t="e">
        <f t="shared" si="4"/>
        <v>#DIV/0!</v>
      </c>
      <c r="Q31" s="55" t="e">
        <f t="shared" si="5"/>
        <v>#DIV/0!</v>
      </c>
      <c r="R31" s="33"/>
      <c r="S31" s="37"/>
      <c r="T31"/>
      <c r="U31"/>
      <c r="V31"/>
      <c r="W31"/>
      <c r="X31"/>
      <c r="Y31"/>
      <c r="Z31"/>
    </row>
    <row r="32" spans="1:26" s="150" customFormat="1" ht="15.75">
      <c r="A32"/>
      <c r="B32" s="60"/>
      <c r="C32" s="49"/>
      <c r="D32" s="30"/>
      <c r="E32" s="402"/>
      <c r="F32" s="35">
        <f>[3]Nov!$N102</f>
        <v>0</v>
      </c>
      <c r="G32" s="18"/>
      <c r="H32" s="54" t="e">
        <f t="shared" si="0"/>
        <v>#DIV/0!</v>
      </c>
      <c r="I32" s="55"/>
      <c r="J32" s="54"/>
      <c r="K32" s="54">
        <f t="shared" si="6"/>
        <v>0</v>
      </c>
      <c r="L32" s="54">
        <f t="shared" si="7"/>
        <v>0</v>
      </c>
      <c r="M32" s="55">
        <f>[3]Nov!$AD32</f>
        <v>0</v>
      </c>
      <c r="N32" s="55"/>
      <c r="O32" s="55"/>
      <c r="P32" s="51" t="e">
        <f t="shared" si="4"/>
        <v>#DIV/0!</v>
      </c>
      <c r="Q32" s="55" t="e">
        <f t="shared" si="5"/>
        <v>#DIV/0!</v>
      </c>
      <c r="R32" s="33"/>
      <c r="S32" s="37"/>
      <c r="T32"/>
      <c r="U32"/>
      <c r="V32"/>
      <c r="W32"/>
      <c r="X32"/>
      <c r="Y32"/>
      <c r="Z32"/>
    </row>
    <row r="33" spans="1:26" ht="15.75">
      <c r="B33" s="60"/>
      <c r="C33" s="49"/>
      <c r="D33" s="30"/>
      <c r="E33" s="404"/>
      <c r="F33" s="35">
        <f>[3]Nov!$N103</f>
        <v>0</v>
      </c>
      <c r="G33" s="18"/>
      <c r="H33" s="54" t="e">
        <f t="shared" si="0"/>
        <v>#DIV/0!</v>
      </c>
      <c r="I33" s="55"/>
      <c r="J33" s="54"/>
      <c r="K33" s="54">
        <f t="shared" si="6"/>
        <v>0</v>
      </c>
      <c r="L33" s="54">
        <f t="shared" si="7"/>
        <v>0</v>
      </c>
      <c r="M33" s="55">
        <f>[3]Nov!$AD33</f>
        <v>0</v>
      </c>
      <c r="N33" s="55"/>
      <c r="O33" s="55"/>
      <c r="P33" s="51" t="e">
        <f t="shared" si="4"/>
        <v>#DIV/0!</v>
      </c>
      <c r="Q33" s="55" t="e">
        <f t="shared" si="5"/>
        <v>#DIV/0!</v>
      </c>
      <c r="R33" s="33"/>
      <c r="S33" s="37"/>
    </row>
    <row r="34" spans="1:26" ht="15.75">
      <c r="B34" s="60"/>
      <c r="C34" s="49"/>
      <c r="D34" s="30"/>
      <c r="E34" s="402"/>
      <c r="F34" s="35">
        <f>[3]Nov!$N104</f>
        <v>0</v>
      </c>
      <c r="G34" s="18"/>
      <c r="H34" s="54" t="e">
        <f t="shared" si="0"/>
        <v>#DIV/0!</v>
      </c>
      <c r="I34" s="55"/>
      <c r="J34" s="54"/>
      <c r="K34" s="54">
        <f t="shared" si="6"/>
        <v>0</v>
      </c>
      <c r="L34" s="54">
        <f t="shared" si="7"/>
        <v>0</v>
      </c>
      <c r="M34" s="55">
        <f>[3]Nov!$AD34</f>
        <v>0</v>
      </c>
      <c r="N34" s="55"/>
      <c r="O34" s="55"/>
      <c r="P34" s="51" t="e">
        <f t="shared" si="4"/>
        <v>#DIV/0!</v>
      </c>
      <c r="Q34" s="55" t="e">
        <f t="shared" si="5"/>
        <v>#DIV/0!</v>
      </c>
      <c r="R34" s="33"/>
      <c r="S34" s="37"/>
    </row>
    <row r="35" spans="1:26" ht="15.75">
      <c r="B35" s="60"/>
      <c r="C35" s="49"/>
      <c r="D35" s="30"/>
      <c r="E35" s="404"/>
      <c r="F35" s="35">
        <f>[3]Nov!$N105</f>
        <v>0</v>
      </c>
      <c r="G35" s="18"/>
      <c r="H35" s="54" t="e">
        <f t="shared" si="0"/>
        <v>#DIV/0!</v>
      </c>
      <c r="I35" s="55"/>
      <c r="J35" s="54"/>
      <c r="K35" s="54">
        <f t="shared" si="6"/>
        <v>0</v>
      </c>
      <c r="L35" s="54">
        <f t="shared" si="7"/>
        <v>0</v>
      </c>
      <c r="M35" s="55">
        <f>[3]Nov!$AD35</f>
        <v>0</v>
      </c>
      <c r="N35" s="55"/>
      <c r="O35" s="55"/>
      <c r="P35" s="51" t="e">
        <f t="shared" si="4"/>
        <v>#DIV/0!</v>
      </c>
      <c r="Q35" s="55" t="e">
        <f t="shared" si="5"/>
        <v>#DIV/0!</v>
      </c>
      <c r="R35" s="33"/>
      <c r="S35" s="37"/>
    </row>
    <row r="36" spans="1:26" ht="15.75">
      <c r="B36" s="60"/>
      <c r="C36" s="49"/>
      <c r="D36" s="30"/>
      <c r="E36" s="402"/>
      <c r="F36" s="35">
        <f>[3]Nov!$N106</f>
        <v>0</v>
      </c>
      <c r="G36" s="18"/>
      <c r="H36" s="54" t="e">
        <f t="shared" si="0"/>
        <v>#DIV/0!</v>
      </c>
      <c r="I36" s="55"/>
      <c r="J36" s="54"/>
      <c r="K36" s="54">
        <f t="shared" si="6"/>
        <v>0</v>
      </c>
      <c r="L36" s="54">
        <f t="shared" si="7"/>
        <v>0</v>
      </c>
      <c r="M36" s="55">
        <f>[3]Nov!$AD36</f>
        <v>0</v>
      </c>
      <c r="N36" s="55"/>
      <c r="O36" s="55"/>
      <c r="P36" s="51" t="e">
        <f t="shared" ref="P36:P56" si="8">(J36-K36)/J36*100</f>
        <v>#DIV/0!</v>
      </c>
      <c r="Q36" s="55" t="e">
        <f t="shared" si="5"/>
        <v>#DIV/0!</v>
      </c>
      <c r="R36" s="33"/>
      <c r="S36" s="37"/>
    </row>
    <row r="37" spans="1:26" ht="15.75">
      <c r="B37" s="60"/>
      <c r="C37" s="49"/>
      <c r="D37" s="30"/>
      <c r="E37" s="404"/>
      <c r="F37" s="35">
        <f>[3]Nov!$N107</f>
        <v>0</v>
      </c>
      <c r="G37" s="18"/>
      <c r="H37" s="54" t="e">
        <f t="shared" si="0"/>
        <v>#DIV/0!</v>
      </c>
      <c r="I37" s="55"/>
      <c r="J37" s="54"/>
      <c r="K37" s="54">
        <f t="shared" si="6"/>
        <v>0</v>
      </c>
      <c r="L37" s="54">
        <f t="shared" si="7"/>
        <v>0</v>
      </c>
      <c r="M37" s="55">
        <f>[3]Nov!$AD37</f>
        <v>0</v>
      </c>
      <c r="N37" s="55"/>
      <c r="O37" s="55"/>
      <c r="P37" s="51" t="e">
        <f t="shared" si="8"/>
        <v>#DIV/0!</v>
      </c>
      <c r="Q37" s="55" t="e">
        <f t="shared" si="5"/>
        <v>#DIV/0!</v>
      </c>
      <c r="R37" s="33"/>
      <c r="S37" s="37"/>
    </row>
    <row r="38" spans="1:26" s="150" customFormat="1" ht="15.75">
      <c r="A38"/>
      <c r="B38" s="60"/>
      <c r="C38" s="49"/>
      <c r="D38" s="30"/>
      <c r="E38" s="147"/>
      <c r="F38" s="35">
        <f>[3]Nov!$N108</f>
        <v>0</v>
      </c>
      <c r="G38" s="18"/>
      <c r="H38" s="54" t="e">
        <f t="shared" si="0"/>
        <v>#DIV/0!</v>
      </c>
      <c r="I38" s="55"/>
      <c r="J38" s="54"/>
      <c r="K38" s="54">
        <f t="shared" si="6"/>
        <v>0</v>
      </c>
      <c r="L38" s="54">
        <f t="shared" si="7"/>
        <v>0</v>
      </c>
      <c r="M38" s="55">
        <f>[3]Nov!$AD38</f>
        <v>0</v>
      </c>
      <c r="N38" s="55"/>
      <c r="O38" s="55"/>
      <c r="P38" s="51" t="e">
        <f t="shared" si="8"/>
        <v>#DIV/0!</v>
      </c>
      <c r="Q38" s="55" t="e">
        <f t="shared" si="5"/>
        <v>#DIV/0!</v>
      </c>
      <c r="R38" s="33"/>
      <c r="S38" s="37"/>
      <c r="T38"/>
      <c r="U38"/>
      <c r="V38"/>
      <c r="W38"/>
      <c r="X38"/>
      <c r="Y38"/>
      <c r="Z38"/>
    </row>
    <row r="39" spans="1:26" ht="15.75">
      <c r="B39" s="60"/>
      <c r="C39" s="49"/>
      <c r="D39" s="30"/>
      <c r="E39" s="147"/>
      <c r="F39" s="35">
        <f>[3]Nov!$N109</f>
        <v>0</v>
      </c>
      <c r="G39" s="18"/>
      <c r="H39" s="54" t="e">
        <f t="shared" si="0"/>
        <v>#DIV/0!</v>
      </c>
      <c r="I39" s="55"/>
      <c r="J39" s="54"/>
      <c r="K39" s="54">
        <f t="shared" si="6"/>
        <v>0</v>
      </c>
      <c r="L39" s="54">
        <f t="shared" si="7"/>
        <v>0</v>
      </c>
      <c r="M39" s="55">
        <f>[3]Nov!$AD39</f>
        <v>0</v>
      </c>
      <c r="N39" s="55"/>
      <c r="O39" s="55"/>
      <c r="P39" s="51" t="e">
        <f t="shared" si="8"/>
        <v>#DIV/0!</v>
      </c>
      <c r="Q39" s="55" t="e">
        <f t="shared" si="5"/>
        <v>#DIV/0!</v>
      </c>
      <c r="R39" s="33"/>
      <c r="S39" s="37"/>
    </row>
    <row r="40" spans="1:26" ht="15.75">
      <c r="B40" s="60"/>
      <c r="C40" s="49"/>
      <c r="D40" s="30"/>
      <c r="E40" s="402"/>
      <c r="F40" s="35">
        <f>[3]Nov!$N110</f>
        <v>0</v>
      </c>
      <c r="G40" s="18"/>
      <c r="H40" s="54" t="e">
        <f t="shared" si="0"/>
        <v>#DIV/0!</v>
      </c>
      <c r="I40" s="55"/>
      <c r="J40" s="33"/>
      <c r="K40" s="54">
        <f t="shared" si="6"/>
        <v>0</v>
      </c>
      <c r="L40" s="54">
        <f t="shared" si="7"/>
        <v>0</v>
      </c>
      <c r="M40" s="55">
        <f>[3]Nov!$AD40</f>
        <v>0</v>
      </c>
      <c r="N40" s="55"/>
      <c r="O40" s="55"/>
      <c r="P40" s="51" t="e">
        <f t="shared" si="8"/>
        <v>#DIV/0!</v>
      </c>
      <c r="Q40" s="55" t="e">
        <f t="shared" si="5"/>
        <v>#DIV/0!</v>
      </c>
      <c r="R40" s="33"/>
      <c r="S40" s="37"/>
    </row>
    <row r="41" spans="1:26" ht="15.75">
      <c r="B41" s="60"/>
      <c r="C41" s="49"/>
      <c r="D41" s="30"/>
      <c r="E41" s="403"/>
      <c r="F41" s="35">
        <f>[3]Nov!$N111</f>
        <v>0</v>
      </c>
      <c r="G41" s="18"/>
      <c r="H41" s="54" t="e">
        <f t="shared" si="0"/>
        <v>#DIV/0!</v>
      </c>
      <c r="I41" s="55"/>
      <c r="J41" s="33"/>
      <c r="K41" s="54">
        <f t="shared" si="6"/>
        <v>0</v>
      </c>
      <c r="L41" s="54">
        <f t="shared" si="7"/>
        <v>0</v>
      </c>
      <c r="M41" s="55">
        <f>[3]Nov!$AD41</f>
        <v>0</v>
      </c>
      <c r="N41" s="55"/>
      <c r="O41" s="55"/>
      <c r="P41" s="51" t="e">
        <f t="shared" si="8"/>
        <v>#DIV/0!</v>
      </c>
      <c r="Q41" s="55" t="e">
        <f t="shared" si="5"/>
        <v>#DIV/0!</v>
      </c>
      <c r="R41" s="33"/>
    </row>
    <row r="42" spans="1:26" ht="15.75">
      <c r="B42" s="60"/>
      <c r="C42" s="49"/>
      <c r="D42" s="30"/>
      <c r="E42" s="404"/>
      <c r="F42" s="35">
        <f>[3]Nov!$N112</f>
        <v>0</v>
      </c>
      <c r="G42" s="18"/>
      <c r="H42" s="54" t="e">
        <f t="shared" si="0"/>
        <v>#DIV/0!</v>
      </c>
      <c r="I42" s="55"/>
      <c r="J42" s="33"/>
      <c r="K42" s="54">
        <f t="shared" si="6"/>
        <v>0</v>
      </c>
      <c r="L42" s="54">
        <f t="shared" si="7"/>
        <v>0</v>
      </c>
      <c r="M42" s="55">
        <f>[3]Nov!$AD42</f>
        <v>0</v>
      </c>
      <c r="N42" s="55"/>
      <c r="O42" s="55"/>
      <c r="P42" s="51" t="e">
        <f t="shared" si="8"/>
        <v>#DIV/0!</v>
      </c>
      <c r="Q42" s="55" t="e">
        <f t="shared" si="5"/>
        <v>#DIV/0!</v>
      </c>
      <c r="R42" s="33"/>
    </row>
    <row r="43" spans="1:26" ht="15.75">
      <c r="B43" s="60"/>
      <c r="C43" s="49"/>
      <c r="D43" s="30"/>
      <c r="E43" s="402"/>
      <c r="F43" s="35">
        <f>[3]Nov!$N113</f>
        <v>0</v>
      </c>
      <c r="G43" s="18"/>
      <c r="H43" s="54" t="e">
        <f t="shared" si="0"/>
        <v>#DIV/0!</v>
      </c>
      <c r="I43" s="55"/>
      <c r="J43" s="54"/>
      <c r="K43" s="54">
        <f t="shared" ref="K43:K57" si="9">(G43)*0.066</f>
        <v>0</v>
      </c>
      <c r="L43" s="54">
        <f t="shared" si="3"/>
        <v>0</v>
      </c>
      <c r="M43" s="55">
        <f>[3]Nov!$AD43</f>
        <v>0</v>
      </c>
      <c r="N43" s="55"/>
      <c r="O43" s="55"/>
      <c r="P43" s="51" t="e">
        <f t="shared" si="8"/>
        <v>#DIV/0!</v>
      </c>
      <c r="Q43" s="55" t="e">
        <f t="shared" si="5"/>
        <v>#DIV/0!</v>
      </c>
      <c r="R43" s="33"/>
    </row>
    <row r="44" spans="1:26" ht="15.75">
      <c r="B44" s="60"/>
      <c r="C44" s="49"/>
      <c r="D44" s="30"/>
      <c r="E44" s="404"/>
      <c r="F44" s="35">
        <f>[3]Nov!$N114</f>
        <v>0</v>
      </c>
      <c r="G44" s="18"/>
      <c r="H44" s="54" t="e">
        <f t="shared" si="0"/>
        <v>#DIV/0!</v>
      </c>
      <c r="I44" s="55"/>
      <c r="J44" s="54"/>
      <c r="K44" s="54">
        <f t="shared" si="9"/>
        <v>0</v>
      </c>
      <c r="L44" s="54">
        <f t="shared" si="3"/>
        <v>0</v>
      </c>
      <c r="M44" s="55">
        <f>[3]Nov!$AD44</f>
        <v>0</v>
      </c>
      <c r="N44" s="55"/>
      <c r="O44" s="55"/>
      <c r="P44" s="51" t="e">
        <f t="shared" si="8"/>
        <v>#DIV/0!</v>
      </c>
      <c r="Q44" s="55" t="e">
        <f t="shared" si="5"/>
        <v>#DIV/0!</v>
      </c>
      <c r="R44" s="33"/>
    </row>
    <row r="45" spans="1:26" ht="15.75">
      <c r="B45" s="60"/>
      <c r="C45" s="49"/>
      <c r="D45" s="30"/>
      <c r="E45" s="402"/>
      <c r="F45" s="35">
        <f>[3]Nov!$N115</f>
        <v>0</v>
      </c>
      <c r="G45" s="18"/>
      <c r="H45" s="54" t="e">
        <f t="shared" si="0"/>
        <v>#DIV/0!</v>
      </c>
      <c r="I45" s="55"/>
      <c r="J45" s="54"/>
      <c r="K45" s="54">
        <f t="shared" si="9"/>
        <v>0</v>
      </c>
      <c r="L45" s="54">
        <f t="shared" si="3"/>
        <v>0</v>
      </c>
      <c r="M45" s="55">
        <f>[3]Nov!$AD45</f>
        <v>0</v>
      </c>
      <c r="N45" s="55"/>
      <c r="O45" s="55"/>
      <c r="P45" s="51" t="e">
        <f t="shared" si="8"/>
        <v>#DIV/0!</v>
      </c>
      <c r="Q45" s="55" t="e">
        <f t="shared" si="5"/>
        <v>#DIV/0!</v>
      </c>
      <c r="R45" s="33"/>
    </row>
    <row r="46" spans="1:26" ht="15.75">
      <c r="B46" s="60"/>
      <c r="C46" s="49"/>
      <c r="D46" s="30"/>
      <c r="E46" s="404"/>
      <c r="F46" s="35">
        <f>[3]Nov!$N116</f>
        <v>0</v>
      </c>
      <c r="G46" s="18"/>
      <c r="H46" s="54" t="e">
        <f t="shared" si="0"/>
        <v>#DIV/0!</v>
      </c>
      <c r="I46" s="55"/>
      <c r="J46" s="54"/>
      <c r="K46" s="54">
        <f t="shared" si="9"/>
        <v>0</v>
      </c>
      <c r="L46" s="54">
        <f t="shared" si="3"/>
        <v>0</v>
      </c>
      <c r="M46" s="55">
        <f>[3]Nov!$AD46</f>
        <v>0</v>
      </c>
      <c r="N46" s="55"/>
      <c r="O46" s="55"/>
      <c r="P46" s="51" t="e">
        <f t="shared" si="8"/>
        <v>#DIV/0!</v>
      </c>
      <c r="Q46" s="55" t="e">
        <f t="shared" si="5"/>
        <v>#DIV/0!</v>
      </c>
      <c r="R46" s="33"/>
    </row>
    <row r="47" spans="1:26" ht="15.75">
      <c r="B47" s="60"/>
      <c r="C47" s="49"/>
      <c r="D47" s="30"/>
      <c r="E47" s="402"/>
      <c r="F47" s="35">
        <f>[3]Nov!$N117</f>
        <v>0</v>
      </c>
      <c r="G47" s="18"/>
      <c r="H47" s="54" t="e">
        <f t="shared" si="0"/>
        <v>#DIV/0!</v>
      </c>
      <c r="I47" s="55"/>
      <c r="J47" s="54"/>
      <c r="K47" s="54">
        <f t="shared" si="9"/>
        <v>0</v>
      </c>
      <c r="L47" s="54">
        <f t="shared" si="3"/>
        <v>0</v>
      </c>
      <c r="M47" s="55">
        <f>[3]Nov!$AD47</f>
        <v>0</v>
      </c>
      <c r="N47" s="55"/>
      <c r="O47" s="55"/>
      <c r="P47" s="51" t="e">
        <f t="shared" si="8"/>
        <v>#DIV/0!</v>
      </c>
      <c r="Q47" s="55" t="e">
        <f t="shared" si="5"/>
        <v>#DIV/0!</v>
      </c>
      <c r="R47" s="33"/>
    </row>
    <row r="48" spans="1:26" ht="15.75">
      <c r="B48" s="60"/>
      <c r="C48" s="49"/>
      <c r="D48" s="30"/>
      <c r="E48" s="404"/>
      <c r="F48" s="35">
        <f>[3]Nov!$N118</f>
        <v>0</v>
      </c>
      <c r="G48" s="18"/>
      <c r="H48" s="54" t="e">
        <f t="shared" si="0"/>
        <v>#DIV/0!</v>
      </c>
      <c r="I48" s="55"/>
      <c r="J48" s="54"/>
      <c r="K48" s="54">
        <f t="shared" si="9"/>
        <v>0</v>
      </c>
      <c r="L48" s="54">
        <f t="shared" si="3"/>
        <v>0</v>
      </c>
      <c r="M48" s="55">
        <f>[3]Nov!$AD48</f>
        <v>0</v>
      </c>
      <c r="N48" s="55"/>
      <c r="O48" s="55"/>
      <c r="P48" s="51" t="e">
        <f t="shared" si="8"/>
        <v>#DIV/0!</v>
      </c>
      <c r="Q48" s="55" t="e">
        <f t="shared" si="5"/>
        <v>#DIV/0!</v>
      </c>
      <c r="R48" s="33"/>
    </row>
    <row r="49" spans="2:21" ht="15.75">
      <c r="B49" s="92"/>
      <c r="C49" s="88"/>
      <c r="D49" s="30"/>
      <c r="E49" s="147"/>
      <c r="F49" s="35"/>
      <c r="G49" s="18"/>
      <c r="H49" s="54" t="e">
        <f t="shared" si="0"/>
        <v>#DIV/0!</v>
      </c>
      <c r="I49" s="55"/>
      <c r="J49" s="54"/>
      <c r="K49" s="54">
        <f t="shared" si="9"/>
        <v>0</v>
      </c>
      <c r="L49" s="54">
        <f t="shared" si="3"/>
        <v>0</v>
      </c>
      <c r="M49" s="55">
        <f>[3]Nov!$AD49</f>
        <v>0</v>
      </c>
      <c r="N49" s="55"/>
      <c r="O49" s="55"/>
      <c r="P49" s="51" t="e">
        <f t="shared" si="8"/>
        <v>#DIV/0!</v>
      </c>
      <c r="Q49" s="55" t="e">
        <f t="shared" si="5"/>
        <v>#DIV/0!</v>
      </c>
      <c r="R49" s="33"/>
    </row>
    <row r="50" spans="2:21" ht="15.75">
      <c r="B50" s="92"/>
      <c r="C50" s="88"/>
      <c r="D50" s="30"/>
      <c r="E50" s="147"/>
      <c r="F50" s="35"/>
      <c r="G50" s="18"/>
      <c r="H50" s="54" t="e">
        <f t="shared" si="0"/>
        <v>#DIV/0!</v>
      </c>
      <c r="I50" s="55"/>
      <c r="J50" s="54"/>
      <c r="K50" s="54">
        <f t="shared" si="9"/>
        <v>0</v>
      </c>
      <c r="L50" s="54">
        <f t="shared" si="3"/>
        <v>0</v>
      </c>
      <c r="M50" s="55">
        <f>[3]Nov!$AD50</f>
        <v>0</v>
      </c>
      <c r="N50" s="55"/>
      <c r="O50" s="55"/>
      <c r="P50" s="51" t="e">
        <f t="shared" si="8"/>
        <v>#DIV/0!</v>
      </c>
      <c r="Q50" s="55" t="e">
        <f t="shared" si="5"/>
        <v>#DIV/0!</v>
      </c>
      <c r="R50" s="33"/>
    </row>
    <row r="51" spans="2:21" ht="15.75">
      <c r="B51" s="92"/>
      <c r="C51" s="88"/>
      <c r="D51" s="30"/>
      <c r="E51" s="147"/>
      <c r="F51" s="35"/>
      <c r="G51" s="18"/>
      <c r="H51" s="54" t="e">
        <f>(G51)*24/(F51/60)/17000*100</f>
        <v>#DIV/0!</v>
      </c>
      <c r="I51" s="55"/>
      <c r="J51" s="54"/>
      <c r="K51" s="54">
        <f t="shared" si="9"/>
        <v>0</v>
      </c>
      <c r="L51" s="54">
        <f t="shared" si="3"/>
        <v>0</v>
      </c>
      <c r="M51" s="55">
        <f>[3]Nov!$AD51</f>
        <v>0</v>
      </c>
      <c r="N51" s="55"/>
      <c r="O51" s="55"/>
      <c r="P51" s="51" t="e">
        <f t="shared" si="8"/>
        <v>#DIV/0!</v>
      </c>
      <c r="Q51" s="55" t="e">
        <f t="shared" si="5"/>
        <v>#DIV/0!</v>
      </c>
      <c r="R51" s="33"/>
    </row>
    <row r="52" spans="2:21" ht="15.75">
      <c r="B52" s="92"/>
      <c r="C52" s="88"/>
      <c r="D52" s="30"/>
      <c r="E52" s="147"/>
      <c r="F52" s="35"/>
      <c r="G52" s="18"/>
      <c r="H52" s="54" t="e">
        <f t="shared" ref="H52:H59" si="10">(G52)*24/(F52/60)/17000*100</f>
        <v>#DIV/0!</v>
      </c>
      <c r="I52" s="55"/>
      <c r="J52" s="54"/>
      <c r="K52" s="54">
        <f t="shared" si="9"/>
        <v>0</v>
      </c>
      <c r="L52" s="54">
        <f t="shared" si="3"/>
        <v>0</v>
      </c>
      <c r="M52" s="55">
        <f>[3]Nov!$AD52</f>
        <v>0</v>
      </c>
      <c r="N52" s="55"/>
      <c r="O52" s="55"/>
      <c r="P52" s="51" t="e">
        <f t="shared" si="8"/>
        <v>#DIV/0!</v>
      </c>
      <c r="Q52" s="55" t="e">
        <f t="shared" si="5"/>
        <v>#DIV/0!</v>
      </c>
      <c r="R52" s="33"/>
    </row>
    <row r="53" spans="2:21" ht="15.75">
      <c r="B53" s="92"/>
      <c r="C53" s="88"/>
      <c r="D53" s="194"/>
      <c r="E53" s="147"/>
      <c r="F53" s="35"/>
      <c r="G53" s="18"/>
      <c r="H53" s="54" t="e">
        <f t="shared" si="10"/>
        <v>#DIV/0!</v>
      </c>
      <c r="I53" s="55"/>
      <c r="J53" s="54"/>
      <c r="K53" s="54">
        <f t="shared" si="9"/>
        <v>0</v>
      </c>
      <c r="L53" s="54">
        <f t="shared" si="3"/>
        <v>0</v>
      </c>
      <c r="M53" s="55">
        <f>[3]Nov!$AD53</f>
        <v>0</v>
      </c>
      <c r="N53" s="55"/>
      <c r="O53" s="55"/>
      <c r="P53" s="51" t="e">
        <f t="shared" si="8"/>
        <v>#DIV/0!</v>
      </c>
      <c r="Q53" s="55" t="e">
        <f t="shared" si="5"/>
        <v>#DIV/0!</v>
      </c>
      <c r="R53" s="33"/>
    </row>
    <row r="54" spans="2:21" ht="15.75">
      <c r="B54" s="92"/>
      <c r="C54" s="88"/>
      <c r="D54" s="30"/>
      <c r="E54" s="147"/>
      <c r="F54" s="35"/>
      <c r="G54" s="18"/>
      <c r="H54" s="54" t="e">
        <f t="shared" si="10"/>
        <v>#DIV/0!</v>
      </c>
      <c r="I54" s="55"/>
      <c r="J54" s="54"/>
      <c r="K54" s="54">
        <f t="shared" si="9"/>
        <v>0</v>
      </c>
      <c r="L54" s="54">
        <f t="shared" si="3"/>
        <v>0</v>
      </c>
      <c r="M54" s="55"/>
      <c r="N54" s="55"/>
      <c r="O54" s="55"/>
      <c r="P54" s="51" t="e">
        <f t="shared" si="8"/>
        <v>#DIV/0!</v>
      </c>
      <c r="Q54" s="55" t="e">
        <f t="shared" si="5"/>
        <v>#DIV/0!</v>
      </c>
      <c r="R54" s="33"/>
    </row>
    <row r="55" spans="2:21" ht="15.75">
      <c r="B55" s="161"/>
      <c r="C55" s="91"/>
      <c r="D55" s="30"/>
      <c r="E55" s="147"/>
      <c r="F55" s="35"/>
      <c r="G55" s="18"/>
      <c r="H55" s="54" t="e">
        <f t="shared" si="10"/>
        <v>#DIV/0!</v>
      </c>
      <c r="I55" s="55"/>
      <c r="J55" s="54"/>
      <c r="K55" s="54">
        <f t="shared" si="9"/>
        <v>0</v>
      </c>
      <c r="L55" s="54">
        <f t="shared" si="3"/>
        <v>0</v>
      </c>
      <c r="M55" s="55"/>
      <c r="N55" s="55"/>
      <c r="O55" s="55"/>
      <c r="P55" s="51" t="e">
        <f t="shared" si="8"/>
        <v>#DIV/0!</v>
      </c>
      <c r="Q55" s="55" t="e">
        <f t="shared" si="5"/>
        <v>#DIV/0!</v>
      </c>
      <c r="R55" s="33"/>
    </row>
    <row r="56" spans="2:21" ht="15.75">
      <c r="B56" s="161"/>
      <c r="C56" s="91"/>
      <c r="D56" s="30"/>
      <c r="E56" s="147"/>
      <c r="F56" s="35"/>
      <c r="G56" s="18"/>
      <c r="H56" s="54" t="e">
        <f t="shared" si="10"/>
        <v>#DIV/0!</v>
      </c>
      <c r="I56" s="55"/>
      <c r="J56" s="33"/>
      <c r="K56" s="54">
        <f t="shared" si="9"/>
        <v>0</v>
      </c>
      <c r="L56" s="54">
        <f t="shared" si="3"/>
        <v>0</v>
      </c>
      <c r="M56" s="55"/>
      <c r="N56" s="50"/>
      <c r="O56" s="55"/>
      <c r="P56" s="51" t="e">
        <f t="shared" si="8"/>
        <v>#DIV/0!</v>
      </c>
      <c r="Q56" s="55" t="e">
        <f t="shared" si="5"/>
        <v>#DIV/0!</v>
      </c>
      <c r="R56" s="33"/>
    </row>
    <row r="57" spans="2:21" ht="16.5" thickBot="1">
      <c r="B57" s="161"/>
      <c r="C57" s="91"/>
      <c r="D57" s="30"/>
      <c r="E57" s="147"/>
      <c r="F57" s="35"/>
      <c r="G57" s="18"/>
      <c r="H57" s="54" t="e">
        <f t="shared" si="10"/>
        <v>#DIV/0!</v>
      </c>
      <c r="I57" s="55"/>
      <c r="J57" s="33"/>
      <c r="K57" s="54">
        <f t="shared" si="9"/>
        <v>0</v>
      </c>
      <c r="L57" s="54">
        <f t="shared" si="3"/>
        <v>0</v>
      </c>
      <c r="M57" s="55"/>
      <c r="N57" s="50"/>
      <c r="O57" s="55"/>
      <c r="P57" s="51" t="e">
        <f t="shared" ref="P57" si="11">(J57-K57)/J57*100</f>
        <v>#DIV/0!</v>
      </c>
      <c r="Q57" s="55" t="e">
        <f t="shared" si="5"/>
        <v>#DIV/0!</v>
      </c>
      <c r="R57" s="16"/>
    </row>
    <row r="58" spans="2:21" ht="16.5" hidden="1" thickBot="1">
      <c r="B58" s="161"/>
      <c r="C58" s="91"/>
      <c r="D58" s="30"/>
      <c r="E58" s="147"/>
      <c r="F58" s="35"/>
      <c r="G58" s="18"/>
      <c r="H58" s="54" t="e">
        <f t="shared" si="10"/>
        <v>#DIV/0!</v>
      </c>
      <c r="I58" s="55"/>
      <c r="J58" s="54"/>
      <c r="K58" s="54">
        <f t="shared" ref="K58:K59" si="12">(G58)*0.066</f>
        <v>0</v>
      </c>
      <c r="L58" s="54">
        <f t="shared" ref="L58:L59" si="13">J58-K58</f>
        <v>0</v>
      </c>
      <c r="M58" s="55"/>
      <c r="N58" s="55"/>
      <c r="O58" s="55"/>
      <c r="P58" s="51" t="e">
        <f>(J58-K58)/J58*100</f>
        <v>#DIV/0!</v>
      </c>
      <c r="Q58" s="55" t="e">
        <f t="shared" ref="Q58:Q61" si="14">(G58)/(F58/60)</f>
        <v>#DIV/0!</v>
      </c>
      <c r="R58" s="16"/>
    </row>
    <row r="59" spans="2:21" ht="16.5" hidden="1" thickBot="1">
      <c r="B59" s="161"/>
      <c r="C59" s="91"/>
      <c r="D59" s="30"/>
      <c r="E59" s="147"/>
      <c r="F59" s="35"/>
      <c r="G59" s="18"/>
      <c r="H59" s="54" t="e">
        <f t="shared" si="10"/>
        <v>#DIV/0!</v>
      </c>
      <c r="I59" s="55"/>
      <c r="J59" s="54"/>
      <c r="K59" s="54">
        <f t="shared" si="12"/>
        <v>0</v>
      </c>
      <c r="L59" s="54">
        <f t="shared" si="13"/>
        <v>0</v>
      </c>
      <c r="M59" s="55"/>
      <c r="N59" s="55"/>
      <c r="O59" s="55"/>
      <c r="P59" s="51" t="e">
        <f>(J59-K59)/J59*100</f>
        <v>#DIV/0!</v>
      </c>
      <c r="Q59" s="55" t="e">
        <f t="shared" si="14"/>
        <v>#DIV/0!</v>
      </c>
      <c r="R59" s="16"/>
    </row>
    <row r="60" spans="2:21" ht="16.5" hidden="1" thickBot="1">
      <c r="B60" s="161"/>
      <c r="C60" s="91"/>
      <c r="D60" s="30"/>
      <c r="E60" s="147"/>
      <c r="F60" s="35"/>
      <c r="G60" s="18"/>
      <c r="H60" s="54" t="e">
        <f>(G60)*24/(F60/60)/17000*100</f>
        <v>#DIV/0!</v>
      </c>
      <c r="I60" s="55"/>
      <c r="J60" s="54"/>
      <c r="K60" s="54"/>
      <c r="L60" s="54">
        <f>J60-K60</f>
        <v>0</v>
      </c>
      <c r="M60" s="55"/>
      <c r="N60" s="55"/>
      <c r="O60" s="55"/>
      <c r="P60" s="51" t="e">
        <f>(J60-K60)/J60*100</f>
        <v>#DIV/0!</v>
      </c>
      <c r="Q60" s="55" t="e">
        <f t="shared" si="14"/>
        <v>#DIV/0!</v>
      </c>
      <c r="R60" s="16"/>
    </row>
    <row r="61" spans="2:21" ht="16.5" hidden="1" thickBot="1">
      <c r="B61" s="160"/>
      <c r="C61" s="88"/>
      <c r="D61" s="30"/>
      <c r="E61" s="147"/>
      <c r="F61" s="35"/>
      <c r="G61" s="18"/>
      <c r="H61" s="54" t="e">
        <f>(G61)*24/(F61/60)/17000*100</f>
        <v>#DIV/0!</v>
      </c>
      <c r="I61" s="55"/>
      <c r="J61" s="54"/>
      <c r="K61" s="54">
        <f>(G61)*0.066</f>
        <v>0</v>
      </c>
      <c r="L61" s="54">
        <f>J61-K61</f>
        <v>0</v>
      </c>
      <c r="M61" s="55"/>
      <c r="N61" s="55"/>
      <c r="O61" s="55"/>
      <c r="P61" s="51" t="e">
        <f>(J61-K61)/J61*100</f>
        <v>#DIV/0!</v>
      </c>
      <c r="Q61" s="55" t="e">
        <f t="shared" si="14"/>
        <v>#DIV/0!</v>
      </c>
      <c r="R61" s="16"/>
    </row>
    <row r="62" spans="2:21" s="90" customFormat="1" ht="17.25" thickTop="1" thickBot="1">
      <c r="B62" s="162"/>
      <c r="C62" s="89"/>
      <c r="D62" s="64"/>
      <c r="E62" s="23">
        <f>SUM(E8:E61)</f>
        <v>0</v>
      </c>
      <c r="F62" s="23">
        <f>SUM(F8:F61)</f>
        <v>0</v>
      </c>
      <c r="G62" s="15">
        <f>SUM(G8:G61)</f>
        <v>0</v>
      </c>
      <c r="H62" s="13" t="e">
        <f>(G62)*24/(F62/60)/17000*100</f>
        <v>#DIV/0!</v>
      </c>
      <c r="I62" s="14">
        <f>SUM(I8:I36)</f>
        <v>0</v>
      </c>
      <c r="J62" s="13">
        <f>SUM(J8:J61)</f>
        <v>0</v>
      </c>
      <c r="K62" s="13">
        <f>SUM(K8:K61)</f>
        <v>0</v>
      </c>
      <c r="L62" s="52">
        <f>J62-K62</f>
        <v>0</v>
      </c>
      <c r="M62" s="53">
        <f>SUM(M8:M61)</f>
        <v>0</v>
      </c>
      <c r="N62" s="36">
        <f>SUM(N8:N61)</f>
        <v>0</v>
      </c>
      <c r="O62" s="14">
        <f>SUM(O8:O61)</f>
        <v>0</v>
      </c>
      <c r="P62" s="25" t="e">
        <f>(J62-K62)/J62</f>
        <v>#DIV/0!</v>
      </c>
      <c r="Q62" s="14" t="e">
        <f>(G62)/(F62/60)</f>
        <v>#DIV/0!</v>
      </c>
      <c r="R62" s="17">
        <f>(January_2026!G65+February_2026!G63+March_2026!G62+'April_2026 '!G54+May_2026!G63+June_2026!G57+July_2026!G60+August_2026!G57+September_206!G54+October_2026!G64+G62)/((January_2026!F65+February_2026!F63+March_2026!F62+'April_2026 '!F54+May_2026!F63+June_2026!F57+July_2026!F60+August_2026!F57+September_206!F54+October_2026!F64+F62)/60)</f>
        <v>363.026406456909</v>
      </c>
      <c r="T62"/>
      <c r="U62"/>
    </row>
    <row r="63" spans="2:21" ht="17.25" thickTop="1" thickBot="1">
      <c r="G63" s="1"/>
      <c r="H63" s="1"/>
      <c r="L63" s="19"/>
      <c r="M63" s="19"/>
      <c r="N63" s="41" t="s">
        <v>23</v>
      </c>
      <c r="O63" s="19"/>
      <c r="Q63" s="5"/>
    </row>
    <row r="64" spans="2:21" ht="21" thickTop="1" thickBot="1">
      <c r="G64" s="1"/>
      <c r="H64" s="1"/>
      <c r="K64" s="46" t="s">
        <v>36</v>
      </c>
      <c r="L64" s="15">
        <f>G62+O64</f>
        <v>0</v>
      </c>
      <c r="M64" s="19"/>
      <c r="N64" s="41" t="s">
        <v>31</v>
      </c>
      <c r="O64" s="19">
        <f>O62*2.75</f>
        <v>0</v>
      </c>
      <c r="P64" s="40"/>
      <c r="Q64" s="5"/>
    </row>
    <row r="65" spans="6:17" ht="16.5" thickTop="1">
      <c r="G65" s="1"/>
      <c r="H65" s="1"/>
      <c r="L65" s="19"/>
      <c r="M65" s="19"/>
      <c r="N65" s="19"/>
      <c r="O65" s="19"/>
      <c r="Q65" s="5"/>
    </row>
    <row r="66" spans="6:17" ht="15.75">
      <c r="G66" s="1"/>
      <c r="H66" s="1"/>
      <c r="L66" s="19"/>
      <c r="M66" s="19"/>
      <c r="N66" s="42" t="s">
        <v>32</v>
      </c>
      <c r="O66" s="63">
        <f>SUM(O49+O13+O36+O33)</f>
        <v>0</v>
      </c>
      <c r="P66" s="58"/>
      <c r="Q66" s="59"/>
    </row>
    <row r="67" spans="6:17" ht="15.75">
      <c r="F67" s="57"/>
      <c r="G67" s="1"/>
      <c r="H67" s="1"/>
      <c r="L67" s="19"/>
      <c r="M67" s="19"/>
      <c r="N67" s="163" t="s">
        <v>33</v>
      </c>
      <c r="O67" s="63">
        <f>SUM(O9+O19+O27+O40+O51)</f>
        <v>0</v>
      </c>
      <c r="P67" s="58"/>
      <c r="Q67" s="59"/>
    </row>
    <row r="68" spans="6:17" ht="15.75">
      <c r="F68" s="57"/>
      <c r="G68" s="1"/>
      <c r="H68" s="1"/>
      <c r="L68" s="19"/>
      <c r="M68" s="19"/>
      <c r="N68" s="42" t="s">
        <v>43</v>
      </c>
      <c r="O68" s="63">
        <f>SUM(O10+O20+O28+O41+O52)</f>
        <v>0</v>
      </c>
      <c r="Q68" s="5"/>
    </row>
    <row r="69" spans="6:17" ht="15.75">
      <c r="F69" s="57"/>
      <c r="G69" s="1"/>
      <c r="H69" s="1"/>
      <c r="L69" s="19"/>
      <c r="M69" s="19"/>
      <c r="N69" s="44" t="s">
        <v>35</v>
      </c>
      <c r="O69" s="65">
        <f>SUM(O66:O68)</f>
        <v>0</v>
      </c>
      <c r="Q69" s="5"/>
    </row>
    <row r="70" spans="6:17" ht="15.75">
      <c r="F70" s="57"/>
      <c r="G70" s="1"/>
      <c r="H70" s="1"/>
      <c r="L70" s="19"/>
      <c r="M70" s="19"/>
      <c r="N70" s="19"/>
      <c r="O70" s="19"/>
      <c r="Q70" s="5"/>
    </row>
    <row r="71" spans="6:17" ht="15.75">
      <c r="F71" s="57"/>
      <c r="G71" s="1"/>
      <c r="H71" s="1"/>
      <c r="L71" s="19"/>
      <c r="M71" s="19"/>
      <c r="N71" s="19"/>
      <c r="O71" s="19"/>
      <c r="Q71" s="5"/>
    </row>
    <row r="72" spans="6:17" ht="15.75">
      <c r="F72" s="57"/>
      <c r="G72" s="1"/>
      <c r="H72" s="1"/>
      <c r="L72" s="19"/>
      <c r="M72" s="19"/>
      <c r="N72" s="19"/>
      <c r="O72" s="19"/>
      <c r="Q72" s="5"/>
    </row>
    <row r="73" spans="6:17" ht="15.75">
      <c r="F73" s="57"/>
      <c r="G73" s="1"/>
      <c r="H73" s="1"/>
      <c r="L73" s="19"/>
      <c r="M73" s="71"/>
      <c r="N73" s="19"/>
      <c r="O73" s="19"/>
      <c r="Q73" s="5"/>
    </row>
    <row r="74" spans="6:17" ht="15.75">
      <c r="F74" s="57"/>
      <c r="G74" s="1"/>
      <c r="H74" s="1"/>
      <c r="L74" s="19"/>
      <c r="M74" s="71"/>
      <c r="N74" s="19"/>
      <c r="O74" s="19"/>
      <c r="Q74" s="5"/>
    </row>
    <row r="75" spans="6:17" ht="15.75">
      <c r="G75" s="1"/>
      <c r="H75" s="1"/>
      <c r="L75" s="19"/>
      <c r="M75" s="71"/>
      <c r="N75" s="19"/>
      <c r="O75" s="19"/>
      <c r="Q75" s="5"/>
    </row>
    <row r="76" spans="6:17" ht="15.75">
      <c r="F76" s="57"/>
      <c r="G76" s="1"/>
      <c r="H76" s="1"/>
      <c r="L76" s="19"/>
      <c r="M76" s="71"/>
      <c r="N76" s="19"/>
      <c r="O76" s="19"/>
      <c r="Q76" s="5"/>
    </row>
    <row r="77" spans="6:17" ht="15.75">
      <c r="G77" s="1"/>
      <c r="H77" s="1"/>
      <c r="L77" s="19"/>
      <c r="M77" s="19"/>
      <c r="N77" s="19"/>
      <c r="O77" s="19"/>
      <c r="Q77" s="5"/>
    </row>
    <row r="78" spans="6:17">
      <c r="G78" s="1"/>
      <c r="H78" s="1"/>
      <c r="Q78" s="5"/>
    </row>
    <row r="79" spans="6:17">
      <c r="G79" s="1"/>
      <c r="H79" s="1"/>
      <c r="Q79" s="5"/>
    </row>
    <row r="80" spans="6:17">
      <c r="G80" s="1"/>
      <c r="H80" s="1"/>
      <c r="Q80" s="5"/>
    </row>
    <row r="81" spans="7:17">
      <c r="G81" s="1"/>
      <c r="H81" s="1"/>
      <c r="Q81" s="5"/>
    </row>
    <row r="82" spans="7:17">
      <c r="G82" s="1"/>
      <c r="H82" s="1"/>
      <c r="Q82" s="5"/>
    </row>
    <row r="83" spans="7:17">
      <c r="G83" s="1"/>
      <c r="H83" s="1"/>
      <c r="Q83" s="5"/>
    </row>
    <row r="84" spans="7:17">
      <c r="G84" s="1"/>
      <c r="H84" s="1"/>
      <c r="Q84" s="5"/>
    </row>
    <row r="85" spans="7:17">
      <c r="G85" s="1"/>
      <c r="H85" s="1"/>
      <c r="Q85" s="5"/>
    </row>
    <row r="86" spans="7:17">
      <c r="G86" s="1"/>
      <c r="H86" s="1"/>
      <c r="Q86" s="5"/>
    </row>
    <row r="87" spans="7:17">
      <c r="G87" s="1"/>
      <c r="H87" s="1"/>
      <c r="Q87" s="5"/>
    </row>
    <row r="88" spans="7:17">
      <c r="G88" s="1"/>
      <c r="H88" s="1"/>
      <c r="Q88" s="5"/>
    </row>
    <row r="89" spans="7:17">
      <c r="G89" s="1"/>
      <c r="H89" s="1"/>
      <c r="Q89" s="5"/>
    </row>
    <row r="90" spans="7:17">
      <c r="G90" s="1"/>
      <c r="H90" s="1"/>
      <c r="Q90" s="5"/>
    </row>
    <row r="91" spans="7:17">
      <c r="G91" s="1"/>
      <c r="H91" s="1"/>
      <c r="Q91" s="5"/>
    </row>
    <row r="92" spans="7:17">
      <c r="G92" s="1"/>
      <c r="H92" s="1"/>
      <c r="Q92" s="5"/>
    </row>
    <row r="93" spans="7:17">
      <c r="G93" s="1"/>
      <c r="H93" s="1"/>
      <c r="Q93" s="5"/>
    </row>
    <row r="94" spans="7:17">
      <c r="G94" s="1"/>
      <c r="H94" s="1"/>
      <c r="Q94" s="5"/>
    </row>
    <row r="95" spans="7:17">
      <c r="G95" s="1"/>
      <c r="H95" s="1"/>
      <c r="Q95" s="5"/>
    </row>
    <row r="96" spans="7:17">
      <c r="G96" s="1"/>
      <c r="H96" s="1"/>
      <c r="Q96" s="5"/>
    </row>
    <row r="97" spans="7:17">
      <c r="G97" s="1"/>
      <c r="H97" s="1"/>
      <c r="Q97" s="5"/>
    </row>
    <row r="98" spans="7:17">
      <c r="G98" s="1"/>
      <c r="H98" s="1"/>
      <c r="Q98" s="5"/>
    </row>
    <row r="99" spans="7:17">
      <c r="G99" s="1"/>
      <c r="H99" s="1"/>
      <c r="Q99" s="5"/>
    </row>
    <row r="100" spans="7:17">
      <c r="G100" s="1"/>
      <c r="H100" s="1"/>
      <c r="Q100" s="5"/>
    </row>
    <row r="101" spans="7:17">
      <c r="G101" s="1"/>
      <c r="H101" s="1"/>
      <c r="Q101" s="5"/>
    </row>
    <row r="102" spans="7:17">
      <c r="G102" s="1"/>
      <c r="H102" s="1"/>
      <c r="Q102" s="5"/>
    </row>
    <row r="103" spans="7:17">
      <c r="G103" s="1"/>
      <c r="H103" s="1"/>
      <c r="Q103" s="5"/>
    </row>
    <row r="104" spans="7:17">
      <c r="G104" s="1"/>
      <c r="H104" s="1"/>
      <c r="Q104" s="5"/>
    </row>
    <row r="105" spans="7:17">
      <c r="G105" s="1"/>
      <c r="H105" s="1"/>
      <c r="Q105" s="5"/>
    </row>
    <row r="106" spans="7:17">
      <c r="G106" s="1"/>
      <c r="H106" s="1"/>
      <c r="Q106" s="5"/>
    </row>
    <row r="107" spans="7:17">
      <c r="G107" s="1"/>
      <c r="H107" s="1"/>
      <c r="Q107" s="5"/>
    </row>
    <row r="108" spans="7:17">
      <c r="G108" s="1"/>
      <c r="H108" s="1"/>
      <c r="Q108" s="5"/>
    </row>
    <row r="109" spans="7:17">
      <c r="G109" s="1"/>
      <c r="H109" s="1"/>
      <c r="Q109" s="5"/>
    </row>
    <row r="110" spans="7:17">
      <c r="G110" s="1"/>
      <c r="H110" s="1"/>
      <c r="Q110" s="5"/>
    </row>
    <row r="111" spans="7:17">
      <c r="G111" s="1"/>
      <c r="H111" s="1"/>
      <c r="Q111" s="5"/>
    </row>
    <row r="112" spans="7:17">
      <c r="G112" s="1"/>
      <c r="H112" s="1"/>
      <c r="Q112" s="5"/>
    </row>
    <row r="113" spans="7:17">
      <c r="G113" s="1"/>
      <c r="H113" s="1"/>
      <c r="Q113" s="5"/>
    </row>
    <row r="114" spans="7:17">
      <c r="G114" s="1"/>
      <c r="H114" s="1"/>
      <c r="Q114" s="5"/>
    </row>
    <row r="115" spans="7:17">
      <c r="G115" s="1"/>
      <c r="H115" s="1"/>
      <c r="Q115" s="5"/>
    </row>
    <row r="116" spans="7:17">
      <c r="G116" s="1"/>
      <c r="H116" s="1"/>
      <c r="Q116" s="5"/>
    </row>
    <row r="117" spans="7:17">
      <c r="G117" s="1"/>
      <c r="H117" s="1"/>
      <c r="Q117" s="5"/>
    </row>
    <row r="118" spans="7:17">
      <c r="G118" s="1"/>
      <c r="H118" s="1"/>
      <c r="Q118" s="5"/>
    </row>
    <row r="119" spans="7:17">
      <c r="G119" s="1"/>
      <c r="H119" s="1"/>
      <c r="Q119" s="5"/>
    </row>
    <row r="120" spans="7:17">
      <c r="G120" s="1"/>
      <c r="H120" s="1"/>
      <c r="Q120" s="5"/>
    </row>
    <row r="121" spans="7:17">
      <c r="G121" s="1"/>
      <c r="H121" s="1"/>
      <c r="Q121" s="5"/>
    </row>
    <row r="122" spans="7:17">
      <c r="G122" s="1"/>
      <c r="H122" s="1"/>
      <c r="Q122" s="5"/>
    </row>
    <row r="123" spans="7:17">
      <c r="G123" s="1"/>
      <c r="H123" s="1"/>
      <c r="Q123" s="5"/>
    </row>
    <row r="124" spans="7:17">
      <c r="G124" s="1"/>
      <c r="H124" s="1"/>
      <c r="Q124" s="5"/>
    </row>
    <row r="125" spans="7:17">
      <c r="G125" s="1"/>
      <c r="H125" s="1"/>
      <c r="Q125" s="5"/>
    </row>
  </sheetData>
  <autoFilter ref="B5:Q57" xr:uid="{00000000-0001-0000-0A00-000000000000}"/>
  <mergeCells count="26">
    <mergeCell ref="E47:E48"/>
    <mergeCell ref="E45:E46"/>
    <mergeCell ref="E24:E25"/>
    <mergeCell ref="E34:E35"/>
    <mergeCell ref="E36:E37"/>
    <mergeCell ref="E30:E31"/>
    <mergeCell ref="E26:E27"/>
    <mergeCell ref="E32:E33"/>
    <mergeCell ref="E43:E44"/>
    <mergeCell ref="E40:E42"/>
    <mergeCell ref="R6:R7"/>
    <mergeCell ref="E22:E23"/>
    <mergeCell ref="N22:N23"/>
    <mergeCell ref="E18:E20"/>
    <mergeCell ref="E13:E15"/>
    <mergeCell ref="E16:E17"/>
    <mergeCell ref="E11:E12"/>
    <mergeCell ref="E8:E10"/>
    <mergeCell ref="B1:Q1"/>
    <mergeCell ref="B3:Q3"/>
    <mergeCell ref="B4:Q4"/>
    <mergeCell ref="I5:I7"/>
    <mergeCell ref="L5:L7"/>
    <mergeCell ref="M5:M7"/>
    <mergeCell ref="N5:N7"/>
    <mergeCell ref="O5:O7"/>
  </mergeCells>
  <conditionalFormatting sqref="I8:I61">
    <cfRule type="cellIs" dxfId="16" priority="20" stopIfTrue="1" operator="lessThan">
      <formula>50</formula>
    </cfRule>
  </conditionalFormatting>
  <conditionalFormatting sqref="P8:P61">
    <cfRule type="cellIs" dxfId="15" priority="16" stopIfTrue="1" operator="greaterThan">
      <formula>1.8</formula>
    </cfRule>
  </conditionalFormatting>
  <conditionalFormatting sqref="R9">
    <cfRule type="cellIs" dxfId="14" priority="6" operator="greaterThan">
      <formula>1.8</formula>
    </cfRule>
  </conditionalFormatting>
  <conditionalFormatting sqref="R11">
    <cfRule type="cellIs" dxfId="13" priority="7" operator="greaterThan">
      <formula>1.8</formula>
    </cfRule>
  </conditionalFormatting>
  <conditionalFormatting sqref="R15 R17">
    <cfRule type="cellIs" dxfId="12" priority="5" operator="greaterThan">
      <formula>1.8</formula>
    </cfRule>
  </conditionalFormatting>
  <conditionalFormatting sqref="R22">
    <cfRule type="cellIs" dxfId="11" priority="4" operator="greaterThan">
      <formula>1.8</formula>
    </cfRule>
  </conditionalFormatting>
  <conditionalFormatting sqref="R31 R33 R35:R56">
    <cfRule type="cellIs" dxfId="10" priority="3" operator="greaterThan">
      <formula>1.8</formula>
    </cfRule>
  </conditionalFormatting>
  <pageMargins left="0.25" right="0.25" top="0.75" bottom="0.75" header="0.3" footer="0.3"/>
  <pageSetup paperSize="5" scale="44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indexed="11"/>
    <pageSetUpPr fitToPage="1"/>
  </sheetPr>
  <dimension ref="A1:BE123"/>
  <sheetViews>
    <sheetView topLeftCell="A4" zoomScaleNormal="100" zoomScaleSheetLayoutView="80" workbookViewId="0">
      <pane xSplit="2" ySplit="4" topLeftCell="C8" activePane="bottomRight" state="frozen"/>
      <selection activeCell="A4" sqref="A4"/>
      <selection pane="topRight" activeCell="B4" sqref="B4"/>
      <selection pane="bottomLeft" activeCell="A8" sqref="A8"/>
      <selection pane="bottomRight" activeCell="O8" sqref="O8"/>
    </sheetView>
  </sheetViews>
  <sheetFormatPr defaultRowHeight="12.75"/>
  <cols>
    <col min="1" max="1" width="2.42578125" customWidth="1"/>
    <col min="2" max="2" width="9.140625" style="1" customWidth="1"/>
    <col min="3" max="3" width="7" style="1" customWidth="1"/>
    <col min="4" max="4" width="44.5703125" style="32" customWidth="1"/>
    <col min="5" max="5" width="13" style="1" customWidth="1"/>
    <col min="6" max="6" width="9" style="24" customWidth="1"/>
    <col min="7" max="8" width="13.5703125" customWidth="1"/>
    <col min="9" max="9" width="10.5703125" style="7" customWidth="1"/>
    <col min="10" max="10" width="11" style="7" customWidth="1"/>
    <col min="11" max="11" width="13.140625" style="7" customWidth="1"/>
    <col min="12" max="12" width="14" style="7" customWidth="1"/>
    <col min="13" max="13" width="16.85546875" style="7" customWidth="1"/>
    <col min="14" max="14" width="16.5703125" style="7" customWidth="1"/>
    <col min="15" max="15" width="9.42578125" style="7" customWidth="1"/>
    <col min="16" max="16" width="12.42578125" style="26" customWidth="1"/>
    <col min="17" max="18" width="12.140625" style="6" customWidth="1"/>
    <col min="19" max="19" width="11" customWidth="1"/>
    <col min="22" max="22" width="20.85546875" customWidth="1"/>
    <col min="23" max="23" width="13.5703125" customWidth="1"/>
    <col min="24" max="24" width="15.85546875" customWidth="1"/>
    <col min="25" max="25" width="10.5703125" customWidth="1"/>
  </cols>
  <sheetData>
    <row r="1" spans="1:35" ht="27">
      <c r="B1" s="384" t="s">
        <v>0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256"/>
    </row>
    <row r="3" spans="1:35" ht="22.5">
      <c r="B3" s="385" t="s">
        <v>1</v>
      </c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257"/>
    </row>
    <row r="4" spans="1:35" ht="21" thickBot="1">
      <c r="B4" s="386">
        <v>46357</v>
      </c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258"/>
    </row>
    <row r="5" spans="1:35" ht="17.25" thickTop="1" thickBot="1">
      <c r="B5" s="2" t="s">
        <v>2</v>
      </c>
      <c r="C5" s="2" t="s">
        <v>3</v>
      </c>
      <c r="D5" s="27" t="s">
        <v>4</v>
      </c>
      <c r="E5" s="2" t="s">
        <v>37</v>
      </c>
      <c r="F5" s="20" t="s">
        <v>12</v>
      </c>
      <c r="G5" s="2" t="s">
        <v>5</v>
      </c>
      <c r="H5" s="2" t="s">
        <v>13</v>
      </c>
      <c r="I5" s="387" t="s">
        <v>26</v>
      </c>
      <c r="J5" s="2" t="s">
        <v>18</v>
      </c>
      <c r="K5" s="2" t="s">
        <v>6</v>
      </c>
      <c r="L5" s="390" t="s">
        <v>22</v>
      </c>
      <c r="M5" s="393" t="s">
        <v>24</v>
      </c>
      <c r="N5" s="393" t="s">
        <v>25</v>
      </c>
      <c r="O5" s="393" t="s">
        <v>23</v>
      </c>
      <c r="P5" s="20" t="s">
        <v>6</v>
      </c>
      <c r="Q5" s="4" t="s">
        <v>9</v>
      </c>
      <c r="R5" s="4" t="s">
        <v>67</v>
      </c>
      <c r="S5" s="2" t="s">
        <v>20</v>
      </c>
    </row>
    <row r="6" spans="1:35" ht="16.5" customHeight="1" thickTop="1">
      <c r="B6" s="8"/>
      <c r="C6" s="8"/>
      <c r="D6" s="28"/>
      <c r="E6" s="8" t="s">
        <v>11</v>
      </c>
      <c r="F6" s="21" t="s">
        <v>11</v>
      </c>
      <c r="G6" s="8" t="s">
        <v>6</v>
      </c>
      <c r="H6" s="8" t="s">
        <v>14</v>
      </c>
      <c r="I6" s="388"/>
      <c r="J6" s="8" t="s">
        <v>17</v>
      </c>
      <c r="K6" s="8" t="s">
        <v>17</v>
      </c>
      <c r="L6" s="391"/>
      <c r="M6" s="394"/>
      <c r="N6" s="394"/>
      <c r="O6" s="394"/>
      <c r="P6" s="21" t="s">
        <v>19</v>
      </c>
      <c r="Q6" s="9" t="s">
        <v>10</v>
      </c>
      <c r="R6" s="9" t="s">
        <v>68</v>
      </c>
      <c r="S6" s="382" t="s">
        <v>21</v>
      </c>
    </row>
    <row r="7" spans="1:35" ht="16.5" thickBot="1">
      <c r="B7" s="10"/>
      <c r="C7" s="10"/>
      <c r="D7" s="29"/>
      <c r="E7" s="8"/>
      <c r="F7" s="22" t="s">
        <v>15</v>
      </c>
      <c r="G7" s="10"/>
      <c r="H7" s="10" t="s">
        <v>16</v>
      </c>
      <c r="I7" s="389"/>
      <c r="J7" s="10"/>
      <c r="K7" s="10"/>
      <c r="L7" s="392"/>
      <c r="M7" s="395"/>
      <c r="N7" s="395"/>
      <c r="O7" s="395"/>
      <c r="P7" s="22"/>
      <c r="Q7" s="11"/>
      <c r="R7" s="11"/>
      <c r="S7" s="383"/>
    </row>
    <row r="8" spans="1:35" s="195" customFormat="1" ht="15.75">
      <c r="A8"/>
      <c r="B8" s="92"/>
      <c r="C8" s="88"/>
      <c r="D8" s="151"/>
      <c r="E8" s="48"/>
      <c r="F8" s="246">
        <f>[3]Dec!$N66</f>
        <v>0</v>
      </c>
      <c r="G8" s="18"/>
      <c r="H8" s="54" t="e">
        <f t="shared" ref="H8:H26" si="0">(G8)*24/(F8/60)/17000*100</f>
        <v>#DIV/0!</v>
      </c>
      <c r="I8" s="55"/>
      <c r="J8" s="54"/>
      <c r="K8" s="54">
        <f t="shared" ref="K8" si="1">(G8)*0.066</f>
        <v>0</v>
      </c>
      <c r="L8" s="54">
        <f t="shared" ref="L8" si="2">J8-K8</f>
        <v>0</v>
      </c>
      <c r="M8" s="55">
        <f>[3]Dec!$AD8</f>
        <v>0</v>
      </c>
      <c r="N8" s="55"/>
      <c r="O8" s="55">
        <v>60</v>
      </c>
      <c r="P8" s="51" t="e">
        <f t="shared" ref="P8:P29" si="3">(J8-K8)/J8*100</f>
        <v>#DIV/0!</v>
      </c>
      <c r="Q8" s="55" t="e">
        <f>(G8)/(E8/60)</f>
        <v>#DIV/0!</v>
      </c>
      <c r="R8" s="55"/>
      <c r="S8" s="16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</row>
    <row r="9" spans="1:35" s="195" customFormat="1" ht="15.75">
      <c r="A9"/>
      <c r="B9" s="92"/>
      <c r="C9" s="88"/>
      <c r="D9" s="151"/>
      <c r="E9" s="48"/>
      <c r="F9" s="246">
        <f>[3]Dec!$N67</f>
        <v>0</v>
      </c>
      <c r="G9" s="18"/>
      <c r="H9" s="54" t="e">
        <f t="shared" si="0"/>
        <v>#DIV/0!</v>
      </c>
      <c r="I9" s="55"/>
      <c r="J9" s="54"/>
      <c r="K9" s="54">
        <f t="shared" ref="K9:K26" si="4">(G9)*0.066</f>
        <v>0</v>
      </c>
      <c r="L9" s="54">
        <f t="shared" ref="L9:L26" si="5">J9-K9</f>
        <v>0</v>
      </c>
      <c r="M9" s="55">
        <f>[3]Dec!$AD9</f>
        <v>0</v>
      </c>
      <c r="N9" s="55"/>
      <c r="O9" s="55"/>
      <c r="P9" s="51" t="e">
        <f t="shared" si="3"/>
        <v>#DIV/0!</v>
      </c>
      <c r="Q9" s="55" t="e">
        <f t="shared" ref="Q9:Q51" si="6">(G9)/(E9/60)</f>
        <v>#DIV/0!</v>
      </c>
      <c r="R9" s="55"/>
      <c r="S9" s="33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spans="1:35" s="195" customFormat="1" ht="15.75">
      <c r="A10"/>
      <c r="B10" s="92"/>
      <c r="C10" s="88"/>
      <c r="D10" s="151"/>
      <c r="E10" s="48"/>
      <c r="F10" s="246">
        <f>[3]Dec!$N68</f>
        <v>0</v>
      </c>
      <c r="G10" s="18"/>
      <c r="H10" s="54" t="e">
        <f t="shared" si="0"/>
        <v>#DIV/0!</v>
      </c>
      <c r="I10" s="55"/>
      <c r="J10" s="54"/>
      <c r="K10" s="54">
        <f t="shared" si="4"/>
        <v>0</v>
      </c>
      <c r="L10" s="54">
        <f t="shared" si="5"/>
        <v>0</v>
      </c>
      <c r="M10" s="55">
        <f>[3]Dec!$AD10</f>
        <v>0</v>
      </c>
      <c r="N10" s="55"/>
      <c r="O10" s="55"/>
      <c r="P10" s="51" t="e">
        <f t="shared" si="3"/>
        <v>#DIV/0!</v>
      </c>
      <c r="Q10" s="55" t="e">
        <f t="shared" si="6"/>
        <v>#DIV/0!</v>
      </c>
      <c r="R10" s="55"/>
      <c r="S10" s="33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spans="1:35" s="195" customFormat="1" ht="15.75">
      <c r="A11"/>
      <c r="B11" s="92"/>
      <c r="C11" s="88"/>
      <c r="D11" s="151"/>
      <c r="E11" s="48"/>
      <c r="F11" s="246">
        <f>[3]Dec!$N69</f>
        <v>0</v>
      </c>
      <c r="G11" s="18"/>
      <c r="H11" s="54" t="e">
        <f t="shared" si="0"/>
        <v>#DIV/0!</v>
      </c>
      <c r="I11" s="55"/>
      <c r="J11" s="33"/>
      <c r="K11" s="54">
        <f t="shared" si="4"/>
        <v>0</v>
      </c>
      <c r="L11" s="54">
        <f t="shared" si="5"/>
        <v>0</v>
      </c>
      <c r="M11" s="55">
        <f>[3]Dec!$AD11</f>
        <v>0</v>
      </c>
      <c r="N11" s="55"/>
      <c r="O11" s="55"/>
      <c r="P11" s="51" t="e">
        <f t="shared" si="3"/>
        <v>#DIV/0!</v>
      </c>
      <c r="Q11" s="55" t="e">
        <f t="shared" si="6"/>
        <v>#DIV/0!</v>
      </c>
      <c r="R11" s="55"/>
      <c r="S11" s="33"/>
      <c r="T11"/>
      <c r="U11"/>
      <c r="V11"/>
      <c r="W11"/>
      <c r="X11"/>
      <c r="Y11">
        <f>36+10.8</f>
        <v>46.8</v>
      </c>
      <c r="Z11"/>
      <c r="AA11"/>
      <c r="AB11"/>
      <c r="AC11"/>
      <c r="AD11"/>
      <c r="AE11"/>
      <c r="AF11"/>
      <c r="AG11"/>
      <c r="AH11"/>
      <c r="AI11"/>
    </row>
    <row r="12" spans="1:35" s="195" customFormat="1" ht="15.75">
      <c r="A12"/>
      <c r="B12" s="92"/>
      <c r="C12" s="88"/>
      <c r="D12" s="151"/>
      <c r="E12" s="48"/>
      <c r="F12" s="246">
        <f>[3]Dec!$N70</f>
        <v>0</v>
      </c>
      <c r="G12" s="18"/>
      <c r="H12" s="54" t="e">
        <f t="shared" si="0"/>
        <v>#DIV/0!</v>
      </c>
      <c r="I12" s="55"/>
      <c r="J12" s="33"/>
      <c r="K12" s="54">
        <f t="shared" si="4"/>
        <v>0</v>
      </c>
      <c r="L12" s="54">
        <f t="shared" si="5"/>
        <v>0</v>
      </c>
      <c r="M12" s="55">
        <f>[3]Dec!$AD12</f>
        <v>0</v>
      </c>
      <c r="N12" s="55"/>
      <c r="O12" s="55"/>
      <c r="P12" s="51" t="e">
        <f t="shared" si="3"/>
        <v>#DIV/0!</v>
      </c>
      <c r="Q12" s="55" t="e">
        <f t="shared" si="6"/>
        <v>#DIV/0!</v>
      </c>
      <c r="R12" s="55"/>
      <c r="S12" s="33"/>
      <c r="T12"/>
      <c r="U12"/>
      <c r="V12"/>
      <c r="W12"/>
      <c r="X12"/>
      <c r="Y12">
        <f>+Y11+50.7</f>
        <v>97.5</v>
      </c>
      <c r="Z12"/>
      <c r="AA12"/>
      <c r="AB12"/>
      <c r="AC12"/>
      <c r="AD12"/>
      <c r="AE12"/>
      <c r="AF12"/>
      <c r="AG12"/>
      <c r="AH12"/>
      <c r="AI12"/>
    </row>
    <row r="13" spans="1:35" s="195" customFormat="1" ht="15.75">
      <c r="A13"/>
      <c r="B13" s="92"/>
      <c r="C13" s="88"/>
      <c r="D13" s="151"/>
      <c r="E13" s="48"/>
      <c r="F13" s="246">
        <f>[3]Dec!$N71</f>
        <v>0</v>
      </c>
      <c r="G13" s="18"/>
      <c r="H13" s="54" t="e">
        <f t="shared" si="0"/>
        <v>#DIV/0!</v>
      </c>
      <c r="I13" s="55"/>
      <c r="J13" s="54"/>
      <c r="K13" s="54">
        <f t="shared" si="4"/>
        <v>0</v>
      </c>
      <c r="L13" s="54">
        <f t="shared" si="5"/>
        <v>0</v>
      </c>
      <c r="M13" s="55">
        <f>[3]Dec!$AD13</f>
        <v>0</v>
      </c>
      <c r="N13" s="55"/>
      <c r="O13" s="55"/>
      <c r="P13" s="51" t="e">
        <f t="shared" si="3"/>
        <v>#DIV/0!</v>
      </c>
      <c r="Q13" s="55" t="e">
        <f t="shared" si="6"/>
        <v>#DIV/0!</v>
      </c>
      <c r="R13" s="55"/>
      <c r="S13" s="16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s="195" customFormat="1" ht="15.75">
      <c r="A14"/>
      <c r="B14" s="92"/>
      <c r="C14" s="88"/>
      <c r="D14" s="151"/>
      <c r="E14" s="48"/>
      <c r="F14" s="246">
        <f>[3]Dec!$N72</f>
        <v>0</v>
      </c>
      <c r="G14" s="18"/>
      <c r="H14" s="54" t="e">
        <f t="shared" si="0"/>
        <v>#DIV/0!</v>
      </c>
      <c r="I14" s="55"/>
      <c r="J14" s="54"/>
      <c r="K14" s="54">
        <f t="shared" si="4"/>
        <v>0</v>
      </c>
      <c r="L14" s="54">
        <f t="shared" si="5"/>
        <v>0</v>
      </c>
      <c r="M14" s="55">
        <f>[3]Dec!$AD14</f>
        <v>0</v>
      </c>
      <c r="N14" s="55"/>
      <c r="O14" s="55"/>
      <c r="P14" s="51" t="e">
        <f t="shared" si="3"/>
        <v>#DIV/0!</v>
      </c>
      <c r="Q14" s="55" t="e">
        <f t="shared" si="6"/>
        <v>#DIV/0!</v>
      </c>
      <c r="R14" s="55"/>
      <c r="S14" s="16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35" s="254" customFormat="1" ht="15.75">
      <c r="B15" s="92"/>
      <c r="C15" s="88"/>
      <c r="D15" s="151"/>
      <c r="E15" s="48"/>
      <c r="F15" s="246">
        <f>[3]Dec!$N73</f>
        <v>0</v>
      </c>
      <c r="G15" s="18"/>
      <c r="H15" s="54" t="e">
        <f t="shared" si="0"/>
        <v>#DIV/0!</v>
      </c>
      <c r="I15" s="55"/>
      <c r="J15" s="54"/>
      <c r="K15" s="54">
        <f t="shared" si="4"/>
        <v>0</v>
      </c>
      <c r="L15" s="54">
        <f t="shared" si="5"/>
        <v>0</v>
      </c>
      <c r="M15" s="55">
        <f>[3]Dec!$AD15</f>
        <v>0</v>
      </c>
      <c r="N15" s="55"/>
      <c r="O15" s="55"/>
      <c r="P15" s="51" t="e">
        <f t="shared" si="3"/>
        <v>#DIV/0!</v>
      </c>
      <c r="Q15" s="55" t="e">
        <f t="shared" si="6"/>
        <v>#DIV/0!</v>
      </c>
      <c r="R15" s="55"/>
      <c r="S15" s="16"/>
    </row>
    <row r="16" spans="1:35" ht="15.75">
      <c r="B16" s="92"/>
      <c r="C16" s="88"/>
      <c r="D16" s="151"/>
      <c r="E16" s="48"/>
      <c r="F16" s="246">
        <f>[3]Dec!$N74</f>
        <v>0</v>
      </c>
      <c r="G16" s="18"/>
      <c r="H16" s="54" t="e">
        <f t="shared" si="0"/>
        <v>#DIV/0!</v>
      </c>
      <c r="I16" s="55"/>
      <c r="J16" s="54"/>
      <c r="K16" s="54">
        <f t="shared" si="4"/>
        <v>0</v>
      </c>
      <c r="L16" s="54">
        <f t="shared" si="5"/>
        <v>0</v>
      </c>
      <c r="M16" s="55">
        <f>[3]Dec!$AD16</f>
        <v>0</v>
      </c>
      <c r="N16" s="55"/>
      <c r="O16" s="55"/>
      <c r="P16" s="51" t="e">
        <f t="shared" si="3"/>
        <v>#DIV/0!</v>
      </c>
      <c r="Q16" s="55" t="e">
        <f t="shared" si="6"/>
        <v>#DIV/0!</v>
      </c>
      <c r="R16" s="55"/>
      <c r="S16" s="33"/>
    </row>
    <row r="17" spans="1:35" ht="15.75">
      <c r="B17" s="92"/>
      <c r="C17" s="88"/>
      <c r="D17" s="151"/>
      <c r="E17" s="48"/>
      <c r="F17" s="246">
        <f>[3]Dec!$N75</f>
        <v>0</v>
      </c>
      <c r="G17" s="18"/>
      <c r="H17" s="54" t="e">
        <f t="shared" si="0"/>
        <v>#DIV/0!</v>
      </c>
      <c r="I17" s="55"/>
      <c r="J17" s="54"/>
      <c r="K17" s="54">
        <f t="shared" si="4"/>
        <v>0</v>
      </c>
      <c r="L17" s="54">
        <f t="shared" si="5"/>
        <v>0</v>
      </c>
      <c r="M17" s="55">
        <f>[3]Dec!$AD17</f>
        <v>0</v>
      </c>
      <c r="N17" s="55"/>
      <c r="O17" s="55"/>
      <c r="P17" s="51" t="e">
        <f t="shared" si="3"/>
        <v>#DIV/0!</v>
      </c>
      <c r="Q17" s="55" t="e">
        <f t="shared" si="6"/>
        <v>#DIV/0!</v>
      </c>
      <c r="R17" s="55"/>
      <c r="S17" s="33"/>
    </row>
    <row r="18" spans="1:35" ht="15.75">
      <c r="B18" s="92"/>
      <c r="C18" s="88"/>
      <c r="D18" s="151"/>
      <c r="E18" s="48"/>
      <c r="F18" s="246">
        <f>[3]Dec!$N76</f>
        <v>0</v>
      </c>
      <c r="G18" s="18"/>
      <c r="H18" s="54" t="e">
        <f t="shared" si="0"/>
        <v>#DIV/0!</v>
      </c>
      <c r="I18" s="55"/>
      <c r="J18" s="54"/>
      <c r="K18" s="54">
        <f t="shared" si="4"/>
        <v>0</v>
      </c>
      <c r="L18" s="54">
        <f t="shared" si="5"/>
        <v>0</v>
      </c>
      <c r="M18" s="55">
        <f>[3]Dec!$AD18</f>
        <v>0</v>
      </c>
      <c r="N18" s="55"/>
      <c r="O18" s="55"/>
      <c r="P18" s="51" t="e">
        <f t="shared" si="3"/>
        <v>#DIV/0!</v>
      </c>
      <c r="Q18" s="55" t="e">
        <f t="shared" si="6"/>
        <v>#DIV/0!</v>
      </c>
      <c r="R18" s="55"/>
      <c r="S18" s="33"/>
    </row>
    <row r="19" spans="1:35" ht="15.75">
      <c r="B19" s="92"/>
      <c r="C19" s="88"/>
      <c r="D19" s="151"/>
      <c r="E19" s="48"/>
      <c r="F19" s="246">
        <f>[3]Dec!$N77</f>
        <v>0</v>
      </c>
      <c r="G19" s="18"/>
      <c r="H19" s="54" t="e">
        <f t="shared" si="0"/>
        <v>#DIV/0!</v>
      </c>
      <c r="I19" s="55"/>
      <c r="J19" s="54"/>
      <c r="K19" s="54">
        <f t="shared" si="4"/>
        <v>0</v>
      </c>
      <c r="L19" s="54">
        <f t="shared" si="5"/>
        <v>0</v>
      </c>
      <c r="M19" s="55">
        <f>[3]Dec!$AD19</f>
        <v>0</v>
      </c>
      <c r="N19" s="55"/>
      <c r="O19" s="55"/>
      <c r="P19" s="51" t="e">
        <f t="shared" si="3"/>
        <v>#DIV/0!</v>
      </c>
      <c r="Q19" s="55" t="e">
        <f t="shared" si="6"/>
        <v>#DIV/0!</v>
      </c>
      <c r="R19" s="55"/>
      <c r="S19" s="33"/>
    </row>
    <row r="20" spans="1:35" ht="15.75">
      <c r="B20" s="92"/>
      <c r="C20" s="88"/>
      <c r="D20" s="151"/>
      <c r="E20" s="48"/>
      <c r="F20" s="246">
        <f>[3]Dec!$N78</f>
        <v>0</v>
      </c>
      <c r="G20" s="18"/>
      <c r="H20" s="54" t="e">
        <f t="shared" si="0"/>
        <v>#DIV/0!</v>
      </c>
      <c r="I20" s="55"/>
      <c r="J20" s="54"/>
      <c r="K20" s="54">
        <f t="shared" si="4"/>
        <v>0</v>
      </c>
      <c r="L20" s="54">
        <f t="shared" si="5"/>
        <v>0</v>
      </c>
      <c r="M20" s="55">
        <f>[3]Dec!$AD20</f>
        <v>0</v>
      </c>
      <c r="N20" s="55"/>
      <c r="O20" s="55"/>
      <c r="P20" s="51" t="e">
        <f t="shared" si="3"/>
        <v>#DIV/0!</v>
      </c>
      <c r="Q20" s="55" t="e">
        <f t="shared" si="6"/>
        <v>#DIV/0!</v>
      </c>
      <c r="R20" s="55"/>
      <c r="S20" s="16"/>
    </row>
    <row r="21" spans="1:35" ht="15.75">
      <c r="B21" s="92"/>
      <c r="C21" s="88"/>
      <c r="D21" s="151"/>
      <c r="E21" s="48"/>
      <c r="F21" s="246">
        <f>[3]Dec!$N79</f>
        <v>0</v>
      </c>
      <c r="G21" s="18"/>
      <c r="H21" s="54" t="e">
        <f t="shared" si="0"/>
        <v>#DIV/0!</v>
      </c>
      <c r="I21" s="55"/>
      <c r="J21" s="54"/>
      <c r="K21" s="54">
        <f t="shared" si="4"/>
        <v>0</v>
      </c>
      <c r="L21" s="54">
        <f t="shared" si="5"/>
        <v>0</v>
      </c>
      <c r="M21" s="55">
        <f>[3]Dec!$AD21</f>
        <v>0</v>
      </c>
      <c r="N21" s="55"/>
      <c r="O21" s="55"/>
      <c r="P21" s="51" t="e">
        <f t="shared" si="3"/>
        <v>#DIV/0!</v>
      </c>
      <c r="Q21" s="55" t="e">
        <f t="shared" si="6"/>
        <v>#DIV/0!</v>
      </c>
      <c r="R21" s="55"/>
      <c r="S21" s="16"/>
    </row>
    <row r="22" spans="1:35" ht="15.75">
      <c r="B22" s="92"/>
      <c r="C22" s="88"/>
      <c r="D22" s="151"/>
      <c r="E22" s="48"/>
      <c r="F22" s="246">
        <f>[3]Dec!$N80</f>
        <v>0</v>
      </c>
      <c r="G22" s="18"/>
      <c r="H22" s="54" t="e">
        <f t="shared" si="0"/>
        <v>#DIV/0!</v>
      </c>
      <c r="I22" s="55"/>
      <c r="J22" s="54"/>
      <c r="K22" s="54">
        <f t="shared" si="4"/>
        <v>0</v>
      </c>
      <c r="L22" s="54">
        <f t="shared" si="5"/>
        <v>0</v>
      </c>
      <c r="M22" s="55">
        <f>[3]Dec!$AD22</f>
        <v>0</v>
      </c>
      <c r="N22" s="55"/>
      <c r="O22" s="55"/>
      <c r="P22" s="51" t="e">
        <f t="shared" si="3"/>
        <v>#DIV/0!</v>
      </c>
      <c r="Q22" s="55" t="e">
        <f t="shared" si="6"/>
        <v>#DIV/0!</v>
      </c>
      <c r="R22" s="55"/>
      <c r="S22" s="16"/>
    </row>
    <row r="23" spans="1:35" ht="15.75">
      <c r="B23" s="92"/>
      <c r="C23" s="88"/>
      <c r="D23" s="151"/>
      <c r="E23" s="48"/>
      <c r="F23" s="246">
        <f>[3]Dec!$N81</f>
        <v>0</v>
      </c>
      <c r="G23" s="18"/>
      <c r="H23" s="54" t="e">
        <f t="shared" si="0"/>
        <v>#DIV/0!</v>
      </c>
      <c r="I23" s="55"/>
      <c r="J23" s="54"/>
      <c r="K23" s="54">
        <f t="shared" si="4"/>
        <v>0</v>
      </c>
      <c r="L23" s="54">
        <f t="shared" si="5"/>
        <v>0</v>
      </c>
      <c r="M23" s="55">
        <f>[3]Dec!$AD23</f>
        <v>0</v>
      </c>
      <c r="N23" s="55"/>
      <c r="O23" s="55"/>
      <c r="P23" s="51" t="e">
        <f t="shared" si="3"/>
        <v>#DIV/0!</v>
      </c>
      <c r="Q23" s="55" t="e">
        <f t="shared" si="6"/>
        <v>#DIV/0!</v>
      </c>
      <c r="R23" s="55"/>
      <c r="S23" s="16"/>
    </row>
    <row r="24" spans="1:35" ht="15.75">
      <c r="B24" s="92"/>
      <c r="C24" s="88"/>
      <c r="D24" s="151"/>
      <c r="E24" s="48"/>
      <c r="F24" s="246">
        <f>[3]Dec!$N82</f>
        <v>0</v>
      </c>
      <c r="G24" s="18"/>
      <c r="H24" s="54" t="e">
        <f t="shared" si="0"/>
        <v>#DIV/0!</v>
      </c>
      <c r="I24" s="55"/>
      <c r="J24" s="54"/>
      <c r="K24" s="54">
        <f t="shared" si="4"/>
        <v>0</v>
      </c>
      <c r="L24" s="54">
        <f t="shared" si="5"/>
        <v>0</v>
      </c>
      <c r="M24" s="55">
        <f>[3]Dec!$AD24</f>
        <v>0</v>
      </c>
      <c r="N24" s="55"/>
      <c r="O24" s="55"/>
      <c r="P24" s="51" t="e">
        <f t="shared" si="3"/>
        <v>#DIV/0!</v>
      </c>
      <c r="Q24" s="55" t="e">
        <f t="shared" si="6"/>
        <v>#DIV/0!</v>
      </c>
      <c r="R24" s="55"/>
      <c r="S24" s="16"/>
    </row>
    <row r="25" spans="1:35" s="195" customFormat="1" ht="18.75" customHeight="1">
      <c r="A25"/>
      <c r="B25" s="92"/>
      <c r="C25" s="88"/>
      <c r="D25" s="151"/>
      <c r="E25" s="48"/>
      <c r="F25" s="246">
        <f>[3]Dec!$N83</f>
        <v>0</v>
      </c>
      <c r="G25" s="18"/>
      <c r="H25" s="54" t="e">
        <f t="shared" si="0"/>
        <v>#DIV/0!</v>
      </c>
      <c r="I25" s="55"/>
      <c r="J25" s="54"/>
      <c r="K25" s="54">
        <f t="shared" si="4"/>
        <v>0</v>
      </c>
      <c r="L25" s="54">
        <f t="shared" si="5"/>
        <v>0</v>
      </c>
      <c r="M25" s="55">
        <f>[3]Dec!$AD25</f>
        <v>0</v>
      </c>
      <c r="N25" s="55"/>
      <c r="O25" s="55"/>
      <c r="P25" s="51" t="e">
        <f t="shared" si="3"/>
        <v>#DIV/0!</v>
      </c>
      <c r="Q25" s="55" t="e">
        <f t="shared" si="6"/>
        <v>#DIV/0!</v>
      </c>
      <c r="R25" s="55"/>
      <c r="S25" s="16"/>
      <c r="T25" t="s">
        <v>69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s="195" customFormat="1" ht="15.75">
      <c r="A26"/>
      <c r="B26" s="92"/>
      <c r="C26" s="88"/>
      <c r="D26" s="151"/>
      <c r="E26" s="48"/>
      <c r="F26" s="246">
        <f>[3]Dec!$N84</f>
        <v>0</v>
      </c>
      <c r="G26" s="18"/>
      <c r="H26" s="54" t="e">
        <f t="shared" si="0"/>
        <v>#DIV/0!</v>
      </c>
      <c r="I26" s="55"/>
      <c r="J26" s="54"/>
      <c r="K26" s="54">
        <f t="shared" si="4"/>
        <v>0</v>
      </c>
      <c r="L26" s="54">
        <f t="shared" si="5"/>
        <v>0</v>
      </c>
      <c r="M26" s="55">
        <f>[3]Dec!$AD26</f>
        <v>0</v>
      </c>
      <c r="N26" s="55"/>
      <c r="O26" s="55"/>
      <c r="P26" s="51" t="e">
        <f t="shared" si="3"/>
        <v>#DIV/0!</v>
      </c>
      <c r="Q26" s="55" t="e">
        <f t="shared" si="6"/>
        <v>#DIV/0!</v>
      </c>
      <c r="R26" s="55"/>
      <c r="S26" s="1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5.75">
      <c r="B27" s="92"/>
      <c r="C27" s="88"/>
      <c r="D27" s="151"/>
      <c r="E27" s="48"/>
      <c r="F27" s="246">
        <f>[3]Dec!$N85</f>
        <v>0</v>
      </c>
      <c r="G27" s="18"/>
      <c r="H27" s="54" t="e">
        <f t="shared" ref="H27:H45" si="7">(G27)*24/(F27/60)/17000*100</f>
        <v>#DIV/0!</v>
      </c>
      <c r="I27" s="55"/>
      <c r="J27" s="54"/>
      <c r="K27" s="54">
        <f t="shared" ref="K27:K41" si="8">(G27)*0.066</f>
        <v>0</v>
      </c>
      <c r="L27" s="54">
        <f t="shared" ref="L27:L41" si="9">J27-K27</f>
        <v>0</v>
      </c>
      <c r="M27" s="55">
        <f>[3]Dec!$AD27</f>
        <v>0</v>
      </c>
      <c r="N27" s="55"/>
      <c r="O27" s="55"/>
      <c r="P27" s="51" t="e">
        <f t="shared" si="3"/>
        <v>#DIV/0!</v>
      </c>
      <c r="Q27" s="55" t="e">
        <f t="shared" si="6"/>
        <v>#DIV/0!</v>
      </c>
      <c r="R27" s="55"/>
      <c r="S27" s="33"/>
    </row>
    <row r="28" spans="1:35" ht="15.75">
      <c r="B28" s="92"/>
      <c r="C28" s="88"/>
      <c r="D28" s="151"/>
      <c r="E28" s="48"/>
      <c r="F28" s="246">
        <f>[3]Dec!$N86</f>
        <v>0</v>
      </c>
      <c r="G28" s="18"/>
      <c r="H28" s="54" t="e">
        <f t="shared" si="7"/>
        <v>#DIV/0!</v>
      </c>
      <c r="I28" s="55"/>
      <c r="J28" s="54"/>
      <c r="K28" s="54">
        <f t="shared" si="8"/>
        <v>0</v>
      </c>
      <c r="L28" s="54">
        <f t="shared" si="9"/>
        <v>0</v>
      </c>
      <c r="M28" s="55">
        <f>[3]Dec!$AD28</f>
        <v>0</v>
      </c>
      <c r="N28" s="55"/>
      <c r="O28" s="55"/>
      <c r="P28" s="51" t="e">
        <f t="shared" si="3"/>
        <v>#DIV/0!</v>
      </c>
      <c r="Q28" s="55" t="e">
        <f t="shared" si="6"/>
        <v>#DIV/0!</v>
      </c>
      <c r="R28" s="55"/>
      <c r="S28" s="33"/>
    </row>
    <row r="29" spans="1:35" ht="15.75">
      <c r="A29" s="144" t="s">
        <v>38</v>
      </c>
      <c r="B29" s="92"/>
      <c r="C29" s="88"/>
      <c r="D29" s="151"/>
      <c r="E29" s="48"/>
      <c r="F29" s="246">
        <f>[3]Dec!$N87</f>
        <v>0</v>
      </c>
      <c r="G29" s="18"/>
      <c r="H29" s="54" t="e">
        <f t="shared" si="7"/>
        <v>#DIV/0!</v>
      </c>
      <c r="I29" s="55"/>
      <c r="J29" s="54"/>
      <c r="K29" s="54">
        <f t="shared" si="8"/>
        <v>0</v>
      </c>
      <c r="L29" s="54">
        <f t="shared" si="9"/>
        <v>0</v>
      </c>
      <c r="M29" s="55">
        <f>[3]Dec!$AD29</f>
        <v>0</v>
      </c>
      <c r="N29" s="55"/>
      <c r="O29" s="55"/>
      <c r="P29" s="51" t="e">
        <f t="shared" si="3"/>
        <v>#DIV/0!</v>
      </c>
      <c r="Q29" s="55" t="e">
        <f t="shared" si="6"/>
        <v>#DIV/0!</v>
      </c>
      <c r="R29" s="55"/>
      <c r="S29" s="33"/>
    </row>
    <row r="30" spans="1:35" ht="15.75">
      <c r="B30" s="92"/>
      <c r="C30" s="88"/>
      <c r="D30" s="151"/>
      <c r="E30" s="48"/>
      <c r="F30" s="246">
        <f>[3]Dec!$N88</f>
        <v>0</v>
      </c>
      <c r="G30" s="18"/>
      <c r="H30" s="54" t="e">
        <f t="shared" si="7"/>
        <v>#DIV/0!</v>
      </c>
      <c r="I30" s="55"/>
      <c r="J30" s="54"/>
      <c r="K30" s="54">
        <f t="shared" si="8"/>
        <v>0</v>
      </c>
      <c r="L30" s="54">
        <f t="shared" si="9"/>
        <v>0</v>
      </c>
      <c r="M30" s="55">
        <f>[3]Dec!$AD30</f>
        <v>0</v>
      </c>
      <c r="N30" s="55"/>
      <c r="O30" s="55"/>
      <c r="P30" s="51" t="e">
        <f t="shared" ref="P30:P44" si="10">(J30-K30)/J30*100</f>
        <v>#DIV/0!</v>
      </c>
      <c r="Q30" s="55" t="e">
        <f t="shared" si="6"/>
        <v>#DIV/0!</v>
      </c>
      <c r="R30" s="55"/>
      <c r="S30" s="33"/>
    </row>
    <row r="31" spans="1:35" ht="15.75">
      <c r="B31" s="92"/>
      <c r="C31" s="88"/>
      <c r="D31" s="151"/>
      <c r="E31" s="48"/>
      <c r="F31" s="246">
        <f>[3]Dec!$N89</f>
        <v>0</v>
      </c>
      <c r="G31" s="18"/>
      <c r="H31" s="54" t="e">
        <f t="shared" si="7"/>
        <v>#DIV/0!</v>
      </c>
      <c r="I31" s="55"/>
      <c r="J31" s="54"/>
      <c r="K31" s="54">
        <f t="shared" si="8"/>
        <v>0</v>
      </c>
      <c r="L31" s="54">
        <f t="shared" si="9"/>
        <v>0</v>
      </c>
      <c r="M31" s="55">
        <f>[3]Dec!$AD31</f>
        <v>0</v>
      </c>
      <c r="N31" s="55"/>
      <c r="O31" s="55"/>
      <c r="P31" s="51" t="e">
        <f t="shared" si="10"/>
        <v>#DIV/0!</v>
      </c>
      <c r="Q31" s="55" t="e">
        <f t="shared" si="6"/>
        <v>#DIV/0!</v>
      </c>
      <c r="R31" s="55"/>
      <c r="S31" s="33"/>
    </row>
    <row r="32" spans="1:35" ht="15.75">
      <c r="B32" s="92"/>
      <c r="C32" s="88"/>
      <c r="D32" s="151"/>
      <c r="E32" s="48"/>
      <c r="F32" s="246">
        <f>[3]Dec!$N90</f>
        <v>0</v>
      </c>
      <c r="G32" s="18"/>
      <c r="H32" s="54" t="e">
        <f t="shared" si="7"/>
        <v>#DIV/0!</v>
      </c>
      <c r="I32" s="55"/>
      <c r="J32" s="54"/>
      <c r="K32" s="54">
        <f t="shared" si="8"/>
        <v>0</v>
      </c>
      <c r="L32" s="54">
        <f t="shared" si="9"/>
        <v>0</v>
      </c>
      <c r="M32" s="55">
        <f>[3]Dec!$AD32</f>
        <v>0</v>
      </c>
      <c r="N32" s="55"/>
      <c r="O32" s="55"/>
      <c r="P32" s="51" t="e">
        <f t="shared" si="10"/>
        <v>#DIV/0!</v>
      </c>
      <c r="Q32" s="55" t="e">
        <f t="shared" si="6"/>
        <v>#DIV/0!</v>
      </c>
      <c r="R32" s="55"/>
      <c r="S32" s="16"/>
    </row>
    <row r="33" spans="1:57" ht="15.75">
      <c r="B33" s="92"/>
      <c r="C33" s="88"/>
      <c r="D33" s="151"/>
      <c r="E33" s="48"/>
      <c r="F33" s="246">
        <f>[3]Dec!$N91</f>
        <v>0</v>
      </c>
      <c r="G33" s="18"/>
      <c r="H33" s="54" t="e">
        <f t="shared" si="7"/>
        <v>#DIV/0!</v>
      </c>
      <c r="I33" s="406"/>
      <c r="J33" s="33"/>
      <c r="K33" s="54">
        <f t="shared" si="8"/>
        <v>0</v>
      </c>
      <c r="L33" s="54">
        <f t="shared" si="9"/>
        <v>0</v>
      </c>
      <c r="M33" s="55">
        <f>[3]Dec!$AD33</f>
        <v>0</v>
      </c>
      <c r="N33" s="55"/>
      <c r="O33" s="55"/>
      <c r="P33" s="51" t="e">
        <f t="shared" si="10"/>
        <v>#DIV/0!</v>
      </c>
      <c r="Q33" s="55" t="e">
        <f t="shared" si="6"/>
        <v>#DIV/0!</v>
      </c>
      <c r="R33" s="55"/>
      <c r="S33" s="33"/>
    </row>
    <row r="34" spans="1:57" ht="15.75">
      <c r="B34" s="92"/>
      <c r="C34" s="88"/>
      <c r="D34" s="151"/>
      <c r="E34" s="48"/>
      <c r="F34" s="246">
        <f>[3]Dec!$N92</f>
        <v>0</v>
      </c>
      <c r="G34" s="18"/>
      <c r="H34" s="54" t="e">
        <f t="shared" si="7"/>
        <v>#DIV/0!</v>
      </c>
      <c r="I34" s="406"/>
      <c r="J34" s="33"/>
      <c r="K34" s="54">
        <f t="shared" si="8"/>
        <v>0</v>
      </c>
      <c r="L34" s="54">
        <f t="shared" si="9"/>
        <v>0</v>
      </c>
      <c r="M34" s="55">
        <f>[3]Dec!$AD34</f>
        <v>0</v>
      </c>
      <c r="N34" s="55"/>
      <c r="O34" s="55"/>
      <c r="P34" s="51" t="e">
        <f t="shared" si="10"/>
        <v>#DIV/0!</v>
      </c>
      <c r="Q34" s="55" t="e">
        <f t="shared" si="6"/>
        <v>#DIV/0!</v>
      </c>
      <c r="R34" s="55"/>
      <c r="S34" s="33"/>
      <c r="T34" s="37"/>
      <c r="U34" s="6"/>
    </row>
    <row r="35" spans="1:57" s="195" customFormat="1" ht="15.75">
      <c r="A35"/>
      <c r="B35" s="92"/>
      <c r="C35" s="88"/>
      <c r="D35" s="151"/>
      <c r="E35" s="48"/>
      <c r="F35" s="246">
        <f>[3]Dec!$N93</f>
        <v>0</v>
      </c>
      <c r="G35" s="18"/>
      <c r="H35" s="54" t="e">
        <f t="shared" si="7"/>
        <v>#DIV/0!</v>
      </c>
      <c r="I35" s="55"/>
      <c r="J35" s="54"/>
      <c r="K35" s="54">
        <f t="shared" si="8"/>
        <v>0</v>
      </c>
      <c r="L35" s="54">
        <f t="shared" si="9"/>
        <v>0</v>
      </c>
      <c r="M35" s="55">
        <f>[3]Dec!$AD35</f>
        <v>0</v>
      </c>
      <c r="N35" s="55"/>
      <c r="O35" s="55"/>
      <c r="P35" s="51" t="e">
        <f t="shared" si="10"/>
        <v>#DIV/0!</v>
      </c>
      <c r="Q35" s="55" t="e">
        <f t="shared" si="6"/>
        <v>#DIV/0!</v>
      </c>
      <c r="R35" s="55"/>
      <c r="S35" s="33"/>
      <c r="T35" s="37"/>
      <c r="U35" s="6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ht="15.75">
      <c r="B36" s="92"/>
      <c r="C36" s="88"/>
      <c r="D36" s="151"/>
      <c r="E36" s="48"/>
      <c r="F36" s="246">
        <f>[3]Dec!$N94</f>
        <v>0</v>
      </c>
      <c r="G36" s="18"/>
      <c r="H36" s="54" t="e">
        <f t="shared" si="7"/>
        <v>#DIV/0!</v>
      </c>
      <c r="I36" s="55"/>
      <c r="J36" s="54"/>
      <c r="K36" s="54">
        <f t="shared" si="8"/>
        <v>0</v>
      </c>
      <c r="L36" s="54">
        <f t="shared" si="9"/>
        <v>0</v>
      </c>
      <c r="M36" s="55">
        <f>[3]Dec!$AD36</f>
        <v>0</v>
      </c>
      <c r="N36" s="55"/>
      <c r="O36" s="55"/>
      <c r="P36" s="51" t="e">
        <f t="shared" si="10"/>
        <v>#DIV/0!</v>
      </c>
      <c r="Q36" s="55" t="e">
        <f t="shared" si="6"/>
        <v>#DIV/0!</v>
      </c>
      <c r="R36" s="55"/>
      <c r="S36" s="33"/>
      <c r="T36" s="37"/>
      <c r="U36" s="6"/>
    </row>
    <row r="37" spans="1:57" ht="15.75">
      <c r="B37" s="92"/>
      <c r="C37" s="88"/>
      <c r="D37" s="151"/>
      <c r="E37" s="48"/>
      <c r="F37" s="246">
        <f>[3]Dec!$N95</f>
        <v>0</v>
      </c>
      <c r="G37" s="18"/>
      <c r="H37" s="54" t="e">
        <f>(G37)*24/(F37/60)/17000*100</f>
        <v>#DIV/0!</v>
      </c>
      <c r="I37" s="55"/>
      <c r="J37" s="54"/>
      <c r="K37" s="54">
        <f t="shared" si="8"/>
        <v>0</v>
      </c>
      <c r="L37" s="54">
        <f t="shared" si="9"/>
        <v>0</v>
      </c>
      <c r="M37" s="55">
        <f>[3]Dec!$AD37</f>
        <v>0</v>
      </c>
      <c r="N37" s="55"/>
      <c r="O37" s="55"/>
      <c r="P37" s="51" t="e">
        <f t="shared" si="10"/>
        <v>#DIV/0!</v>
      </c>
      <c r="Q37" s="55" t="e">
        <f t="shared" si="6"/>
        <v>#DIV/0!</v>
      </c>
      <c r="R37" s="55"/>
      <c r="S37" s="16"/>
      <c r="T37" s="37"/>
      <c r="U37" s="6"/>
    </row>
    <row r="38" spans="1:57" ht="15.75">
      <c r="B38" s="92"/>
      <c r="C38" s="88"/>
      <c r="D38" s="151"/>
      <c r="E38" s="48"/>
      <c r="F38" s="246">
        <f>[3]Dec!$N96</f>
        <v>0</v>
      </c>
      <c r="G38" s="18"/>
      <c r="H38" s="54" t="e">
        <f t="shared" si="7"/>
        <v>#DIV/0!</v>
      </c>
      <c r="I38" s="55"/>
      <c r="J38" s="54"/>
      <c r="K38" s="54">
        <f t="shared" si="8"/>
        <v>0</v>
      </c>
      <c r="L38" s="54">
        <f t="shared" si="9"/>
        <v>0</v>
      </c>
      <c r="M38" s="55">
        <f>[3]Dec!$AD38</f>
        <v>0</v>
      </c>
      <c r="N38" s="55"/>
      <c r="O38" s="55"/>
      <c r="P38" s="51" t="e">
        <f t="shared" si="10"/>
        <v>#DIV/0!</v>
      </c>
      <c r="Q38" s="55" t="e">
        <f t="shared" si="6"/>
        <v>#DIV/0!</v>
      </c>
      <c r="R38" s="55"/>
      <c r="S38" s="16"/>
      <c r="T38" s="37"/>
      <c r="U38" s="6"/>
    </row>
    <row r="39" spans="1:57" ht="15.75">
      <c r="B39" s="92"/>
      <c r="C39" s="88"/>
      <c r="D39" s="151"/>
      <c r="E39" s="48"/>
      <c r="F39" s="246">
        <f>[3]Dec!$N97</f>
        <v>0</v>
      </c>
      <c r="G39" s="18"/>
      <c r="H39" s="54" t="e">
        <f t="shared" si="7"/>
        <v>#DIV/0!</v>
      </c>
      <c r="I39" s="55"/>
      <c r="J39" s="54"/>
      <c r="K39" s="54">
        <f t="shared" si="8"/>
        <v>0</v>
      </c>
      <c r="L39" s="54">
        <f t="shared" si="9"/>
        <v>0</v>
      </c>
      <c r="M39" s="55">
        <f>[3]Dec!$AD39</f>
        <v>0</v>
      </c>
      <c r="N39" s="55"/>
      <c r="O39" s="55"/>
      <c r="P39" s="51" t="e">
        <f t="shared" si="10"/>
        <v>#DIV/0!</v>
      </c>
      <c r="Q39" s="55" t="e">
        <f t="shared" si="6"/>
        <v>#DIV/0!</v>
      </c>
      <c r="R39" s="55"/>
      <c r="S39" s="33"/>
    </row>
    <row r="40" spans="1:57" ht="15.75">
      <c r="B40" s="92"/>
      <c r="C40" s="88"/>
      <c r="D40" s="151"/>
      <c r="E40" s="48"/>
      <c r="F40" s="246">
        <f>[3]Dec!$N98</f>
        <v>0</v>
      </c>
      <c r="G40" s="18"/>
      <c r="H40" s="54" t="e">
        <f t="shared" si="7"/>
        <v>#DIV/0!</v>
      </c>
      <c r="I40" s="55"/>
      <c r="J40" s="54"/>
      <c r="K40" s="54">
        <f t="shared" si="8"/>
        <v>0</v>
      </c>
      <c r="L40" s="54">
        <f t="shared" si="9"/>
        <v>0</v>
      </c>
      <c r="M40" s="55">
        <f>[3]Dec!$AD40</f>
        <v>0</v>
      </c>
      <c r="N40" s="55"/>
      <c r="O40" s="55"/>
      <c r="P40" s="51" t="e">
        <f t="shared" si="10"/>
        <v>#DIV/0!</v>
      </c>
      <c r="Q40" s="55" t="e">
        <f t="shared" si="6"/>
        <v>#DIV/0!</v>
      </c>
      <c r="R40" s="55"/>
      <c r="S40" s="33"/>
    </row>
    <row r="41" spans="1:57" ht="15.75">
      <c r="B41" s="92"/>
      <c r="C41" s="88"/>
      <c r="D41" s="151"/>
      <c r="E41" s="48"/>
      <c r="F41" s="246">
        <f>[3]Dec!$N99</f>
        <v>0</v>
      </c>
      <c r="G41" s="18"/>
      <c r="H41" s="54" t="e">
        <f t="shared" si="7"/>
        <v>#DIV/0!</v>
      </c>
      <c r="I41" s="55"/>
      <c r="J41" s="54"/>
      <c r="K41" s="54">
        <f t="shared" si="8"/>
        <v>0</v>
      </c>
      <c r="L41" s="54">
        <f t="shared" si="9"/>
        <v>0</v>
      </c>
      <c r="M41" s="55">
        <f>[3]Dec!$AD41</f>
        <v>0</v>
      </c>
      <c r="N41" s="55"/>
      <c r="O41" s="55"/>
      <c r="P41" s="51" t="e">
        <f t="shared" si="10"/>
        <v>#DIV/0!</v>
      </c>
      <c r="Q41" s="55" t="e">
        <f t="shared" si="6"/>
        <v>#DIV/0!</v>
      </c>
      <c r="R41" s="55"/>
      <c r="S41" s="16"/>
    </row>
    <row r="42" spans="1:57" ht="18">
      <c r="B42" s="92"/>
      <c r="C42" s="88"/>
      <c r="D42" s="255"/>
      <c r="E42" s="48"/>
      <c r="F42" s="246">
        <f>[3]Dec!$N100</f>
        <v>0</v>
      </c>
      <c r="G42" s="18"/>
      <c r="H42" s="54" t="e">
        <f t="shared" si="7"/>
        <v>#DIV/0!</v>
      </c>
      <c r="I42" s="55"/>
      <c r="J42" s="54"/>
      <c r="K42" s="54">
        <f t="shared" ref="K42:K59" si="11">(G42)*0.066</f>
        <v>0</v>
      </c>
      <c r="L42" s="54">
        <f t="shared" ref="L42" si="12">J42-K42</f>
        <v>0</v>
      </c>
      <c r="M42" s="55">
        <f>[3]Dec!$AD42</f>
        <v>0</v>
      </c>
      <c r="N42" s="55"/>
      <c r="O42" s="55"/>
      <c r="P42" s="51" t="e">
        <f t="shared" si="10"/>
        <v>#DIV/0!</v>
      </c>
      <c r="Q42" s="55" t="e">
        <f t="shared" si="6"/>
        <v>#DIV/0!</v>
      </c>
      <c r="R42" s="55"/>
      <c r="S42" s="16"/>
    </row>
    <row r="43" spans="1:57" ht="15.75">
      <c r="B43" s="92"/>
      <c r="C43" s="88"/>
      <c r="D43" s="151"/>
      <c r="E43" s="48"/>
      <c r="F43" s="246">
        <f>[3]Dec!$N101</f>
        <v>0</v>
      </c>
      <c r="G43" s="18"/>
      <c r="H43" s="54" t="e">
        <f t="shared" si="7"/>
        <v>#DIV/0!</v>
      </c>
      <c r="I43" s="55"/>
      <c r="J43" s="54"/>
      <c r="K43" s="54">
        <f t="shared" si="11"/>
        <v>0</v>
      </c>
      <c r="L43" s="54">
        <f>J42-K43</f>
        <v>0</v>
      </c>
      <c r="M43" s="55">
        <f>[3]Dec!$AD43</f>
        <v>0</v>
      </c>
      <c r="N43" s="55"/>
      <c r="O43" s="55"/>
      <c r="P43" s="51" t="e">
        <f t="shared" si="10"/>
        <v>#DIV/0!</v>
      </c>
      <c r="Q43" s="55" t="e">
        <f t="shared" si="6"/>
        <v>#DIV/0!</v>
      </c>
      <c r="R43" s="55"/>
      <c r="S43" s="16"/>
    </row>
    <row r="44" spans="1:57" ht="15.75">
      <c r="B44" s="92"/>
      <c r="C44" s="88"/>
      <c r="D44" s="151"/>
      <c r="E44" s="48"/>
      <c r="F44" s="246">
        <f>[3]Dec!$N102</f>
        <v>0</v>
      </c>
      <c r="G44" s="18"/>
      <c r="H44" s="54" t="e">
        <f t="shared" si="7"/>
        <v>#DIV/0!</v>
      </c>
      <c r="I44" s="55"/>
      <c r="J44" s="54"/>
      <c r="K44" s="54">
        <f t="shared" si="11"/>
        <v>0</v>
      </c>
      <c r="L44" s="54">
        <f t="shared" ref="L44:L59" si="13">J44-K44</f>
        <v>0</v>
      </c>
      <c r="M44" s="55">
        <f>[3]Dec!$AD44</f>
        <v>0</v>
      </c>
      <c r="N44" s="55"/>
      <c r="O44" s="55"/>
      <c r="P44" s="51" t="e">
        <f t="shared" si="10"/>
        <v>#DIV/0!</v>
      </c>
      <c r="Q44" s="55" t="e">
        <f t="shared" si="6"/>
        <v>#DIV/0!</v>
      </c>
      <c r="R44" s="55"/>
      <c r="S44" s="33"/>
    </row>
    <row r="45" spans="1:57" ht="15.75">
      <c r="B45" s="92"/>
      <c r="C45" s="88"/>
      <c r="D45" s="151"/>
      <c r="E45" s="48"/>
      <c r="F45" s="246">
        <f>[3]Dec!$N103</f>
        <v>0</v>
      </c>
      <c r="G45" s="18"/>
      <c r="H45" s="54" t="e">
        <f t="shared" si="7"/>
        <v>#DIV/0!</v>
      </c>
      <c r="I45" s="55"/>
      <c r="J45" s="54"/>
      <c r="K45" s="54">
        <f t="shared" si="11"/>
        <v>0</v>
      </c>
      <c r="L45" s="54">
        <f t="shared" si="13"/>
        <v>0</v>
      </c>
      <c r="M45" s="55">
        <f>[3]Dec!$AD45</f>
        <v>0</v>
      </c>
      <c r="N45" s="55"/>
      <c r="O45" s="55"/>
      <c r="P45" s="51" t="e">
        <f t="shared" ref="P45:P55" si="14">(J45-K45)/J45*100</f>
        <v>#DIV/0!</v>
      </c>
      <c r="Q45" s="55" t="e">
        <f t="shared" si="6"/>
        <v>#DIV/0!</v>
      </c>
      <c r="R45" s="55"/>
      <c r="S45" s="33"/>
    </row>
    <row r="46" spans="1:57" ht="15.75">
      <c r="B46" s="92"/>
      <c r="C46" s="88"/>
      <c r="D46" s="151"/>
      <c r="E46" s="48"/>
      <c r="F46" s="246">
        <f>[3]Dec!$N104</f>
        <v>0</v>
      </c>
      <c r="G46" s="18"/>
      <c r="H46" s="54" t="e">
        <f t="shared" ref="H46:H59" si="15">(G46)*24/(F46/60)/17000*100</f>
        <v>#DIV/0!</v>
      </c>
      <c r="I46" s="55"/>
      <c r="J46" s="54"/>
      <c r="K46" s="54">
        <f t="shared" si="11"/>
        <v>0</v>
      </c>
      <c r="L46" s="54">
        <f t="shared" si="13"/>
        <v>0</v>
      </c>
      <c r="M46" s="55">
        <f>[3]Dec!$AD46</f>
        <v>0</v>
      </c>
      <c r="N46" s="55"/>
      <c r="O46" s="55"/>
      <c r="P46" s="51" t="e">
        <f t="shared" si="14"/>
        <v>#DIV/0!</v>
      </c>
      <c r="Q46" s="55" t="e">
        <f t="shared" si="6"/>
        <v>#DIV/0!</v>
      </c>
      <c r="R46" s="55"/>
      <c r="S46" s="33"/>
    </row>
    <row r="47" spans="1:57" ht="19.350000000000001" customHeight="1">
      <c r="B47" s="92"/>
      <c r="C47" s="88"/>
      <c r="D47" s="151"/>
      <c r="E47" s="48"/>
      <c r="F47" s="246">
        <f>[3]Dec!$N105</f>
        <v>0</v>
      </c>
      <c r="G47" s="18"/>
      <c r="H47" s="54" t="e">
        <f t="shared" si="15"/>
        <v>#DIV/0!</v>
      </c>
      <c r="I47" s="55"/>
      <c r="J47" s="54"/>
      <c r="K47" s="54">
        <f t="shared" si="11"/>
        <v>0</v>
      </c>
      <c r="L47" s="54">
        <f t="shared" si="13"/>
        <v>0</v>
      </c>
      <c r="M47" s="55">
        <f>[3]Dec!$AD47</f>
        <v>0</v>
      </c>
      <c r="N47" s="55"/>
      <c r="O47" s="55"/>
      <c r="P47" s="51" t="e">
        <f t="shared" si="14"/>
        <v>#DIV/0!</v>
      </c>
      <c r="Q47" s="55" t="e">
        <f t="shared" si="6"/>
        <v>#DIV/0!</v>
      </c>
      <c r="R47" s="55"/>
      <c r="S47" s="33"/>
    </row>
    <row r="48" spans="1:57" ht="15.75">
      <c r="B48" s="92"/>
      <c r="C48" s="88"/>
      <c r="D48" s="151"/>
      <c r="E48" s="48"/>
      <c r="F48" s="246">
        <f>[3]Dec!$N106</f>
        <v>0</v>
      </c>
      <c r="G48" s="18"/>
      <c r="H48" s="54" t="e">
        <f t="shared" si="15"/>
        <v>#DIV/0!</v>
      </c>
      <c r="I48" s="55"/>
      <c r="J48" s="54"/>
      <c r="K48" s="54">
        <f t="shared" si="11"/>
        <v>0</v>
      </c>
      <c r="L48" s="54">
        <f t="shared" si="13"/>
        <v>0</v>
      </c>
      <c r="M48" s="55">
        <f>[3]Dec!$AD48</f>
        <v>0</v>
      </c>
      <c r="N48" s="55"/>
      <c r="O48" s="55"/>
      <c r="P48" s="51" t="e">
        <f t="shared" si="14"/>
        <v>#DIV/0!</v>
      </c>
      <c r="Q48" s="55" t="e">
        <f t="shared" si="6"/>
        <v>#DIV/0!</v>
      </c>
      <c r="R48" s="55"/>
      <c r="S48" s="33"/>
    </row>
    <row r="49" spans="2:19" ht="15.6" customHeight="1">
      <c r="B49" s="92"/>
      <c r="C49" s="88"/>
      <c r="D49" s="151"/>
      <c r="E49" s="48"/>
      <c r="F49" s="246">
        <f>[3]Dec!$N107</f>
        <v>0</v>
      </c>
      <c r="G49" s="18"/>
      <c r="H49" s="54" t="e">
        <f t="shared" si="15"/>
        <v>#DIV/0!</v>
      </c>
      <c r="I49" s="55"/>
      <c r="J49" s="54"/>
      <c r="K49" s="54">
        <f t="shared" si="11"/>
        <v>0</v>
      </c>
      <c r="L49" s="54">
        <f t="shared" si="13"/>
        <v>0</v>
      </c>
      <c r="M49" s="55">
        <f>[3]Dec!$AD49</f>
        <v>0</v>
      </c>
      <c r="N49" s="55"/>
      <c r="O49" s="55"/>
      <c r="P49" s="51" t="e">
        <f t="shared" si="14"/>
        <v>#DIV/0!</v>
      </c>
      <c r="Q49" s="55" t="e">
        <f t="shared" si="6"/>
        <v>#DIV/0!</v>
      </c>
      <c r="R49" s="55"/>
      <c r="S49" s="33"/>
    </row>
    <row r="50" spans="2:19" ht="15.6" customHeight="1">
      <c r="B50" s="92"/>
      <c r="C50" s="88"/>
      <c r="D50" s="151"/>
      <c r="E50" s="48"/>
      <c r="F50" s="246">
        <f>[3]Dec!$N108</f>
        <v>0</v>
      </c>
      <c r="G50" s="18"/>
      <c r="H50" s="54" t="e">
        <f t="shared" si="15"/>
        <v>#DIV/0!</v>
      </c>
      <c r="I50" s="55"/>
      <c r="J50" s="54"/>
      <c r="K50" s="54">
        <f t="shared" si="11"/>
        <v>0</v>
      </c>
      <c r="L50" s="54">
        <f>J50-K50</f>
        <v>0</v>
      </c>
      <c r="M50" s="55">
        <f>[3]Dec!$AD50</f>
        <v>0</v>
      </c>
      <c r="N50" s="55"/>
      <c r="O50" s="55"/>
      <c r="P50" s="51" t="e">
        <f t="shared" si="14"/>
        <v>#DIV/0!</v>
      </c>
      <c r="Q50" s="55" t="e">
        <f t="shared" si="6"/>
        <v>#DIV/0!</v>
      </c>
      <c r="R50" s="55"/>
      <c r="S50" s="16"/>
    </row>
    <row r="51" spans="2:19" ht="15.6" customHeight="1" thickBot="1">
      <c r="B51" s="60"/>
      <c r="C51" s="49"/>
      <c r="D51" s="151"/>
      <c r="E51" s="48"/>
      <c r="F51" s="246">
        <f>[3]Dec!$N109</f>
        <v>0</v>
      </c>
      <c r="G51" s="18"/>
      <c r="H51" s="54"/>
      <c r="I51" s="55"/>
      <c r="J51" s="54"/>
      <c r="K51" s="54">
        <f t="shared" si="11"/>
        <v>0</v>
      </c>
      <c r="L51" s="54">
        <f t="shared" si="13"/>
        <v>0</v>
      </c>
      <c r="M51" s="55">
        <f>[3]Dec!$AD51</f>
        <v>0</v>
      </c>
      <c r="N51" s="55"/>
      <c r="O51" s="55"/>
      <c r="P51" s="51" t="e">
        <f t="shared" si="14"/>
        <v>#DIV/0!</v>
      </c>
      <c r="Q51" s="55" t="e">
        <f t="shared" si="6"/>
        <v>#DIV/0!</v>
      </c>
      <c r="R51" s="55"/>
      <c r="S51" s="16"/>
    </row>
    <row r="52" spans="2:19" ht="16.5" hidden="1" thickBot="1">
      <c r="B52" s="60"/>
      <c r="C52" s="49"/>
      <c r="D52" s="151"/>
      <c r="E52" s="48"/>
      <c r="F52" s="246">
        <f>[5]Dec!$N110</f>
        <v>0</v>
      </c>
      <c r="G52" s="18"/>
      <c r="H52" s="54" t="e">
        <f>(G52)*24/(F52/60)/17000*100</f>
        <v>#DIV/0!</v>
      </c>
      <c r="I52" s="55"/>
      <c r="J52" s="54"/>
      <c r="K52" s="54">
        <f t="shared" si="11"/>
        <v>0</v>
      </c>
      <c r="L52" s="54">
        <f t="shared" si="13"/>
        <v>0</v>
      </c>
      <c r="M52" s="55">
        <f>[5]Dec!$AD52</f>
        <v>0</v>
      </c>
      <c r="N52" s="55"/>
      <c r="O52" s="55"/>
      <c r="P52" s="54" t="e">
        <f t="shared" si="14"/>
        <v>#DIV/0!</v>
      </c>
      <c r="Q52" s="55" t="e">
        <f t="shared" ref="Q52:Q55" si="16">(G52)/(F52/60)</f>
        <v>#DIV/0!</v>
      </c>
      <c r="R52" s="55"/>
      <c r="S52" s="16"/>
    </row>
    <row r="53" spans="2:19" ht="15.75" hidden="1" customHeight="1">
      <c r="B53" s="60"/>
      <c r="C53" s="49"/>
      <c r="D53" s="151"/>
      <c r="E53" s="48"/>
      <c r="F53" s="246">
        <f>[5]Dec!$N111</f>
        <v>0</v>
      </c>
      <c r="G53" s="18"/>
      <c r="H53" s="54" t="e">
        <f>(G53)*24/(F53/60)/17000*100</f>
        <v>#DIV/0!</v>
      </c>
      <c r="I53" s="55"/>
      <c r="J53" s="54"/>
      <c r="K53" s="54">
        <f t="shared" si="11"/>
        <v>0</v>
      </c>
      <c r="L53" s="54">
        <f t="shared" si="13"/>
        <v>0</v>
      </c>
      <c r="M53" s="55">
        <f>[5]Dec!$AD53</f>
        <v>0</v>
      </c>
      <c r="N53" s="55"/>
      <c r="O53" s="55"/>
      <c r="P53" s="54" t="e">
        <f t="shared" si="14"/>
        <v>#DIV/0!</v>
      </c>
      <c r="Q53" s="55" t="e">
        <f t="shared" si="16"/>
        <v>#DIV/0!</v>
      </c>
      <c r="R53" s="55"/>
      <c r="S53" s="16"/>
    </row>
    <row r="54" spans="2:19" ht="15.75" hidden="1" customHeight="1">
      <c r="B54" s="60"/>
      <c r="C54" s="49"/>
      <c r="D54" s="151"/>
      <c r="E54" s="48"/>
      <c r="F54" s="246">
        <f>[5]Dec!$N112</f>
        <v>0</v>
      </c>
      <c r="G54" s="18"/>
      <c r="H54" s="54" t="e">
        <f>(G54)*24/(F54/60)/17000*100</f>
        <v>#DIV/0!</v>
      </c>
      <c r="I54" s="55"/>
      <c r="J54" s="54"/>
      <c r="K54" s="54">
        <f t="shared" si="11"/>
        <v>0</v>
      </c>
      <c r="L54" s="54">
        <f t="shared" si="13"/>
        <v>0</v>
      </c>
      <c r="M54" s="55">
        <f>[5]Dec!$AD54</f>
        <v>0</v>
      </c>
      <c r="N54" s="55"/>
      <c r="O54" s="55"/>
      <c r="P54" s="54" t="e">
        <f t="shared" si="14"/>
        <v>#DIV/0!</v>
      </c>
      <c r="Q54" s="55" t="e">
        <f t="shared" si="16"/>
        <v>#DIV/0!</v>
      </c>
      <c r="R54" s="55"/>
      <c r="S54" s="16"/>
    </row>
    <row r="55" spans="2:19" ht="15.75" hidden="1" customHeight="1">
      <c r="B55" s="60"/>
      <c r="C55" s="49"/>
      <c r="D55" s="151"/>
      <c r="E55" s="48"/>
      <c r="F55" s="246">
        <f>[5]Dec!$N113</f>
        <v>0</v>
      </c>
      <c r="G55" s="18"/>
      <c r="H55" s="54" t="e">
        <f>(G55)*24/(F55/60)/17000*100</f>
        <v>#DIV/0!</v>
      </c>
      <c r="I55" s="55"/>
      <c r="J55" s="54"/>
      <c r="K55" s="54">
        <f t="shared" si="11"/>
        <v>0</v>
      </c>
      <c r="L55" s="54">
        <f t="shared" si="13"/>
        <v>0</v>
      </c>
      <c r="M55" s="55">
        <f>[5]Dec!$AD55</f>
        <v>0</v>
      </c>
      <c r="N55" s="55"/>
      <c r="O55" s="55"/>
      <c r="P55" s="54" t="e">
        <f t="shared" si="14"/>
        <v>#DIV/0!</v>
      </c>
      <c r="Q55" s="55" t="e">
        <f t="shared" si="16"/>
        <v>#DIV/0!</v>
      </c>
      <c r="R55" s="55"/>
      <c r="S55" s="16"/>
    </row>
    <row r="56" spans="2:19" ht="15.75" hidden="1" customHeight="1">
      <c r="B56" s="60"/>
      <c r="C56" s="49"/>
      <c r="D56" s="151"/>
      <c r="E56" s="48"/>
      <c r="F56" s="246">
        <f>[5]Dec!$N114</f>
        <v>0</v>
      </c>
      <c r="G56" s="18"/>
      <c r="H56" s="54" t="e">
        <f t="shared" si="15"/>
        <v>#DIV/0!</v>
      </c>
      <c r="I56" s="55"/>
      <c r="J56" s="54"/>
      <c r="K56" s="54">
        <f t="shared" si="11"/>
        <v>0</v>
      </c>
      <c r="L56" s="54">
        <f t="shared" si="13"/>
        <v>0</v>
      </c>
      <c r="M56" s="55">
        <f>[5]Dec!$AD56</f>
        <v>0</v>
      </c>
      <c r="N56" s="55"/>
      <c r="O56" s="55"/>
      <c r="P56" s="51" t="e">
        <f>(J56-K56)/J56*100</f>
        <v>#DIV/0!</v>
      </c>
      <c r="Q56" s="55" t="e">
        <f>(G56)/(F56/60)</f>
        <v>#DIV/0!</v>
      </c>
      <c r="R56" s="55"/>
      <c r="S56" s="16"/>
    </row>
    <row r="57" spans="2:19" ht="15.75" hidden="1" customHeight="1">
      <c r="B57" s="60"/>
      <c r="C57" s="49"/>
      <c r="D57" s="151"/>
      <c r="E57" s="48"/>
      <c r="F57" s="246">
        <f>[5]Dec!$N115</f>
        <v>0</v>
      </c>
      <c r="G57" s="18"/>
      <c r="H57" s="54" t="e">
        <f t="shared" si="15"/>
        <v>#DIV/0!</v>
      </c>
      <c r="I57" s="55"/>
      <c r="J57" s="54"/>
      <c r="K57" s="54">
        <f t="shared" si="11"/>
        <v>0</v>
      </c>
      <c r="L57" s="54">
        <f t="shared" si="13"/>
        <v>0</v>
      </c>
      <c r="M57" s="55">
        <f>[5]Dec!$AD57</f>
        <v>0</v>
      </c>
      <c r="N57" s="55"/>
      <c r="O57" s="55"/>
      <c r="P57" s="51" t="e">
        <f>(J57-K57)/J57*100</f>
        <v>#DIV/0!</v>
      </c>
      <c r="Q57" s="55" t="e">
        <f>(G57)/(F57/60)</f>
        <v>#DIV/0!</v>
      </c>
      <c r="R57" s="55"/>
      <c r="S57" s="16"/>
    </row>
    <row r="58" spans="2:19" ht="16.5" hidden="1" thickBot="1">
      <c r="B58" s="60"/>
      <c r="C58" s="49"/>
      <c r="D58" s="151"/>
      <c r="E58" s="48"/>
      <c r="F58" s="246">
        <f>[5]Dec!$N116</f>
        <v>0</v>
      </c>
      <c r="G58" s="18"/>
      <c r="H58" s="54" t="e">
        <f t="shared" si="15"/>
        <v>#DIV/0!</v>
      </c>
      <c r="I58" s="55"/>
      <c r="J58" s="54"/>
      <c r="K58" s="54">
        <f t="shared" si="11"/>
        <v>0</v>
      </c>
      <c r="L58" s="54">
        <f t="shared" si="13"/>
        <v>0</v>
      </c>
      <c r="M58" s="55"/>
      <c r="N58" s="55"/>
      <c r="O58" s="55"/>
      <c r="P58" s="51" t="e">
        <f>(J58-K58)/J58*100</f>
        <v>#DIV/0!</v>
      </c>
      <c r="Q58" s="55" t="e">
        <f>(G58)/(F58/60)</f>
        <v>#DIV/0!</v>
      </c>
      <c r="R58" s="55"/>
      <c r="S58" s="16"/>
    </row>
    <row r="59" spans="2:19" ht="16.5" hidden="1" thickBot="1">
      <c r="B59" s="153"/>
      <c r="C59" s="49"/>
      <c r="D59" s="151"/>
      <c r="E59" s="48"/>
      <c r="F59" s="246">
        <f>[5]Dec!$N117</f>
        <v>0</v>
      </c>
      <c r="G59" s="18"/>
      <c r="H59" s="54" t="e">
        <f t="shared" si="15"/>
        <v>#DIV/0!</v>
      </c>
      <c r="I59" s="38"/>
      <c r="J59" s="54"/>
      <c r="K59" s="54">
        <f t="shared" si="11"/>
        <v>0</v>
      </c>
      <c r="L59" s="54">
        <f t="shared" si="13"/>
        <v>0</v>
      </c>
      <c r="M59" s="55">
        <f>[5]Dec!$AD59</f>
        <v>0</v>
      </c>
      <c r="N59" s="55"/>
      <c r="O59" s="55"/>
      <c r="P59" s="51" t="e">
        <f>(J59-K59)/J59*100</f>
        <v>#DIV/0!</v>
      </c>
      <c r="Q59" s="55" t="e">
        <f>(G59)/(F59/60)</f>
        <v>#DIV/0!</v>
      </c>
      <c r="R59" s="55"/>
      <c r="S59" s="16"/>
    </row>
    <row r="60" spans="2:19" ht="17.25" thickTop="1" thickBot="1">
      <c r="B60" s="12"/>
      <c r="C60" s="12"/>
      <c r="D60" s="31"/>
      <c r="E60" s="174">
        <f>SUM(E8:E59)</f>
        <v>0</v>
      </c>
      <c r="F60" s="23">
        <f>SUM(F8:F59)</f>
        <v>0</v>
      </c>
      <c r="G60" s="15">
        <f>SUM(G8:G59)</f>
        <v>0</v>
      </c>
      <c r="H60" s="13" t="e">
        <f>(G60)*24/(F60/60)/17000*100</f>
        <v>#DIV/0!</v>
      </c>
      <c r="I60" s="14">
        <f>SUM(I8:I37)</f>
        <v>0</v>
      </c>
      <c r="J60" s="13">
        <f>SUM(J8:J59)</f>
        <v>0</v>
      </c>
      <c r="K60" s="13">
        <f>SUM(K8:K59)</f>
        <v>0</v>
      </c>
      <c r="L60" s="52">
        <f>J60-K60</f>
        <v>0</v>
      </c>
      <c r="M60" s="53">
        <f>K60-L60</f>
        <v>0</v>
      </c>
      <c r="N60" s="36">
        <f>SUM(N8:N59)</f>
        <v>0</v>
      </c>
      <c r="O60" s="14">
        <f>SUM(O8:O59)</f>
        <v>60</v>
      </c>
      <c r="P60" s="25" t="e">
        <f>(J60-K60)/J60</f>
        <v>#DIV/0!</v>
      </c>
      <c r="Q60" s="14" t="e">
        <f>G60/(F60/60)</f>
        <v>#DIV/0!</v>
      </c>
      <c r="R60" s="14"/>
      <c r="S60" s="17">
        <f>(January_2026!G65+February_2026!G63+March_2026!G62+'April_2026 '!G54+May_2026!G63+June_2026!G57+July_2026!G60+August_2026!G57+September_206!G54+October_2026!G64+November_2026!G62+G60)/((January_2026!F65+February_2026!F63+March_2026!F62+'April_2026 '!F54+May_2026!F63+June_2026!F57+July_2026!F60+August_2026!F57+September_206!F54+October_2026!F64+November_2026!F62+F60)/60)</f>
        <v>363.026406456909</v>
      </c>
    </row>
    <row r="61" spans="2:19" ht="17.25" thickTop="1" thickBot="1">
      <c r="G61" s="1"/>
      <c r="H61" s="1"/>
      <c r="L61" s="19"/>
      <c r="M61" s="19"/>
      <c r="N61" s="41" t="s">
        <v>23</v>
      </c>
      <c r="O61" s="19"/>
      <c r="Q61" s="5"/>
      <c r="R61" s="5"/>
    </row>
    <row r="62" spans="2:19" ht="21" thickTop="1" thickBot="1">
      <c r="G62" s="1"/>
      <c r="H62" s="1"/>
      <c r="K62" s="46" t="s">
        <v>36</v>
      </c>
      <c r="L62" s="15">
        <f>G60+O62</f>
        <v>165</v>
      </c>
      <c r="M62" s="19"/>
      <c r="N62" s="41" t="s">
        <v>31</v>
      </c>
      <c r="O62" s="19">
        <f>O60*2.75</f>
        <v>165</v>
      </c>
      <c r="P62" s="40"/>
      <c r="Q62" s="5"/>
      <c r="R62" s="5"/>
    </row>
    <row r="63" spans="2:19" ht="16.5" thickTop="1">
      <c r="G63" s="1"/>
      <c r="H63" s="1"/>
      <c r="L63" s="19"/>
      <c r="M63" s="19"/>
      <c r="N63" s="19"/>
      <c r="O63" s="19"/>
      <c r="Q63" s="5"/>
      <c r="R63" s="5"/>
    </row>
    <row r="64" spans="2:19" ht="15.75">
      <c r="G64" s="1"/>
      <c r="H64" s="1"/>
      <c r="L64" s="19"/>
      <c r="M64" s="19"/>
      <c r="N64" s="42" t="s">
        <v>32</v>
      </c>
      <c r="O64" s="63">
        <f>SUM(O24+O38)</f>
        <v>0</v>
      </c>
      <c r="P64" s="58"/>
      <c r="Q64" s="59"/>
      <c r="R64" s="59"/>
    </row>
    <row r="65" spans="6:18" ht="15.75">
      <c r="F65" s="57"/>
      <c r="G65" s="1"/>
      <c r="H65" s="1"/>
      <c r="L65" s="19"/>
      <c r="M65" s="19"/>
      <c r="N65" s="42" t="s">
        <v>33</v>
      </c>
      <c r="O65" s="63">
        <f>O13+O17+O26+O32+O39</f>
        <v>0</v>
      </c>
      <c r="P65" s="58"/>
      <c r="Q65" s="59"/>
      <c r="R65" s="59"/>
    </row>
    <row r="66" spans="6:18" ht="15.75">
      <c r="F66" s="57"/>
      <c r="G66" s="1"/>
      <c r="H66" s="1"/>
      <c r="L66" s="19"/>
      <c r="M66" s="19"/>
      <c r="N66" s="42" t="s">
        <v>34</v>
      </c>
      <c r="O66" s="43"/>
      <c r="Q66" s="5"/>
      <c r="R66" s="5"/>
    </row>
    <row r="67" spans="6:18" ht="15.75">
      <c r="F67" s="57"/>
      <c r="G67" s="1"/>
      <c r="H67" s="1"/>
      <c r="L67" s="19"/>
      <c r="M67" s="19"/>
      <c r="N67" s="44" t="s">
        <v>35</v>
      </c>
      <c r="O67" s="45">
        <f>SUM(O64:O66)</f>
        <v>0</v>
      </c>
      <c r="Q67" s="5"/>
      <c r="R67" s="5"/>
    </row>
    <row r="68" spans="6:18" ht="15.75">
      <c r="F68" s="57"/>
      <c r="G68" s="1"/>
      <c r="H68" s="1"/>
      <c r="L68" s="19"/>
      <c r="M68" s="19"/>
      <c r="N68" s="19"/>
      <c r="O68" s="19"/>
      <c r="Q68" s="5"/>
      <c r="R68" s="5"/>
    </row>
    <row r="69" spans="6:18" ht="15.75">
      <c r="F69" s="57"/>
      <c r="G69" s="1"/>
      <c r="H69" s="1"/>
      <c r="L69" s="19"/>
      <c r="M69" s="19"/>
      <c r="N69" s="19"/>
      <c r="O69" s="19"/>
      <c r="Q69" s="5"/>
      <c r="R69" s="5"/>
    </row>
    <row r="70" spans="6:18" ht="15.75">
      <c r="F70" s="57"/>
      <c r="G70" s="1"/>
      <c r="H70" s="1"/>
      <c r="L70" s="19"/>
      <c r="M70" s="19"/>
      <c r="N70" s="19"/>
      <c r="O70" s="19"/>
      <c r="Q70" s="5"/>
      <c r="R70" s="5"/>
    </row>
    <row r="71" spans="6:18" ht="15.75">
      <c r="F71" s="57"/>
      <c r="G71" s="1"/>
      <c r="H71" s="1"/>
      <c r="L71" s="19"/>
      <c r="M71" s="19"/>
      <c r="N71" s="19"/>
      <c r="O71" s="19"/>
      <c r="Q71" s="5"/>
      <c r="R71" s="5"/>
    </row>
    <row r="72" spans="6:18" ht="15.75">
      <c r="F72" s="57"/>
      <c r="G72" s="1"/>
      <c r="H72" s="1"/>
      <c r="L72" s="19"/>
      <c r="M72" s="19"/>
      <c r="N72" s="19"/>
      <c r="O72" s="19"/>
      <c r="Q72" s="5"/>
      <c r="R72" s="5"/>
    </row>
    <row r="73" spans="6:18" ht="15.75">
      <c r="G73" s="1"/>
      <c r="H73" s="1"/>
      <c r="L73" s="19"/>
      <c r="M73" s="19"/>
      <c r="N73" s="19"/>
      <c r="O73" s="19"/>
      <c r="Q73" s="5"/>
      <c r="R73" s="5"/>
    </row>
    <row r="74" spans="6:18" ht="15.75">
      <c r="F74" s="57"/>
      <c r="G74" s="1"/>
      <c r="H74" s="1"/>
      <c r="L74" s="19"/>
      <c r="M74" s="19"/>
      <c r="N74" s="19"/>
      <c r="O74" s="19"/>
      <c r="Q74" s="5"/>
      <c r="R74" s="5"/>
    </row>
    <row r="75" spans="6:18" ht="15.75">
      <c r="G75" s="1"/>
      <c r="H75" s="1"/>
      <c r="L75" s="19"/>
      <c r="M75" s="19"/>
      <c r="N75" s="19"/>
      <c r="O75" s="19"/>
      <c r="Q75" s="5"/>
      <c r="R75" s="5"/>
    </row>
    <row r="76" spans="6:18">
      <c r="G76" s="1"/>
      <c r="H76" s="1"/>
      <c r="Q76" s="5"/>
      <c r="R76" s="5"/>
    </row>
    <row r="77" spans="6:18">
      <c r="G77" s="1"/>
      <c r="H77" s="1"/>
      <c r="Q77" s="5"/>
      <c r="R77" s="5"/>
    </row>
    <row r="78" spans="6:18">
      <c r="G78" s="1"/>
      <c r="H78" s="1"/>
      <c r="Q78" s="5"/>
      <c r="R78" s="5"/>
    </row>
    <row r="79" spans="6:18">
      <c r="G79" s="1"/>
      <c r="H79" s="1"/>
      <c r="Q79" s="5"/>
      <c r="R79" s="5"/>
    </row>
    <row r="80" spans="6:18">
      <c r="G80" s="1"/>
      <c r="H80" s="1"/>
      <c r="Q80" s="5"/>
      <c r="R80" s="5"/>
    </row>
    <row r="81" spans="7:18">
      <c r="G81" s="1"/>
      <c r="H81" s="1"/>
      <c r="Q81" s="5"/>
      <c r="R81" s="5"/>
    </row>
    <row r="82" spans="7:18">
      <c r="G82" s="1"/>
      <c r="H82" s="1"/>
      <c r="Q82" s="5"/>
      <c r="R82" s="5"/>
    </row>
    <row r="83" spans="7:18">
      <c r="G83" s="1"/>
      <c r="H83" s="1"/>
      <c r="Q83" s="5"/>
      <c r="R83" s="5"/>
    </row>
    <row r="84" spans="7:18">
      <c r="G84" s="1"/>
      <c r="H84" s="1"/>
      <c r="Q84" s="5"/>
      <c r="R84" s="5"/>
    </row>
    <row r="85" spans="7:18">
      <c r="G85" s="1"/>
      <c r="H85" s="1"/>
      <c r="Q85" s="5"/>
      <c r="R85" s="5"/>
    </row>
    <row r="86" spans="7:18">
      <c r="G86" s="1"/>
      <c r="H86" s="1"/>
      <c r="Q86" s="5"/>
      <c r="R86" s="5"/>
    </row>
    <row r="87" spans="7:18">
      <c r="G87" s="1"/>
      <c r="H87" s="1"/>
      <c r="Q87" s="5"/>
      <c r="R87" s="5"/>
    </row>
    <row r="88" spans="7:18">
      <c r="G88" s="1"/>
      <c r="H88" s="1"/>
      <c r="Q88" s="5"/>
      <c r="R88" s="5"/>
    </row>
    <row r="89" spans="7:18">
      <c r="G89" s="1"/>
      <c r="H89" s="1"/>
      <c r="Q89" s="5"/>
      <c r="R89" s="5"/>
    </row>
    <row r="90" spans="7:18">
      <c r="G90" s="1"/>
      <c r="H90" s="1"/>
      <c r="Q90" s="5"/>
      <c r="R90" s="5"/>
    </row>
    <row r="91" spans="7:18">
      <c r="G91" s="1"/>
      <c r="H91" s="1"/>
      <c r="Q91" s="5"/>
      <c r="R91" s="5"/>
    </row>
    <row r="92" spans="7:18">
      <c r="G92" s="1"/>
      <c r="H92" s="1"/>
      <c r="Q92" s="5"/>
      <c r="R92" s="5"/>
    </row>
    <row r="93" spans="7:18">
      <c r="G93" s="1"/>
      <c r="H93" s="1"/>
      <c r="Q93" s="5"/>
      <c r="R93" s="5"/>
    </row>
    <row r="94" spans="7:18">
      <c r="G94" s="1"/>
      <c r="H94" s="1"/>
      <c r="Q94" s="5"/>
      <c r="R94" s="5"/>
    </row>
    <row r="95" spans="7:18">
      <c r="G95" s="1"/>
      <c r="H95" s="1"/>
      <c r="Q95" s="5"/>
      <c r="R95" s="5"/>
    </row>
    <row r="96" spans="7:18">
      <c r="G96" s="1"/>
      <c r="H96" s="1"/>
      <c r="Q96" s="5"/>
      <c r="R96" s="5"/>
    </row>
    <row r="97" spans="7:18">
      <c r="G97" s="1"/>
      <c r="H97" s="1"/>
      <c r="Q97" s="5"/>
      <c r="R97" s="5"/>
    </row>
    <row r="98" spans="7:18">
      <c r="G98" s="1"/>
      <c r="H98" s="1"/>
      <c r="Q98" s="5"/>
      <c r="R98" s="5"/>
    </row>
    <row r="99" spans="7:18">
      <c r="G99" s="1"/>
      <c r="H99" s="1"/>
      <c r="Q99" s="5"/>
      <c r="R99" s="5"/>
    </row>
    <row r="100" spans="7:18">
      <c r="G100" s="1"/>
      <c r="H100" s="1"/>
      <c r="Q100" s="5"/>
      <c r="R100" s="5"/>
    </row>
    <row r="101" spans="7:18">
      <c r="G101" s="1"/>
      <c r="H101" s="1"/>
      <c r="Q101" s="5"/>
      <c r="R101" s="5"/>
    </row>
    <row r="102" spans="7:18">
      <c r="G102" s="1"/>
      <c r="H102" s="1"/>
      <c r="Q102" s="5"/>
      <c r="R102" s="5"/>
    </row>
    <row r="103" spans="7:18">
      <c r="G103" s="1"/>
      <c r="H103" s="1"/>
      <c r="Q103" s="5"/>
      <c r="R103" s="5"/>
    </row>
    <row r="104" spans="7:18">
      <c r="G104" s="1"/>
      <c r="H104" s="1"/>
      <c r="Q104" s="5"/>
      <c r="R104" s="5"/>
    </row>
    <row r="105" spans="7:18">
      <c r="G105" s="1"/>
      <c r="H105" s="1"/>
      <c r="Q105" s="5"/>
      <c r="R105" s="5"/>
    </row>
    <row r="106" spans="7:18">
      <c r="G106" s="1"/>
      <c r="H106" s="1"/>
      <c r="Q106" s="5"/>
      <c r="R106" s="5"/>
    </row>
    <row r="107" spans="7:18">
      <c r="G107" s="1"/>
      <c r="H107" s="1"/>
      <c r="Q107" s="5"/>
      <c r="R107" s="5"/>
    </row>
    <row r="108" spans="7:18">
      <c r="G108" s="1"/>
      <c r="H108" s="1"/>
      <c r="Q108" s="5"/>
      <c r="R108" s="5"/>
    </row>
    <row r="109" spans="7:18">
      <c r="G109" s="1"/>
      <c r="H109" s="1"/>
      <c r="Q109" s="5"/>
      <c r="R109" s="5"/>
    </row>
    <row r="110" spans="7:18">
      <c r="G110" s="1"/>
      <c r="H110" s="1"/>
      <c r="Q110" s="5"/>
      <c r="R110" s="5"/>
    </row>
    <row r="111" spans="7:18">
      <c r="G111" s="1"/>
      <c r="H111" s="1"/>
      <c r="Q111" s="5"/>
      <c r="R111" s="5"/>
    </row>
    <row r="112" spans="7:18">
      <c r="G112" s="1"/>
      <c r="H112" s="1"/>
      <c r="Q112" s="5"/>
      <c r="R112" s="5"/>
    </row>
    <row r="113" spans="7:18">
      <c r="G113" s="1"/>
      <c r="H113" s="1"/>
      <c r="Q113" s="5"/>
      <c r="R113" s="5"/>
    </row>
    <row r="114" spans="7:18">
      <c r="G114" s="1"/>
      <c r="H114" s="1"/>
      <c r="Q114" s="5"/>
      <c r="R114" s="5"/>
    </row>
    <row r="115" spans="7:18">
      <c r="G115" s="1"/>
      <c r="H115" s="1"/>
      <c r="Q115" s="5"/>
      <c r="R115" s="5"/>
    </row>
    <row r="116" spans="7:18">
      <c r="G116" s="1"/>
      <c r="H116" s="1"/>
      <c r="Q116" s="5"/>
      <c r="R116" s="5"/>
    </row>
    <row r="117" spans="7:18">
      <c r="G117" s="1"/>
      <c r="H117" s="1"/>
      <c r="Q117" s="5"/>
      <c r="R117" s="5"/>
    </row>
    <row r="118" spans="7:18">
      <c r="G118" s="1"/>
      <c r="H118" s="1"/>
      <c r="Q118" s="5"/>
      <c r="R118" s="5"/>
    </row>
    <row r="119" spans="7:18">
      <c r="G119" s="1"/>
      <c r="H119" s="1"/>
      <c r="Q119" s="5"/>
      <c r="R119" s="5"/>
    </row>
    <row r="120" spans="7:18">
      <c r="G120" s="1"/>
      <c r="H120" s="1"/>
      <c r="Q120" s="5"/>
      <c r="R120" s="5"/>
    </row>
    <row r="121" spans="7:18">
      <c r="G121" s="1"/>
      <c r="H121" s="1"/>
      <c r="Q121" s="5"/>
      <c r="R121" s="5"/>
    </row>
    <row r="122" spans="7:18">
      <c r="G122" s="1"/>
      <c r="H122" s="1"/>
      <c r="Q122" s="5"/>
      <c r="R122" s="5"/>
    </row>
    <row r="123" spans="7:18">
      <c r="G123" s="1"/>
      <c r="H123" s="1"/>
      <c r="Q123" s="5"/>
      <c r="R123" s="5"/>
    </row>
  </sheetData>
  <autoFilter ref="B5:P62" xr:uid="{00000000-0001-0000-0B00-000000000000}"/>
  <mergeCells count="10">
    <mergeCell ref="I33:I34"/>
    <mergeCell ref="S6:S7"/>
    <mergeCell ref="B1:Q1"/>
    <mergeCell ref="B3:Q3"/>
    <mergeCell ref="B4:Q4"/>
    <mergeCell ref="I5:I7"/>
    <mergeCell ref="L5:L7"/>
    <mergeCell ref="M5:M7"/>
    <mergeCell ref="N5:N7"/>
    <mergeCell ref="O5:O7"/>
  </mergeCells>
  <conditionalFormatting sqref="I8:I33 I35:I59">
    <cfRule type="cellIs" dxfId="9" priority="13" stopIfTrue="1" operator="lessThan">
      <formula>50</formula>
    </cfRule>
  </conditionalFormatting>
  <conditionalFormatting sqref="P8:P59">
    <cfRule type="cellIs" dxfId="8" priority="9" stopIfTrue="1" operator="greaterThan">
      <formula>1.8</formula>
    </cfRule>
  </conditionalFormatting>
  <conditionalFormatting sqref="S9">
    <cfRule type="cellIs" dxfId="7" priority="4" operator="greaterThan">
      <formula>1.8</formula>
    </cfRule>
  </conditionalFormatting>
  <conditionalFormatting sqref="S16 S18">
    <cfRule type="cellIs" dxfId="6" priority="8" operator="greaterThan">
      <formula>1.8</formula>
    </cfRule>
  </conditionalFormatting>
  <conditionalFormatting sqref="S27">
    <cfRule type="cellIs" dxfId="5" priority="5" operator="greaterThan">
      <formula>1.8</formula>
    </cfRule>
  </conditionalFormatting>
  <conditionalFormatting sqref="S30">
    <cfRule type="cellIs" dxfId="4" priority="7" operator="greaterThan">
      <formula>1.8</formula>
    </cfRule>
  </conditionalFormatting>
  <conditionalFormatting sqref="S33">
    <cfRule type="cellIs" dxfId="3" priority="3" operator="greaterThan">
      <formula>1.8</formula>
    </cfRule>
  </conditionalFormatting>
  <conditionalFormatting sqref="S39">
    <cfRule type="cellIs" dxfId="2" priority="6" operator="greaterThan">
      <formula>1.8</formula>
    </cfRule>
  </conditionalFormatting>
  <conditionalFormatting sqref="S44">
    <cfRule type="cellIs" dxfId="1" priority="2" operator="greaterThan">
      <formula>1.8</formula>
    </cfRule>
  </conditionalFormatting>
  <conditionalFormatting sqref="S46 S48">
    <cfRule type="cellIs" dxfId="0" priority="1" operator="greaterThan">
      <formula>1.8</formula>
    </cfRule>
  </conditionalFormatting>
  <pageMargins left="0.25" right="0.25" top="0.75" bottom="0.75" header="0.3" footer="0.3"/>
  <pageSetup scale="58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January_2026</vt:lpstr>
      <vt:lpstr>February_2026</vt:lpstr>
      <vt:lpstr>March_2026</vt:lpstr>
      <vt:lpstr>April_2026 </vt:lpstr>
      <vt:lpstr>May_2026</vt:lpstr>
      <vt:lpstr>June_2026</vt:lpstr>
      <vt:lpstr>July_2026</vt:lpstr>
      <vt:lpstr>August_2026</vt:lpstr>
      <vt:lpstr>September_206</vt:lpstr>
      <vt:lpstr>October_2026</vt:lpstr>
      <vt:lpstr>November_2026</vt:lpstr>
      <vt:lpstr>December_2026</vt:lpstr>
      <vt:lpstr>'April_2026 '!Print_Area</vt:lpstr>
      <vt:lpstr>August_2026!Print_Area</vt:lpstr>
      <vt:lpstr>December_2026!Print_Area</vt:lpstr>
      <vt:lpstr>February_2026!Print_Area</vt:lpstr>
      <vt:lpstr>January_2026!Print_Area</vt:lpstr>
      <vt:lpstr>July_2026!Print_Area</vt:lpstr>
      <vt:lpstr>June_2026!Print_Area</vt:lpstr>
      <vt:lpstr>March_2026!Print_Area</vt:lpstr>
      <vt:lpstr>May_2026!Print_Area</vt:lpstr>
      <vt:lpstr>November_2026!Print_Area</vt:lpstr>
      <vt:lpstr>October_2026!Print_Area</vt:lpstr>
      <vt:lpstr>September_206!Print_Area</vt:lpstr>
    </vt:vector>
  </TitlesOfParts>
  <Company>Grenada Breweries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Michael Julien</cp:lastModifiedBy>
  <cp:lastPrinted>2025-02-25T20:00:42Z</cp:lastPrinted>
  <dcterms:created xsi:type="dcterms:W3CDTF">2006-02-15T13:46:59Z</dcterms:created>
  <dcterms:modified xsi:type="dcterms:W3CDTF">2026-10-01T15:11:27Z</dcterms:modified>
</cp:coreProperties>
</file>